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 activeTab="1"/>
  </bookViews>
  <sheets>
    <sheet name="Cover" sheetId="1" r:id="rId1"/>
    <sheet name="Test case List" sheetId="2" r:id="rId2"/>
    <sheet name="M_dang_nhap" sheetId="3" r:id="rId3"/>
    <sheet name="M_dang_ky" sheetId="6" r:id="rId4"/>
    <sheet name="M_them_tin" sheetId="7" r:id="rId5"/>
    <sheet name="M_them_thanh_pho" sheetId="9" r:id="rId6"/>
    <sheet name="M_them_quan_huyen" sheetId="8" r:id="rId7"/>
    <sheet name="M_them_dich_vu" sheetId="10" r:id="rId8"/>
    <sheet name="M_sua_dich_vu" sheetId="11" r:id="rId9"/>
    <sheet name="M_cap_nhat_thong_tin" sheetId="15" r:id="rId10"/>
    <sheet name="M_them_danh_muc" sheetId="13" r:id="rId11"/>
    <sheet name="M_sua_danh_muc" sheetId="12" r:id="rId12"/>
    <sheet name="Test Report" sheetId="4" r:id="rId13"/>
    <sheet name="Requrirement" sheetId="5" r:id="rId14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sz val="10"/>
            <rFont val="SimSun"/>
            <charset val="134"/>
          </rPr>
          <t>======
ID#AAABG4Y4SzA
    (2024-02-19 03:12:41)
*A: Add
  M: Modify
  D: Delete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G8" authorId="0">
      <text>
        <r>
          <rPr>
            <sz val="10"/>
            <rFont val="SimSun"/>
            <charset val="134"/>
          </rPr>
          <t>======
ID#AAABG4Y4SzE
    (2024-02-19 03:12:41)
Pass
Fail
Untested
N/A</t>
        </r>
      </text>
    </comment>
  </commentList>
</comments>
</file>

<file path=xl/sharedStrings.xml><?xml version="1.0" encoding="utf-8"?>
<sst xmlns="http://schemas.openxmlformats.org/spreadsheetml/2006/main" count="719" uniqueCount="330">
  <si>
    <t>TEST CASE</t>
  </si>
  <si>
    <t>Project Name</t>
  </si>
  <si>
    <t>Kiểm thử website quản lý thuê nhà trọ</t>
  </si>
  <si>
    <t>Creator</t>
  </si>
  <si>
    <t>Project Code</t>
  </si>
  <si>
    <t>Nhóm 14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</si>
  <si>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</si>
  <si>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</si>
  <si>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</si>
  <si>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</si>
  <si>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</si>
  <si>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</si>
  <si>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</si>
  <si>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</si>
  <si>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</si>
  <si>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</si>
  <si>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</si>
  <si>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</si>
  <si>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 xml:space="preserve"> </t>
  </si>
  <si>
    <t>TEST CASE LIST</t>
  </si>
  <si>
    <t>Test Environment Setup Description</t>
  </si>
  <si>
    <t>1. Server
2. Database
3. Web Browser</t>
  </si>
  <si>
    <t>No</t>
  </si>
  <si>
    <t>Requirement Name</t>
  </si>
  <si>
    <t>Function Name</t>
  </si>
  <si>
    <t>Sheet Name</t>
  </si>
  <si>
    <t>Description</t>
  </si>
  <si>
    <t>Pre-Condition</t>
  </si>
  <si>
    <t>Nguyễn Trí Dũng</t>
  </si>
  <si>
    <t>F_them_tin</t>
  </si>
  <si>
    <t>M_them_tin</t>
  </si>
  <si>
    <t>F_them_thanh_pho</t>
  </si>
  <si>
    <t>M_them_thanh_pho</t>
  </si>
  <si>
    <t>x</t>
  </si>
  <si>
    <t>Nguyễn Trung Chính</t>
  </si>
  <si>
    <t>F_dang_ky</t>
  </si>
  <si>
    <t>M_dang_ky</t>
  </si>
  <si>
    <t>F_dang_nhap</t>
  </si>
  <si>
    <t>M_dang_nhap</t>
  </si>
  <si>
    <t>Trần Văn Nam</t>
  </si>
  <si>
    <t>F_them_dich_vu</t>
  </si>
  <si>
    <t>M_them_dich_vu</t>
  </si>
  <si>
    <t>F_sua_dich_vu</t>
  </si>
  <si>
    <t>M_sua_dich_vu</t>
  </si>
  <si>
    <t>Vũ Văn Phong</t>
  </si>
  <si>
    <t>F_them_quan_huyen</t>
  </si>
  <si>
    <t>M_them_quan_huyen</t>
  </si>
  <si>
    <t>F_cap_nhat_thong_tin</t>
  </si>
  <si>
    <t>M_cap_nhat_thong_tin</t>
  </si>
  <si>
    <t>Nguyễn Văn Duy</t>
  </si>
  <si>
    <t>F_them_danh_muc</t>
  </si>
  <si>
    <t>M_them_danh_muc</t>
  </si>
  <si>
    <t>F_sua_danh_muc</t>
  </si>
  <si>
    <t>M_sua_danh_muc</t>
  </si>
  <si>
    <t>Module Code</t>
  </si>
  <si>
    <t>Pass</t>
  </si>
  <si>
    <t>Test requirement</t>
  </si>
  <si>
    <t>Kiểm thử chức năng đăng nhập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</si>
  <si>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</si>
  <si>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</si>
  <si>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</si>
  <si>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</si>
  <si>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</si>
  <si>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</si>
  <si>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</si>
  <si>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</si>
  <si>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Pre-condition</t>
  </si>
  <si>
    <t>Test Steps</t>
  </si>
  <si>
    <t>Expected Output</t>
  </si>
  <si>
    <t>Post-condtion</t>
  </si>
  <si>
    <t>Result</t>
  </si>
  <si>
    <t>Test date</t>
  </si>
  <si>
    <t>Note</t>
  </si>
  <si>
    <t>Check validation</t>
  </si>
  <si>
    <t>Không nhập email</t>
  </si>
  <si>
    <t>1. Nhập thông tin:
- Email: bỏ trống
- Password: Nhập giá trị hợp lệ
2. Click button Login</t>
  </si>
  <si>
    <t>2. Hệ thống hiển thị thông báo lỗi: "Email không được để trống"</t>
  </si>
  <si>
    <t>Không nhập mật khẩu</t>
  </si>
  <si>
    <t>1. Nhập thông tin:
- Email: anh@gmail.com
- Password: bỏ trống
2. Click button Login</t>
  </si>
  <si>
    <t>2. Hệ thống hiển thị thông báo lỗi: "Mật khẩu không được để trống.".</t>
  </si>
  <si>
    <t>Check Business</t>
  </si>
  <si>
    <t>Kiểm tra login khi nhập đúng thông tin tài khoản</t>
  </si>
  <si>
    <t>Hệ thống tồn tại account: 
username: chinhapiit@gmail.com
pass: 123456</t>
  </si>
  <si>
    <t>1. Nhập thông tin:
- Email: chinhapiit@gmail.com
- Password: 123456
2. Click button Login</t>
  </si>
  <si>
    <t>2. Login vào hệ thống thành công</t>
  </si>
  <si>
    <t>Kiểm tra login khi nhập Email không tồn tại trong hệ thống</t>
  </si>
  <si>
    <t>Hệ thống không tồn tại account: 
username: chinhapiit1@gmail.com
pass: 123456</t>
  </si>
  <si>
    <t>1. Nhập thông tin:
- Email: chinhapiit1@gmail.com
- Password: 123456
2. Click button Login</t>
  </si>
  <si>
    <t>2. Hệ thống hiển thị thông báo lỗi: "Sai tên đăng nhập hoặc mật khẩu.".</t>
  </si>
  <si>
    <t>Kiểm tra login khi nhập Mật khẩu không đúng</t>
  </si>
  <si>
    <t>1. Nhập thông tin:
- Email: chinhapiit@gmail.com
- Password: 1234567
2. Click button Login</t>
  </si>
  <si>
    <t>Hệ thống tồn tại account: 
username: chinhapiitt@gmail.com
pass: 123456</t>
  </si>
  <si>
    <t>1. Nhập thông tin:
- Email: chinhapiitt@gmail.com
- Password: 1234567
2. Click button Login</t>
  </si>
  <si>
    <t>Hệ thống tồn tại account: 
username: achinhapiit@gmail.com
pass: 123456</t>
  </si>
  <si>
    <t>1. Nhập thông tin:
- Email: achinhapiit@gmail.com
- Password: 1234567
2. Click button Login</t>
  </si>
  <si>
    <t>Kiểm thử chức năng đăng ký</t>
  </si>
  <si>
    <t>1. Nhập thông tin:
- Email: bỏ trống
- Phone : Nhập số điện thoại hợp lệ
- Fullname: Nguyễn Trung Chính
- Password: Nhập giá trị hợp lệ
2. Click button Register</t>
  </si>
  <si>
    <t>Email sai định dạng</t>
  </si>
  <si>
    <t>1 . Nhập thông tin 
- Email : adc123
- Phone : số điện thoại hợp lệ
- Fullname: Nguyễn Trung Chính
- Password : mật khẩu hợp lệ 
2 . Click button register</t>
  </si>
  <si>
    <t>2. Hệ thống hiển thị thông báo lỗi: "Email không đúng định dạng.".</t>
  </si>
  <si>
    <t>Kiểm tra đăng ký với Email đã tồn tại</t>
  </si>
  <si>
    <t>Hệ thống đã có tài khoản với Email: test@gmail.com</t>
  </si>
  <si>
    <t>1 . Nhập thông tin đăng ký:
- Email: test@gmail.com
 (đã tồn tại)
- Fullname: Nguyễn Trung Chính
- Phone: 0388674883
- Password: Abc123
2 . Click button Register</t>
  </si>
  <si>
    <t>2. Email đã được sử dụng</t>
  </si>
  <si>
    <t>Đăng ký với số điện thoại đã tồn tại</t>
  </si>
  <si>
    <t>Hệ thống đã có số điện thoại 0388674881</t>
  </si>
  <si>
    <t>1. Nhập thông tin:
- Email: Email hợp lệ
- Password: Mật khẩu hợp lệ
- Fullname: Nguyễn Trung Chính
- Phone : 0388674883
2. Click button Register</t>
  </si>
  <si>
    <t>Số điện thoại đã được sử dụng</t>
  </si>
  <si>
    <t>Đăng ký thành công</t>
  </si>
  <si>
    <t>Email &amp; Phone chưa tồn tại</t>
  </si>
  <si>
    <t>1. Nhập thông tin:
- Email: test@gmail.com
- Phone: 0388674881
- Fullname: Nguyễn Trung Chính
- Password : Chinh131016@
2. Click button Register</t>
  </si>
  <si>
    <t>Đăng ký thành công / chuyển màn hình Login</t>
  </si>
  <si>
    <t>M_Them_tin</t>
  </si>
  <si>
    <t>Kiểm thử chức năng thêm tin đăng phòng trọ mới</t>
  </si>
  <si>
    <t>Không nhập tiêu đề</t>
  </si>
  <si>
    <t>Đã đăng nhập</t>
  </si>
  <si>
    <t>1. Để trống trường tiêu đề
2. Nhập các trường khác đầy đủ
3. Click "Đăng tin"</t>
  </si>
  <si>
    <t>Hiển thị thông báo: "Tiêu đề quá ngắn, vui lòng nhập ít nhất 10 ký tự!"</t>
  </si>
  <si>
    <t>Không nhập giá thuê</t>
  </si>
  <si>
    <t>1. Để trống trường giá thuê
2. Nhập các trường khác đầy đủ
3. Click "Đăng tin"</t>
  </si>
  <si>
    <t>Hiển thị thông báo: "Vui lòng nhập đầy đủ thông tin bắt buộc!"</t>
  </si>
  <si>
    <t>Thêm tin thành công với đầy đủ thông tin</t>
  </si>
  <si>
    <t>Đã đăng nhập, có danh mục, thành phố, quận huyện</t>
  </si>
  <si>
    <t>1. Nhập đầy đủ thông tin hợp lệ
2. Upload ảnh đại diện
3. Click "Đăng tin"</t>
  </si>
  <si>
    <t>Hiển thị thông báo: "🎉 Đăng tin thành công! Tin của bạn đang chờ duyệt."</t>
  </si>
  <si>
    <t>Tin được lưu với status=1</t>
  </si>
  <si>
    <t>Upload ảnh không đúng định dạng</t>
  </si>
  <si>
    <t>1. Upload file ảnh có đuôi .gif
2. Nhập đầy đủ thông tin
3. Click "Đăng tin"</t>
  </si>
  <si>
    <t>Hiển thị thông báo: "Ảnh đại diện chỉ chấp nhận JPG, JPEG, PNG hoặc WEBP!"</t>
  </si>
  <si>
    <t xml:space="preserve"> Thêm tin không có ảnh đại diện</t>
  </si>
  <si>
    <t>1. Không upload ảnh đại diện
2. Nhập đầy đủ thông tin khác
3. Click "Đăng tin"</t>
  </si>
  <si>
    <t xml:space="preserve">Đăng tin thành công, không có ảnh đại diện </t>
  </si>
  <si>
    <t xml:space="preserve">Tin được lưu với image="" </t>
  </si>
  <si>
    <t>Upload nhiều ảnh phụ</t>
  </si>
  <si>
    <t>1. Upload 5 ảnh phụ hợp lệ
2. Nhập đầy đủ thông tin
3. Click "Đăng tin"</t>
  </si>
  <si>
    <t xml:space="preserve">Đăng tin thành công, lưu danh sách ảnh </t>
  </si>
  <si>
    <t xml:space="preserve">list_image chứa đường dẫn các ảnh </t>
  </si>
  <si>
    <t>Tin đăng có gói VIP</t>
  </si>
  <si>
    <t>1. Chọn gói VIP=1
2. Nhập đầy đủ thông tin
3. Click "Đăng tin"</t>
  </si>
  <si>
    <t xml:space="preserve">Đăng tin thành công với vip=1 </t>
  </si>
  <si>
    <t xml:space="preserve">Tin được ưu tiên hiển thị </t>
  </si>
  <si>
    <t>M_Them_thanh_pho</t>
  </si>
  <si>
    <t>Kiểm thử chức năng thêm tỉnh/thành phố mới vào hệ thống</t>
  </si>
  <si>
    <t>Không nhập tên thành phố</t>
  </si>
  <si>
    <t>User có quyền ADMIN</t>
  </si>
  <si>
    <t>1. Để trống trường tên thành phố
2. Click "Thêm mới"</t>
  </si>
  <si>
    <t>Hiển thị thông báo: "Vui lòng nhập tên tỉnh/thành phố"</t>
  </si>
  <si>
    <t>Nhập tên thành phố đã tồn tại</t>
  </si>
  <si>
    <t>Đã có thành phố "Hà Nội"</t>
  </si>
  <si>
    <t>1. Nhập tên: "Hà Nội"
2. Click "Thêm mới"</t>
  </si>
  <si>
    <t>Hiển thị thông báo: "Tỉnh/Thành phố đã tồn tại"</t>
  </si>
  <si>
    <t>Thêm thành phố mới thành công</t>
  </si>
  <si>
    <t>1. Nhập tên: "Đà Nẵng"
2. Chọn status: "active"
3. Click "Thêm mới"</t>
  </si>
  <si>
    <t>Hiển thị thông báo: "Thêm Tỉnh/Thành phố thành công"</t>
  </si>
  <si>
    <t>Thành phố được lưu vào database</t>
  </si>
  <si>
    <t>Kiểm tra slug tự động tạo</t>
  </si>
  <si>
    <t xml:space="preserve"> 1. Nhập tên: "Hồ Chí Minh"
2. Click "Thêm mới"</t>
  </si>
  <si>
    <t>Tạo slug "ho-chi-minh" tự động</t>
  </si>
  <si>
    <t>Slug được lưu cùng thành phố</t>
  </si>
  <si>
    <t>Thêm thành phố với status inactive</t>
  </si>
  <si>
    <t>1. Nhập tên: "Cần Thơ"
2. Chọn status: "inactive"
3. Click "Thêm mới"</t>
  </si>
  <si>
    <t xml:space="preserve">Thêm thành công với status inactive </t>
  </si>
  <si>
    <t xml:space="preserve">Thành phố không hiển thị cho user </t>
  </si>
  <si>
    <t>Kiểm thử chức năng thêm quận huyện mới</t>
  </si>
  <si>
    <t>Không nhập quận</t>
  </si>
  <si>
    <t>1. Nhập thông tin:
- Quận : Tên quận không được để trống 
2. Bấm lưu</t>
  </si>
  <si>
    <t>2. Hệ thống hiển thị thông báo lỗi: "Tên quận không được để trống"</t>
  </si>
  <si>
    <t>Nhập tên quận quá 100 ký tự</t>
  </si>
  <si>
    <t>1. Nhập thông tin:
- Quận : lớn hơn 100 ký tự
2. Bấm lưu</t>
  </si>
  <si>
    <t>2. Hệ thống hiển thị thông báo lỗi: "Tên quận quá dài.".</t>
  </si>
  <si>
    <t>Không lưu</t>
  </si>
  <si>
    <t>Thêm quận bị trùng tên</t>
  </si>
  <si>
    <t>Hệ thống đã tồn tại quận “Quận 1”</t>
  </si>
  <si>
    <t>1. Nhập thông tin:
- Quận: Quận 1
2. Bấm lưu</t>
  </si>
  <si>
    <t>Tên quận đã tồn tại</t>
  </si>
  <si>
    <t>Thêm quận hợp lệ</t>
  </si>
  <si>
    <t>Không có quận "Quận 7"</t>
  </si>
  <si>
    <t>1. Nhập thông tin:
- Quận: Quận 7
2. Bấm lưu</t>
  </si>
  <si>
    <t>2. Hệ thống hiển thị thông báo : "Thêm quận thành công.".</t>
  </si>
  <si>
    <t>Bản ghi được tạo</t>
  </si>
  <si>
    <t>Kiểm thử chức năng thêm gói dịch vụ mới</t>
  </si>
  <si>
    <t>Không nhập loại bài đăng</t>
  </si>
  <si>
    <t>1. Nhập thông tin:
- Để trống "post_type"
- Nhập giá: 500000 
2. Click button Thêm</t>
  </si>
  <si>
    <t>Hiển thị: "Vui lòng nhập đầy đủ thông tin gói dịch vụ"</t>
  </si>
  <si>
    <t>Không có dữ liệu mới</t>
  </si>
  <si>
    <t>Không nhập giá</t>
  </si>
  <si>
    <t>1. Nhập thông tin:
- Nhập post_type: "VIP 1 tháng"
- Để trống giá
2. Click button Thêm</t>
  </si>
  <si>
    <t>Nhập giá âm</t>
  </si>
  <si>
    <t>1. Nhập thông tin:
- Nhập post_type: "VIP Test"
- Nhập giá: -1000
2. Click button Thêm</t>
  </si>
  <si>
    <t>Hiển thị: "Giá phải là số hợp lệ lớn hơn hoặc bằng 0"</t>
  </si>
  <si>
    <t>Thêm gói dịch vụ thành công</t>
  </si>
  <si>
    <t>1. User có quyền ADMIN
2. Loại bài đăng chưa tồn tại</t>
  </si>
  <si>
    <t>1. Nhập thông tin:
- Nhập post_type: "VIP 3 tháng"
- Nhập giá: 1200000
- Chọn status: "active"
2. Click button Thêm</t>
  </si>
  <si>
    <t>Hiển thị: "Thêm gói dịch vụ thành công"</t>
  </si>
  <si>
    <t>Dữ liệu được lưu vào DB</t>
  </si>
  <si>
    <t>Thêm gói dịch vụ trùng loại bài đăng</t>
  </si>
  <si>
    <t xml:space="preserve"> Đã có gói "VIP 1 tháng"</t>
  </si>
  <si>
    <t>1. Nhập thông tin:
- Nhập post_type: "VIP 1 tháng" (trùng)
- Nhập giá hợp lệ
2. Click button Login</t>
  </si>
  <si>
    <t>Hiển thị: "Loại bài đăng này đã tồn tại"</t>
  </si>
  <si>
    <t>Thêm gói với status "inactive"</t>
  </si>
  <si>
    <t>1. Nhập thông tin:
- Nhập post_type: "Gói ẩn"
- Nhập giá hợp lệ
- Chọn status: "inactive"
2. Click button Login</t>
  </si>
  <si>
    <t>Thêm thành công với status="inactive"</t>
  </si>
  <si>
    <t>Thêm gói với giá = 0</t>
  </si>
  <si>
    <t>1. Nhập thông tin:
- Nhập post_type: "Gói miễn phí"
- Nhập giá: 0
2. Click button Login</t>
  </si>
  <si>
    <t>Thêm thành công với giá 0</t>
  </si>
  <si>
    <t>Kiểm thử chức năng cập nhật gói dịch vụ</t>
  </si>
  <si>
    <t>Không nhập ID gói dịch vụ</t>
  </si>
  <si>
    <t>1. Nhập thông tin:
- Để trống ID
- Nhập các thông tin khác đầy đủ
2. Click button Cập nhật</t>
  </si>
  <si>
    <t>Hiển thị: "Thiếu ID gói dịch vụ"</t>
  </si>
  <si>
    <t>Không có thay đổi</t>
  </si>
  <si>
    <t xml:space="preserve"> Có gói dịch vụ ID=1</t>
  </si>
  <si>
    <t>1. Nhập thông tin:
- Chọn gói ID=1
- Xóa post_type
2. Click button Cập nhật</t>
  </si>
  <si>
    <t>Hiển thị: "Vui lòng nhập đầy đủ thông tin"</t>
  </si>
  <si>
    <t xml:space="preserve">Dữ liệu không thay đổi </t>
  </si>
  <si>
    <t>Cập nhật giá không hợp lệ</t>
  </si>
  <si>
    <t>1. Nhập thông tin:
- Chọn gói ID=1
- Sửa giá thành "abc"
2. Click button Cập nhật</t>
  </si>
  <si>
    <t>Hiển thị: "Giá phải là số hợp lệ"</t>
  </si>
  <si>
    <t>Cập nhật gói dịch vụ thành công</t>
  </si>
  <si>
    <t>1. Nhập thông tin:
- Chọn gói ID=1
- Sửa post_type thành "VIP Pro"
- Sửa giá thành 1500000
2. Click button Cập nhật</t>
  </si>
  <si>
    <t>Hiển thị: "Cập nhật gói dịch vụ thành công"</t>
  </si>
  <si>
    <t xml:space="preserve">Dữ liệu được cập nhật </t>
  </si>
  <si>
    <t xml:space="preserve"> Cập nhật trùng loại bài đăng khác</t>
  </si>
  <si>
    <t>Có 2 gói dịch vụ A(ID=1) và B(ID=2)</t>
  </si>
  <si>
    <t>1. Nhập thông tin:
- Chọn gói A (ID=1)
- Sửa post_type trùng với gói B
2. Click button Cập nhật</t>
  </si>
  <si>
    <t>Cập nhật gói không tồn tại</t>
  </si>
  <si>
    <t>1. Nhập thông tin:
- Nhập ID=9999 (không tồn tại)
- Nhập thông tin hợp lệ
2. Click button Cập nhật</t>
  </si>
  <si>
    <t>Hiển thị: "Không tìm thấy gói dịch vụ"</t>
  </si>
  <si>
    <t>Cập nhật status thành "inactive"</t>
  </si>
  <si>
    <t>Có gói dịch vụ đang "active"</t>
  </si>
  <si>
    <t>1. Nhập thông tin:
- Chọn gói đang active
- Đổi status thành "inactive"
2. Click button Cập nhật</t>
  </si>
  <si>
    <t>Cập nhật thành công với status="inactive"</t>
  </si>
  <si>
    <t>&lt;Brief description about requirements which are tested in this sheet&gt;</t>
  </si>
  <si>
    <t>[M_cap_nhat_thong_tin-1]</t>
  </si>
  <si>
    <t>Không nhập fullname</t>
  </si>
  <si>
    <t>User đã đăng nhập</t>
  </si>
  <si>
    <t>1. Để fullname trống 2. Nhập email hợp lệ 3. Nhập phone hợp lệ 4. Click "Lưu"</t>
  </si>
  <si>
    <t>Hiển thị lỗi: "Vui lòng nhập đầy đủ thông tin!"</t>
  </si>
  <si>
    <t>Không cập nhật</t>
  </si>
  <si>
    <t>[M_cap_nhat_thong_tin-2]</t>
  </si>
  <si>
    <t>1. Nhập fullname 2. Nhập email: abc@@gmail..com 3. Nhập phone hợp lệ 4. Click "Lưu"</t>
  </si>
  <si>
    <t>Hiển thị lỗi: "Email không hợp lệ!"</t>
  </si>
  <si>
    <t>Số điện thoại không hợp lệ (chữ cái)</t>
  </si>
  <si>
    <t>1. Nhập fullname 2. Nhập email hợp lệ 3. Nhập phone: 123ABC456 4. Click "Lưu"</t>
  </si>
  <si>
    <t>Hiển thị lỗi: "Số điện thoại không hợp lệ!"</t>
  </si>
  <si>
    <t>Số điện thoại ít hơn 9 số</t>
  </si>
  <si>
    <t>Nhập phone: 1234567</t>
  </si>
  <si>
    <t>Số điện thoại nhiều hơn 11 số</t>
  </si>
  <si>
    <t>Nhập phone: 012345678901</t>
  </si>
  <si>
    <t>Kiểm thử chức năng thêm danh mục mới</t>
  </si>
  <si>
    <t xml:space="preserve">không nhập tên danh mục </t>
  </si>
  <si>
    <t xml:space="preserve">form thêm danh mục mở sẵn </t>
  </si>
  <si>
    <t>1. Nhập thông tin:
- title: bỏ trống
- Status: Nhập giá trị hợp lệ
2. Click button Thêm danh mục</t>
  </si>
  <si>
    <t>2. Hệ thống hiển thị thông báo lỗi: "Vui lòng nhập tên danh mục"</t>
  </si>
  <si>
    <t>Nhập tên danh mục đã tồn tại</t>
  </si>
  <si>
    <t xml:space="preserve">trong DB đã có danh mục </t>
  </si>
  <si>
    <t>1. Nhập thông tin:
- title:trùng với db
- Status:trùng với db
2. Click button Thêm danh mục</t>
  </si>
  <si>
    <t>2. Hệ thống hiển thị thông báo lỗi: "Danh mục này đã tồn tại trong hệ thống.".</t>
  </si>
  <si>
    <t xml:space="preserve">Them danh mục hợp lệ </t>
  </si>
  <si>
    <t>Danh mục chưa tồn tại trong hệ thống</t>
  </si>
  <si>
    <t>1. Nhập thông tin:
- title:tên mới
- Status:nội dung mới
2. Click button Thêm danh mục</t>
  </si>
  <si>
    <t>2. Hệ thống hiển thị thông báo lỗi: "  Thêm danh mục thành công .".</t>
  </si>
  <si>
    <t xml:space="preserve">Lỗi hệ thống khi insert thất bại </t>
  </si>
  <si>
    <t>Giả lập lỗi DB</t>
  </si>
  <si>
    <t>2. Hệ thống hiển thị thông báo lỗi: "  Thêm danh mục thất bại.".</t>
  </si>
  <si>
    <t>Nhập Status nhưng bỏ trống title</t>
  </si>
  <si>
    <t>bỏ trống trường "title"</t>
  </si>
  <si>
    <t>1. Nhập thông tin:
- title:bỏ trống
- Status:nội dung mới
2. Click button Thêm danh mục</t>
  </si>
  <si>
    <t>2. Hệ thống hiển thị thông báo lỗi: "Vui lòng nhập tên Danh mục .".</t>
  </si>
  <si>
    <t>Nhập title có kí tự đặc biệt</t>
  </si>
  <si>
    <t>nhập kí tự đặc biệt</t>
  </si>
  <si>
    <t>1. Nhập thông tin:
- title:nội dung kèm kí tự đặc biệt
- Status:nội dung mới
2. Click button Thêm danh mục</t>
  </si>
  <si>
    <t>→ Hệ thống tạo slug chuẩn hóa 2. Hệ thống hiển thị thông báo lỗi: "thêm danh mục thành công.".</t>
  </si>
  <si>
    <t>Kiểm thử chức năng cập nhật danh mục</t>
  </si>
  <si>
    <t xml:space="preserve">thiếu ID danh mục </t>
  </si>
  <si>
    <t xml:space="preserve">gửi request ko có id </t>
  </si>
  <si>
    <t>1. Nhập thông tin:
- id = ""
-title = "Dịch vụ"
-status = "Hiển thị"
2. Click button sửa cập nhật</t>
  </si>
  <si>
    <t>2. Hệ thống hiển thị thông báo lỗi: "Thiếu ID danh mục"</t>
  </si>
  <si>
    <t xml:space="preserve">ID không hợp lệ </t>
  </si>
  <si>
    <t>ID=0</t>
  </si>
  <si>
    <t>1. Nhập thông tin:
- id = "0"
-title = "ABC"
-status = "Hiển thị"
2. Click button sửa cập nhật</t>
  </si>
  <si>
    <t xml:space="preserve">Không nhập tên danh mục </t>
  </si>
  <si>
    <t>ID tồn tại</t>
  </si>
  <si>
    <t>1. Nhập thông tin:
- id = "10"
-title = bỏ trống 
-status = "Hiển thị"
2. Click button cập nhật</t>
  </si>
  <si>
    <t>2. Hệ thống hiển thị thông báo lỗi: "Tên Danh mục không được để trống"</t>
  </si>
  <si>
    <t>Danh mục không tồn tại theo ID</t>
  </si>
  <si>
    <t>ID =999 không có trong DB</t>
  </si>
  <si>
    <t>1. Nhập thông tin:
- id = "999"
-title = ''ABC'' 
-status = "Hiển thị"
2. Click button sửa cập nhật</t>
  </si>
  <si>
    <t>2. Hệ thống hiển thị thông báo lỗi: "Danh mục không tồn tại .".</t>
  </si>
  <si>
    <t>Trùng tên với danh mục khác</t>
  </si>
  <si>
    <t xml:space="preserve">DB có :  Danh mục A ID=1 , title=ABC;Danh mục B ID=2                                        </t>
  </si>
  <si>
    <t>1. Nhập thông tin:
- id = "2"
-title = ''ABC'' 
-status = "Hiển thị"
2. Click button sửa cập nhật</t>
  </si>
  <si>
    <t>2. Hệ thống hiển thị thông báo lỗi: "Tên Danh mục hoặc slug đã tồn tại.".</t>
  </si>
  <si>
    <t xml:space="preserve">Sửa hợp lệ </t>
  </si>
  <si>
    <t>Có ID=5</t>
  </si>
  <si>
    <t>1. Nhập thông tin:
- id = "5"
-title = ''ABC'' 
-status = "Hiển thị"
2. Click button sửa cập nhật</t>
  </si>
  <si>
    <t>2. Hệ thống hiển thị thông báo lỗi: "Cập nhật danh mục thành công.".</t>
  </si>
  <si>
    <t xml:space="preserve">Lỗi hệ thống khi update thất bại </t>
  </si>
  <si>
    <t>lỗi DB/transaction</t>
  </si>
  <si>
    <t>1. Nhập thông tin:
- id = "5"
-title = ''ABC'' 
-mô phỏng lỗi DB
2. Click button cập nhật</t>
  </si>
  <si>
    <t>2. Hệ thống hiển thị thông báo lỗi: "Cập nhật thất bại .".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</si>
  <si>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</si>
  <si>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</si>
  <si>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</si>
  <si>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</si>
  <si>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</si>
  <si>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</si>
  <si>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</si>
  <si>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</si>
  <si>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</si>
  <si>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</si>
  <si>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1.</t>
  </si>
  <si>
    <t>Wireframe màn hình Login</t>
  </si>
  <si>
    <t>2.</t>
  </si>
  <si>
    <t>Mô tả</t>
  </si>
  <si>
    <t>Màn hình thực hiện chức năng đăng nhập hệ thống</t>
  </si>
  <si>
    <t>Tên trường</t>
  </si>
  <si>
    <t>Kiểu dữ liệu</t>
  </si>
  <si>
    <t>Độ dài</t>
  </si>
  <si>
    <t>Bắt buộc</t>
  </si>
  <si>
    <t>Định dạng</t>
  </si>
  <si>
    <t>Tên đăng nhập</t>
  </si>
  <si>
    <t>String</t>
  </si>
  <si>
    <t>y</t>
  </si>
  <si>
    <t>Địa chỉ Email</t>
  </si>
  <si>
    <t>Mật khẩu</t>
  </si>
  <si>
    <t>3.</t>
  </si>
  <si>
    <t>Ràng buộc</t>
  </si>
  <si>
    <t>Nếu người dùng nhập sai tên đăng nhập hoặc mật khẩu thì hệ thống báo lỗi: "Sai tên đăng nhập hoặc mật khẩu."</t>
  </si>
  <si>
    <t>Nếu người dùng bỏ trống email thì hệ thống báo lỗi: "Email không được để trống"</t>
  </si>
  <si>
    <t>Nếu người dùng bỏ trống password thì hệ thống báo lỗi: "Mật khẩu đăng nhập không được để trống"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</si>
</sst>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48">
    <font>
      <sz val="11"/>
      <color rgb="FF000000"/>
      <name val="MS PGothic"/>
      <charset val="134"/>
      <scheme val="minor"/>
    </font>
    <font>
      <sz val="11"/>
      <color theme="1"/>
      <name val="MS PGothic"/>
      <charset val="134"/>
    </font>
    <font>
      <b/>
      <sz val="11"/>
      <color theme="1"/>
      <name val="MS PGothic"/>
      <charset val="134"/>
    </font>
    <font>
      <sz val="10"/>
      <color rgb="FF000000"/>
      <name val="Tahoma"/>
      <charset val="134"/>
    </font>
    <font>
      <sz val="10"/>
      <color theme="1"/>
      <name val="Tahoma"/>
      <charset val="134"/>
    </font>
    <font>
      <b/>
      <sz val="10"/>
      <color rgb="FF000000"/>
      <name val="Tahoma"/>
      <charset val="134"/>
    </font>
    <font>
      <sz val="10"/>
      <name val="Tahoma"/>
      <charset val="134"/>
    </font>
    <font>
      <b/>
      <sz val="10"/>
      <color theme="1"/>
      <name val="Tahoma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b/>
      <sz val="10"/>
      <color rgb="FFFFFFFF"/>
      <name val="Tahoma"/>
      <charset val="134"/>
    </font>
    <font>
      <u/>
      <sz val="10"/>
      <color rgb="FF800080"/>
      <name val="Tahoma"/>
      <charset val="0"/>
    </font>
    <font>
      <u/>
      <sz val="10"/>
      <color rgb="FF0000FF"/>
      <name val="Tahoma"/>
      <charset val="0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10"/>
      <color rgb="FFFF0000"/>
      <name val="Tahoma"/>
      <charset val="134"/>
    </font>
    <font>
      <sz val="11"/>
      <color rgb="FF000000"/>
      <name val="Tahoma"/>
      <charset val="134"/>
    </font>
    <font>
      <sz val="11"/>
      <name val="MS PGothic"/>
      <charset val="134"/>
      <scheme val="minor"/>
    </font>
    <font>
      <sz val="11"/>
      <name val="Tahoma"/>
      <charset val="134"/>
    </font>
    <font>
      <sz val="13"/>
      <color rgb="FF000000"/>
      <name val="Times New Roman Regular"/>
      <charset val="134"/>
    </font>
    <font>
      <b/>
      <sz val="20"/>
      <color rgb="FF000000"/>
      <name val="Tahoma"/>
      <charset val="134"/>
    </font>
    <font>
      <b/>
      <sz val="10"/>
      <color rgb="FFFF0000"/>
      <name val="Tahoma"/>
      <charset val="134"/>
    </font>
    <font>
      <b/>
      <sz val="10"/>
      <color indexed="9"/>
      <name val="Tahoma"/>
      <charset val="0"/>
    </font>
    <font>
      <sz val="10"/>
      <name val="Tahoma"/>
      <charset val="0"/>
    </font>
    <font>
      <u/>
      <sz val="11"/>
      <color rgb="FF800080"/>
      <name val="MS PGothic"/>
      <charset val="0"/>
      <scheme val="minor"/>
    </font>
    <font>
      <b/>
      <sz val="22"/>
      <color rgb="FFFF0000"/>
      <name val="Tahoma"/>
      <charset val="134"/>
    </font>
    <font>
      <b/>
      <sz val="26"/>
      <color rgb="FFFF0000"/>
      <name val="Tahoma"/>
      <charset val="134"/>
    </font>
    <font>
      <sz val="11"/>
      <color theme="1"/>
      <name val="MS PGothic"/>
      <charset val="134"/>
      <scheme val="minor"/>
    </font>
    <font>
      <u/>
      <sz val="11"/>
      <color rgb="FF0000FF"/>
      <name val="MS PGothic"/>
      <charset val="0"/>
      <scheme val="minor"/>
    </font>
    <font>
      <sz val="11"/>
      <color rgb="FFFF0000"/>
      <name val="MS PGothic"/>
      <charset val="0"/>
      <scheme val="minor"/>
    </font>
    <font>
      <b/>
      <sz val="18"/>
      <color theme="3"/>
      <name val="MS PGothic"/>
      <charset val="134"/>
      <scheme val="minor"/>
    </font>
    <font>
      <i/>
      <sz val="11"/>
      <color rgb="FF7F7F7F"/>
      <name val="MS PGothic"/>
      <charset val="0"/>
      <scheme val="minor"/>
    </font>
    <font>
      <b/>
      <sz val="15"/>
      <color theme="3"/>
      <name val="MS PGothic"/>
      <charset val="134"/>
      <scheme val="minor"/>
    </font>
    <font>
      <b/>
      <sz val="13"/>
      <color theme="3"/>
      <name val="MS PGothic"/>
      <charset val="134"/>
      <scheme val="minor"/>
    </font>
    <font>
      <b/>
      <sz val="11"/>
      <color theme="3"/>
      <name val="MS PGothic"/>
      <charset val="134"/>
      <scheme val="minor"/>
    </font>
    <font>
      <sz val="11"/>
      <color rgb="FF3F3F76"/>
      <name val="MS PGothic"/>
      <charset val="0"/>
      <scheme val="minor"/>
    </font>
    <font>
      <b/>
      <sz val="11"/>
      <color rgb="FF3F3F3F"/>
      <name val="MS PGothic"/>
      <charset val="0"/>
      <scheme val="minor"/>
    </font>
    <font>
      <b/>
      <sz val="11"/>
      <color rgb="FFFA7D00"/>
      <name val="MS PGothic"/>
      <charset val="0"/>
      <scheme val="minor"/>
    </font>
    <font>
      <b/>
      <sz val="11"/>
      <color rgb="FFFFFFFF"/>
      <name val="MS PGothic"/>
      <charset val="0"/>
      <scheme val="minor"/>
    </font>
    <font>
      <sz val="11"/>
      <color rgb="FFFA7D00"/>
      <name val="MS PGothic"/>
      <charset val="0"/>
      <scheme val="minor"/>
    </font>
    <font>
      <b/>
      <sz val="11"/>
      <color theme="1"/>
      <name val="MS PGothic"/>
      <charset val="0"/>
      <scheme val="minor"/>
    </font>
    <font>
      <sz val="11"/>
      <color rgb="FF006100"/>
      <name val="MS PGothic"/>
      <charset val="0"/>
      <scheme val="minor"/>
    </font>
    <font>
      <sz val="11"/>
      <color rgb="FF9C0006"/>
      <name val="MS PGothic"/>
      <charset val="0"/>
      <scheme val="minor"/>
    </font>
    <font>
      <sz val="11"/>
      <color rgb="FF9C6500"/>
      <name val="MS PGothic"/>
      <charset val="0"/>
      <scheme val="minor"/>
    </font>
    <font>
      <sz val="11"/>
      <color theme="0"/>
      <name val="MS PGothic"/>
      <charset val="0"/>
      <scheme val="minor"/>
    </font>
    <font>
      <sz val="11"/>
      <color theme="1"/>
      <name val="MS PGothic"/>
      <charset val="0"/>
      <scheme val="minor"/>
    </font>
    <font>
      <sz val="11"/>
      <name val="ＭＳ Ｐゴシック"/>
      <charset val="0"/>
    </font>
    <font>
      <sz val="10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auto="1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178" fontId="27" fillId="0" borderId="0" applyFont="0" applyFill="0" applyBorder="0" applyAlignment="0" applyProtection="0">
      <alignment vertical="center"/>
    </xf>
    <xf numFmtId="179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8" borderId="42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34" fillId="0" borderId="44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45" applyNumberFormat="0" applyAlignment="0" applyProtection="0">
      <alignment vertical="center"/>
    </xf>
    <xf numFmtId="0" fontId="36" fillId="10" borderId="46" applyNumberFormat="0" applyAlignment="0" applyProtection="0">
      <alignment vertical="center"/>
    </xf>
    <xf numFmtId="0" fontId="37" fillId="10" borderId="45" applyNumberFormat="0" applyAlignment="0" applyProtection="0">
      <alignment vertical="center"/>
    </xf>
    <xf numFmtId="0" fontId="38" fillId="11" borderId="47" applyNumberFormat="0" applyAlignment="0" applyProtection="0">
      <alignment vertical="center"/>
    </xf>
    <xf numFmtId="0" fontId="39" fillId="0" borderId="48" applyNumberFormat="0" applyFill="0" applyAlignment="0" applyProtection="0">
      <alignment vertical="center"/>
    </xf>
    <xf numFmtId="0" fontId="40" fillId="0" borderId="49" applyNumberFormat="0" applyFill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6" fillId="0" borderId="0"/>
  </cellStyleXfs>
  <cellXfs count="22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 applyAlignment="1"/>
    <xf numFmtId="0" fontId="4" fillId="2" borderId="0" xfId="0" applyFont="1" applyFill="1" applyBorder="1" applyAlignment="1"/>
    <xf numFmtId="0" fontId="5" fillId="2" borderId="0" xfId="0" applyFont="1" applyFill="1" applyBorder="1" applyAlignment="1">
      <alignment horizontal="center"/>
    </xf>
    <xf numFmtId="0" fontId="6" fillId="0" borderId="0" xfId="0" applyFont="1" applyBorder="1"/>
    <xf numFmtId="0" fontId="7" fillId="2" borderId="0" xfId="0" applyFont="1" applyFill="1" applyBorder="1" applyAlignment="1"/>
    <xf numFmtId="15" fontId="4" fillId="2" borderId="0" xfId="0" applyNumberFormat="1" applyFont="1" applyFill="1" applyBorder="1" applyAlignment="1"/>
    <xf numFmtId="0" fontId="8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/>
    </xf>
    <xf numFmtId="0" fontId="6" fillId="0" borderId="3" xfId="0" applyFont="1" applyBorder="1"/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vertical="top"/>
    </xf>
    <xf numFmtId="0" fontId="8" fillId="2" borderId="1" xfId="0" applyFont="1" applyFill="1" applyBorder="1" applyAlignment="1">
      <alignment vertical="center"/>
    </xf>
    <xf numFmtId="58" fontId="8" fillId="2" borderId="3" xfId="0" applyNumberFormat="1" applyFont="1" applyFill="1" applyBorder="1" applyAlignment="1">
      <alignment horizontal="left"/>
    </xf>
    <xf numFmtId="0" fontId="9" fillId="2" borderId="3" xfId="0" applyFont="1" applyFill="1" applyBorder="1" applyAlignment="1">
      <alignment vertical="top"/>
    </xf>
    <xf numFmtId="0" fontId="9" fillId="2" borderId="2" xfId="0" applyFont="1" applyFill="1" applyBorder="1" applyAlignment="1">
      <alignment vertical="top"/>
    </xf>
    <xf numFmtId="0" fontId="6" fillId="0" borderId="4" xfId="0" applyFont="1" applyBorder="1"/>
    <xf numFmtId="0" fontId="8" fillId="2" borderId="0" xfId="0" applyFont="1" applyFill="1" applyBorder="1" applyAlignment="1"/>
    <xf numFmtId="0" fontId="9" fillId="2" borderId="0" xfId="0" applyFont="1" applyFill="1" applyBorder="1" applyAlignment="1"/>
    <xf numFmtId="0" fontId="4" fillId="2" borderId="5" xfId="0" applyFont="1" applyFill="1" applyBorder="1" applyAlignment="1"/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wrapText="1"/>
    </xf>
    <xf numFmtId="0" fontId="10" fillId="3" borderId="8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/>
    </xf>
    <xf numFmtId="0" fontId="11" fillId="2" borderId="11" xfId="6" applyFont="1" applyFill="1" applyBorder="1" applyAlignment="1"/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12" fillId="2" borderId="11" xfId="6" applyFont="1" applyFill="1" applyBorder="1" applyAlignment="1"/>
    <xf numFmtId="0" fontId="13" fillId="3" borderId="14" xfId="0" applyFont="1" applyFill="1" applyBorder="1" applyAlignment="1">
      <alignment horizontal="center"/>
    </xf>
    <xf numFmtId="0" fontId="10" fillId="3" borderId="15" xfId="0" applyFont="1" applyFill="1" applyBorder="1" applyAlignment="1"/>
    <xf numFmtId="0" fontId="13" fillId="3" borderId="15" xfId="0" applyFont="1" applyFill="1" applyBorder="1" applyAlignment="1">
      <alignment horizontal="center"/>
    </xf>
    <xf numFmtId="0" fontId="13" fillId="3" borderId="16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0" fontId="4" fillId="2" borderId="0" xfId="0" applyNumberFormat="1" applyFont="1" applyFill="1" applyBorder="1" applyAlignment="1">
      <alignment horizontal="center"/>
    </xf>
    <xf numFmtId="9" fontId="4" fillId="2" borderId="0" xfId="0" applyNumberFormat="1" applyFont="1" applyFill="1" applyBorder="1" applyAlignment="1">
      <alignment horizontal="center"/>
    </xf>
    <xf numFmtId="0" fontId="8" fillId="2" borderId="0" xfId="0" applyFont="1" applyFill="1" applyBorder="1" applyAlignment="1">
      <alignment horizontal="left"/>
    </xf>
    <xf numFmtId="2" fontId="14" fillId="2" borderId="0" xfId="0" applyNumberFormat="1" applyFont="1" applyFill="1" applyBorder="1" applyAlignment="1">
      <alignment horizontal="right" wrapText="1"/>
    </xf>
    <xf numFmtId="0" fontId="3" fillId="2" borderId="0" xfId="0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3" fillId="2" borderId="17" xfId="0" applyFont="1" applyFill="1" applyBorder="1" applyAlignment="1">
      <alignment vertical="center"/>
    </xf>
    <xf numFmtId="0" fontId="3" fillId="2" borderId="17" xfId="0" applyFont="1" applyFill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7" fillId="2" borderId="20" xfId="0" applyFont="1" applyFill="1" applyBorder="1" applyAlignment="1">
      <alignment horizontal="left" vertical="center" wrapText="1"/>
    </xf>
    <xf numFmtId="0" fontId="9" fillId="2" borderId="21" xfId="0" applyFont="1" applyFill="1" applyBorder="1" applyAlignment="1">
      <alignment horizontal="left" vertical="center" wrapText="1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58" fontId="4" fillId="2" borderId="1" xfId="0" applyNumberFormat="1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58" fontId="16" fillId="2" borderId="1" xfId="0" applyNumberFormat="1" applyFont="1" applyFill="1" applyBorder="1" applyAlignment="1">
      <alignment vertical="center" wrapText="1"/>
    </xf>
    <xf numFmtId="0" fontId="3" fillId="2" borderId="17" xfId="0" applyFont="1" applyFill="1" applyBorder="1" applyAlignment="1"/>
    <xf numFmtId="0" fontId="3" fillId="2" borderId="17" xfId="0" applyFont="1" applyFill="1" applyBorder="1" applyAlignment="1">
      <alignment wrapText="1"/>
    </xf>
    <xf numFmtId="0" fontId="4" fillId="2" borderId="17" xfId="0" applyFont="1" applyFill="1" applyBorder="1" applyAlignment="1">
      <alignment wrapText="1"/>
    </xf>
    <xf numFmtId="0" fontId="7" fillId="2" borderId="0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7" fillId="2" borderId="18" xfId="0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wrapText="1"/>
    </xf>
    <xf numFmtId="0" fontId="17" fillId="0" borderId="4" xfId="0" applyFont="1" applyBorder="1"/>
    <xf numFmtId="0" fontId="17" fillId="0" borderId="19" xfId="0" applyFont="1" applyBorder="1"/>
    <xf numFmtId="0" fontId="7" fillId="2" borderId="20" xfId="0" applyFont="1" applyFill="1" applyBorder="1" applyAlignment="1">
      <alignment horizontal="left" wrapText="1"/>
    </xf>
    <xf numFmtId="0" fontId="9" fillId="2" borderId="21" xfId="0" applyFont="1" applyFill="1" applyBorder="1" applyAlignment="1">
      <alignment horizontal="left" wrapText="1"/>
    </xf>
    <xf numFmtId="0" fontId="17" fillId="0" borderId="22" xfId="0" applyFont="1" applyBorder="1"/>
    <xf numFmtId="0" fontId="17" fillId="0" borderId="23" xfId="0" applyFont="1" applyBorder="1"/>
    <xf numFmtId="0" fontId="4" fillId="2" borderId="0" xfId="0" applyFont="1" applyFill="1" applyBorder="1" applyAlignment="1">
      <alignment horizontal="center" wrapText="1"/>
    </xf>
    <xf numFmtId="0" fontId="17" fillId="0" borderId="28" xfId="0" applyFont="1" applyBorder="1"/>
    <xf numFmtId="0" fontId="3" fillId="2" borderId="0" xfId="0" applyFont="1" applyFill="1" applyBorder="1" applyAlignment="1"/>
    <xf numFmtId="0" fontId="4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wrapText="1"/>
    </xf>
    <xf numFmtId="0" fontId="15" fillId="2" borderId="0" xfId="0" applyFont="1" applyFill="1" applyBorder="1" applyAlignment="1">
      <alignment wrapText="1"/>
    </xf>
    <xf numFmtId="0" fontId="5" fillId="2" borderId="0" xfId="0" applyFont="1" applyFill="1" applyBorder="1" applyAlignment="1"/>
    <xf numFmtId="0" fontId="15" fillId="2" borderId="0" xfId="0" applyFont="1" applyFill="1" applyBorder="1" applyAlignment="1">
      <alignment horizontal="center" wrapText="1"/>
    </xf>
    <xf numFmtId="0" fontId="15" fillId="2" borderId="1" xfId="0" applyFont="1" applyFill="1" applyBorder="1" applyAlignment="1"/>
    <xf numFmtId="0" fontId="15" fillId="2" borderId="0" xfId="0" applyFont="1" applyFill="1" applyBorder="1" applyAlignment="1"/>
    <xf numFmtId="0" fontId="10" fillId="3" borderId="30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left" vertical="center"/>
    </xf>
    <xf numFmtId="0" fontId="4" fillId="2" borderId="30" xfId="0" applyFont="1" applyFill="1" applyBorder="1" applyAlignment="1">
      <alignment vertical="center" wrapText="1"/>
    </xf>
    <xf numFmtId="0" fontId="4" fillId="0" borderId="30" xfId="0" applyFont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15" fillId="2" borderId="30" xfId="0" applyFont="1" applyFill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8" xfId="0" applyFont="1" applyBorder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Font="1" applyBorder="1" applyAlignment="1"/>
    <xf numFmtId="0" fontId="20" fillId="2" borderId="0" xfId="0" applyFont="1" applyFill="1" applyAlignment="1">
      <alignment horizontal="center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21" fillId="2" borderId="0" xfId="0" applyFont="1" applyFill="1" applyBorder="1" applyAlignment="1">
      <alignment horizontal="left"/>
    </xf>
    <xf numFmtId="1" fontId="8" fillId="2" borderId="2" xfId="0" applyNumberFormat="1" applyFont="1" applyFill="1" applyBorder="1" applyAlignment="1">
      <alignment vertical="center"/>
    </xf>
    <xf numFmtId="1" fontId="8" fillId="2" borderId="4" xfId="0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horizontal="left" vertical="center"/>
    </xf>
    <xf numFmtId="0" fontId="17" fillId="0" borderId="3" xfId="0" applyFont="1" applyBorder="1" applyAlignment="1">
      <alignment vertical="center"/>
    </xf>
    <xf numFmtId="1" fontId="8" fillId="2" borderId="2" xfId="0" applyNumberFormat="1" applyFont="1" applyFill="1" applyBorder="1" applyAlignment="1">
      <alignment vertical="center" wrapText="1"/>
    </xf>
    <xf numFmtId="1" fontId="8" fillId="2" borderId="4" xfId="0" applyNumberFormat="1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1" fontId="8" fillId="2" borderId="0" xfId="0" applyNumberFormat="1" applyFont="1" applyFill="1" applyBorder="1" applyAlignment="1"/>
    <xf numFmtId="1" fontId="10" fillId="5" borderId="30" xfId="0" applyNumberFormat="1" applyFont="1" applyFill="1" applyBorder="1" applyAlignment="1">
      <alignment horizontal="center" vertical="center"/>
    </xf>
    <xf numFmtId="1" fontId="22" fillId="6" borderId="30" xfId="49" applyNumberFormat="1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1" fontId="4" fillId="2" borderId="30" xfId="0" applyNumberFormat="1" applyFont="1" applyFill="1" applyBorder="1" applyAlignment="1">
      <alignment vertical="center"/>
    </xf>
    <xf numFmtId="1" fontId="23" fillId="7" borderId="30" xfId="49" applyNumberFormat="1" applyFont="1" applyFill="1" applyBorder="1" applyAlignment="1">
      <alignment vertical="center"/>
    </xf>
    <xf numFmtId="49" fontId="23" fillId="7" borderId="30" xfId="49" applyNumberFormat="1" applyFont="1" applyFill="1" applyBorder="1" applyAlignment="1">
      <alignment horizontal="left" vertical="center" wrapText="1"/>
    </xf>
    <xf numFmtId="0" fontId="24" fillId="2" borderId="30" xfId="6" applyFont="1" applyFill="1" applyBorder="1" applyAlignment="1">
      <alignment horizontal="left" vertical="center"/>
    </xf>
    <xf numFmtId="49" fontId="23" fillId="7" borderId="30" xfId="49" applyNumberFormat="1" applyFont="1" applyFill="1" applyBorder="1" applyAlignment="1">
      <alignment horizontal="left" vertical="center"/>
    </xf>
    <xf numFmtId="0" fontId="0" fillId="0" borderId="30" xfId="0" applyFont="1" applyBorder="1" applyAlignment="1"/>
    <xf numFmtId="0" fontId="4" fillId="0" borderId="0" xfId="0" applyFont="1" applyAlignment="1"/>
    <xf numFmtId="0" fontId="4" fillId="0" borderId="0" xfId="0" applyFont="1" applyAlignment="1">
      <alignment horizontal="left"/>
    </xf>
    <xf numFmtId="0" fontId="25" fillId="2" borderId="0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7" fillId="0" borderId="3" xfId="0" applyFont="1" applyBorder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4" fillId="0" borderId="3" xfId="0" applyFont="1" applyBorder="1" applyAlignment="1"/>
    <xf numFmtId="0" fontId="8" fillId="2" borderId="29" xfId="0" applyFont="1" applyFill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17" fillId="0" borderId="32" xfId="0" applyFont="1" applyBorder="1"/>
    <xf numFmtId="0" fontId="17" fillId="0" borderId="33" xfId="0" applyFont="1" applyBorder="1"/>
    <xf numFmtId="0" fontId="9" fillId="0" borderId="3" xfId="0" applyFont="1" applyBorder="1" applyAlignment="1">
      <alignment horizontal="left"/>
    </xf>
    <xf numFmtId="0" fontId="17" fillId="0" borderId="34" xfId="0" applyFont="1" applyBorder="1"/>
    <xf numFmtId="0" fontId="17" fillId="0" borderId="21" xfId="0" applyFont="1" applyBorder="1"/>
    <xf numFmtId="0" fontId="17" fillId="0" borderId="35" xfId="0" applyFont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5" fontId="10" fillId="3" borderId="3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9" fillId="0" borderId="38" xfId="0" applyFont="1" applyBorder="1" applyAlignment="1">
      <alignment vertical="top" wrapText="1"/>
    </xf>
    <xf numFmtId="49" fontId="4" fillId="0" borderId="11" xfId="0" applyNumberFormat="1" applyFont="1" applyBorder="1" applyAlignment="1">
      <alignment vertical="top"/>
    </xf>
    <xf numFmtId="0" fontId="4" fillId="0" borderId="11" xfId="0" applyFont="1" applyBorder="1" applyAlignment="1">
      <alignment vertical="top"/>
    </xf>
    <xf numFmtId="15" fontId="4" fillId="0" borderId="11" xfId="0" applyNumberFormat="1" applyFont="1" applyBorder="1" applyAlignment="1">
      <alignment vertical="top"/>
    </xf>
    <xf numFmtId="0" fontId="9" fillId="0" borderId="39" xfId="0" applyFont="1" applyBorder="1" applyAlignment="1">
      <alignment vertical="top" wrapText="1"/>
    </xf>
    <xf numFmtId="15" fontId="4" fillId="0" borderId="38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15" fontId="4" fillId="0" borderId="40" xfId="0" applyNumberFormat="1" applyFont="1" applyBorder="1" applyAlignment="1">
      <alignment vertical="top"/>
    </xf>
    <xf numFmtId="49" fontId="4" fillId="0" borderId="15" xfId="0" applyNumberFormat="1" applyFont="1" applyBorder="1" applyAlignment="1">
      <alignment vertical="top"/>
    </xf>
    <xf numFmtId="0" fontId="4" fillId="0" borderId="15" xfId="0" applyFont="1" applyBorder="1" applyAlignment="1">
      <alignment vertical="top"/>
    </xf>
    <xf numFmtId="0" fontId="4" fillId="0" borderId="41" xfId="0" applyFont="1" applyBorder="1" applyAlignment="1">
      <alignment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Template_UnitTest Case_v0.9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962025</xdr:colOff>
      <xdr:row>2</xdr:row>
      <xdr:rowOff>180975</xdr:rowOff>
    </xdr:from>
    <xdr:ext cx="3810000" cy="2857500"/>
    <xdr:pic>
      <xdr:nvPicPr>
        <xdr:cNvPr id="2" name="image1.png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62025" y="561975"/>
          <a:ext cx="3810000" cy="2857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C4" sqref="C4:E4"/>
    </sheetView>
  </sheetViews>
  <sheetFormatPr defaultColWidth="12.6333333333333" defaultRowHeight="15" customHeight="1"/>
  <cols>
    <col min="1" max="1" width="2.13333333333333" customWidth="1"/>
    <col min="2" max="2" width="19.6333333333333" customWidth="1"/>
    <col min="3" max="3" width="9.13333333333333" customWidth="1"/>
    <col min="4" max="4" width="14.5" customWidth="1"/>
    <col min="5" max="5" width="8" customWidth="1"/>
    <col min="6" max="6" width="31.1333333333333" customWidth="1"/>
    <col min="7" max="7" width="31" customWidth="1"/>
    <col min="8" max="26" width="10" customWidth="1"/>
  </cols>
  <sheetData>
    <row r="1" ht="12.75" customHeight="1" spans="1:26">
      <c r="A1" s="184"/>
      <c r="B1" s="185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ht="75.75" customHeight="1" spans="1:26">
      <c r="A2" s="186"/>
      <c r="B2" s="187"/>
      <c r="C2" s="188" t="s">
        <v>0</v>
      </c>
      <c r="D2" s="100"/>
      <c r="E2" s="100"/>
      <c r="F2" s="100"/>
      <c r="G2" s="189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</row>
    <row r="3" ht="12.75" customHeight="1" spans="1:26">
      <c r="A3" s="184"/>
      <c r="B3" s="50"/>
      <c r="C3" s="191"/>
      <c r="D3" s="184"/>
      <c r="E3" s="184"/>
      <c r="F3" s="13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 ht="14.25" customHeight="1" spans="1:26">
      <c r="A4" s="184"/>
      <c r="B4" s="192" t="s">
        <v>1</v>
      </c>
      <c r="C4" s="193" t="s">
        <v>2</v>
      </c>
      <c r="D4" s="100"/>
      <c r="E4" s="189"/>
      <c r="F4" s="192" t="s">
        <v>3</v>
      </c>
      <c r="G4" s="19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 ht="14.25" customHeight="1" spans="1:26">
      <c r="A5" s="184"/>
      <c r="B5" s="192" t="s">
        <v>4</v>
      </c>
      <c r="C5" s="193" t="s">
        <v>5</v>
      </c>
      <c r="D5" s="100"/>
      <c r="E5" s="189"/>
      <c r="F5" s="192" t="s">
        <v>6</v>
      </c>
      <c r="G5" s="19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 ht="15.75" customHeight="1" spans="1:26">
      <c r="A6" s="184"/>
      <c r="B6" s="195" t="s">
        <v>7</v>
      </c>
      <c r="C6" s="196" t="str">
        <f>C5&amp;"_"&amp;"XXX"&amp;"_"&amp;"vx.x"</f>
        <v>Nhóm 14_XXX_vx.x</v>
      </c>
      <c r="D6" s="197"/>
      <c r="E6" s="198"/>
      <c r="F6" s="192" t="s">
        <v>8</v>
      </c>
      <c r="G6" s="199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 ht="13.5" customHeight="1" spans="1:26">
      <c r="A7" s="184"/>
      <c r="B7" s="200"/>
      <c r="C7" s="201"/>
      <c r="D7" s="104"/>
      <c r="E7" s="202"/>
      <c r="F7" s="192" t="s">
        <v>9</v>
      </c>
      <c r="G7" s="199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 ht="12.75" customHeight="1" spans="1:26">
      <c r="A8" s="184"/>
      <c r="B8" s="29"/>
      <c r="C8" s="191"/>
      <c r="D8" s="184"/>
      <c r="E8" s="184"/>
      <c r="F8" s="50"/>
      <c r="G8" s="191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 ht="12.75" customHeight="1" spans="1:26">
      <c r="A9" s="184"/>
      <c r="B9" s="185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 ht="12.75" customHeight="1" spans="1:26">
      <c r="A10" s="184"/>
      <c r="B10" s="203" t="s">
        <v>10</v>
      </c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 ht="12.75" customHeight="1" spans="1:26">
      <c r="A11" s="204"/>
      <c r="B11" s="205" t="s">
        <v>11</v>
      </c>
      <c r="C11" s="206" t="s">
        <v>9</v>
      </c>
      <c r="D11" s="206" t="s">
        <v>12</v>
      </c>
      <c r="E11" s="206" t="s">
        <v>13</v>
      </c>
      <c r="F11" s="206" t="s">
        <v>14</v>
      </c>
      <c r="G11" s="207" t="s">
        <v>15</v>
      </c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</row>
    <row r="12" ht="27.75" customHeight="1" spans="1:26">
      <c r="A12" s="208"/>
      <c r="B12" s="209" t="s">
        <v>16</v>
      </c>
      <c r="C12" s="210"/>
      <c r="D12" s="211"/>
      <c r="E12" s="211"/>
      <c r="F12" s="212"/>
      <c r="G12" s="213" t="s">
        <v>17</v>
      </c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</row>
    <row r="13" ht="21.75" customHeight="1" spans="1:26">
      <c r="A13" s="208"/>
      <c r="B13" s="214"/>
      <c r="C13" s="210"/>
      <c r="D13" s="211"/>
      <c r="E13" s="211"/>
      <c r="F13" s="211"/>
      <c r="G13" s="215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</row>
    <row r="14" ht="19.5" customHeight="1" spans="1:26">
      <c r="A14" s="208"/>
      <c r="B14" s="214"/>
      <c r="C14" s="210"/>
      <c r="D14" s="211"/>
      <c r="E14" s="211"/>
      <c r="F14" s="211"/>
      <c r="G14" s="215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</row>
    <row r="15" ht="21.75" customHeight="1" spans="1:26">
      <c r="A15" s="208"/>
      <c r="B15" s="214"/>
      <c r="C15" s="210"/>
      <c r="D15" s="211"/>
      <c r="E15" s="211"/>
      <c r="F15" s="211"/>
      <c r="G15" s="215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</row>
    <row r="16" ht="19.5" customHeight="1" spans="1:26">
      <c r="A16" s="208"/>
      <c r="B16" s="214"/>
      <c r="C16" s="210"/>
      <c r="D16" s="211"/>
      <c r="E16" s="211"/>
      <c r="F16" s="211"/>
      <c r="G16" s="215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</row>
    <row r="17" ht="21.75" customHeight="1" spans="1:26">
      <c r="A17" s="208"/>
      <c r="B17" s="214"/>
      <c r="C17" s="210"/>
      <c r="D17" s="211"/>
      <c r="E17" s="211"/>
      <c r="F17" s="211"/>
      <c r="G17" s="215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</row>
    <row r="18" ht="19.5" customHeight="1" spans="1:26">
      <c r="A18" s="208"/>
      <c r="B18" s="216"/>
      <c r="C18" s="217"/>
      <c r="D18" s="218"/>
      <c r="E18" s="218"/>
      <c r="F18" s="218"/>
      <c r="G18" s="219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</row>
    <row r="19" ht="12.75" customHeight="1" spans="1:26">
      <c r="A19" s="184"/>
      <c r="B19" s="185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 ht="12.75" customHeight="1" spans="1:26">
      <c r="A20" s="184"/>
      <c r="B20" s="185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 ht="12.75" customHeight="1" spans="1:26">
      <c r="A21" s="184"/>
      <c r="B21" s="185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 ht="12.75" customHeight="1" spans="1:26">
      <c r="A22" s="184"/>
      <c r="B22" s="185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 ht="12.75" customHeight="1" spans="1:26">
      <c r="A23" s="184"/>
      <c r="B23" s="185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 ht="12.75" customHeight="1" spans="1:26">
      <c r="A24" s="184"/>
      <c r="B24" s="185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 ht="12.75" customHeight="1" spans="1:26">
      <c r="A25" s="184"/>
      <c r="B25" s="185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</row>
    <row r="26" ht="12.75" customHeight="1" spans="1:26">
      <c r="A26" s="184"/>
      <c r="B26" s="185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</row>
    <row r="27" ht="12.75" customHeight="1" spans="1:26">
      <c r="A27" s="184"/>
      <c r="B27" s="185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 ht="12.75" customHeight="1" spans="1:26">
      <c r="A28" s="184"/>
      <c r="B28" s="185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</row>
    <row r="29" ht="12.75" customHeight="1" spans="1:26">
      <c r="A29" s="184"/>
      <c r="B29" s="185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</row>
    <row r="30" ht="12.75" customHeight="1" spans="1:26">
      <c r="A30" s="184"/>
      <c r="B30" s="185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</row>
    <row r="31" ht="12.75" customHeight="1" spans="1:26">
      <c r="A31" s="184"/>
      <c r="B31" s="185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</row>
    <row r="32" ht="12.75" customHeight="1" spans="1:26">
      <c r="A32" s="184"/>
      <c r="B32" s="185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 ht="12.75" customHeight="1" spans="1:26">
      <c r="A33" s="184"/>
      <c r="B33" s="185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</row>
    <row r="34" ht="12.75" customHeight="1" spans="1:26">
      <c r="A34" s="184"/>
      <c r="B34" s="185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</row>
    <row r="35" ht="12.75" customHeight="1" spans="1:26">
      <c r="A35" s="184"/>
      <c r="B35" s="185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</row>
    <row r="36" ht="12.75" customHeight="1" spans="1:26">
      <c r="A36" s="184"/>
      <c r="B36" s="185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</row>
    <row r="37" ht="12.75" customHeight="1" spans="1:26">
      <c r="A37" s="184"/>
      <c r="B37" s="185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</row>
    <row r="38" ht="12.75" customHeight="1" spans="1:26">
      <c r="A38" s="184"/>
      <c r="B38" s="185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 ht="12.75" customHeight="1" spans="1:26">
      <c r="A39" s="184"/>
      <c r="B39" s="185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 ht="12.75" customHeight="1" spans="1:26">
      <c r="A40" s="184"/>
      <c r="B40" s="185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 ht="12.75" customHeight="1" spans="1:26">
      <c r="A41" s="184"/>
      <c r="B41" s="185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 ht="12.75" customHeight="1" spans="1:26">
      <c r="A42" s="184"/>
      <c r="B42" s="185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 ht="12.75" customHeight="1" spans="1:26">
      <c r="A43" s="184"/>
      <c r="B43" s="185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 ht="12.75" customHeight="1" spans="1:26">
      <c r="A44" s="184"/>
      <c r="B44" s="185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 ht="12.75" customHeight="1" spans="1:26">
      <c r="A45" s="184"/>
      <c r="B45" s="185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 ht="12.75" customHeight="1" spans="1:26">
      <c r="A46" s="184"/>
      <c r="B46" s="185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 ht="12.75" customHeight="1" spans="1:26">
      <c r="A47" s="184"/>
      <c r="B47" s="185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 ht="12.75" customHeight="1" spans="1:26">
      <c r="A48" s="184"/>
      <c r="B48" s="185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 ht="12.75" customHeight="1" spans="1:26">
      <c r="A49" s="184"/>
      <c r="B49" s="185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ht="12.75" customHeight="1" spans="1:26">
      <c r="A50" s="184"/>
      <c r="B50" s="185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ht="12.75" customHeight="1" spans="1:26">
      <c r="A51" s="184"/>
      <c r="B51" s="185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ht="12.75" customHeight="1" spans="1:26">
      <c r="A52" s="184"/>
      <c r="B52" s="185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ht="12.75" customHeight="1" spans="1:26">
      <c r="A53" s="184"/>
      <c r="B53" s="185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 ht="12.75" customHeight="1" spans="1:26">
      <c r="A54" s="184"/>
      <c r="B54" s="185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 ht="12.75" customHeight="1" spans="1:26">
      <c r="A55" s="184"/>
      <c r="B55" s="185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 ht="12.75" customHeight="1" spans="1:26">
      <c r="A56" s="184"/>
      <c r="B56" s="185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 ht="12.75" customHeight="1" spans="1:26">
      <c r="A57" s="184"/>
      <c r="B57" s="185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 ht="12.75" customHeight="1" spans="1:26">
      <c r="A58" s="184"/>
      <c r="B58" s="185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 ht="12.75" customHeight="1" spans="1:26">
      <c r="A59" s="184"/>
      <c r="B59" s="185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 ht="12.75" customHeight="1" spans="1:26">
      <c r="A60" s="184"/>
      <c r="B60" s="185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 ht="12.75" customHeight="1" spans="1:26">
      <c r="A61" s="184"/>
      <c r="B61" s="185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ht="12.75" customHeight="1" spans="1:26">
      <c r="A62" s="184"/>
      <c r="B62" s="185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 ht="12.75" customHeight="1" spans="1:26">
      <c r="A63" s="184"/>
      <c r="B63" s="185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 ht="12.75" customHeight="1" spans="1:26">
      <c r="A64" s="184"/>
      <c r="B64" s="185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 ht="12.75" customHeight="1" spans="1:26">
      <c r="A65" s="184"/>
      <c r="B65" s="185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 ht="12.75" customHeight="1" spans="1:26">
      <c r="A66" s="184"/>
      <c r="B66" s="185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 ht="12.75" customHeight="1" spans="1:26">
      <c r="A67" s="184"/>
      <c r="B67" s="185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 ht="12.75" customHeight="1" spans="1:26">
      <c r="A68" s="184"/>
      <c r="B68" s="185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 ht="12.75" customHeight="1" spans="1:26">
      <c r="A69" s="184"/>
      <c r="B69" s="185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ht="12.75" customHeight="1" spans="1:26">
      <c r="A70" s="184"/>
      <c r="B70" s="185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ht="12.75" customHeight="1" spans="1:26">
      <c r="A71" s="184"/>
      <c r="B71" s="185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ht="12.75" customHeight="1" spans="1:26">
      <c r="A72" s="184"/>
      <c r="B72" s="185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ht="12.75" customHeight="1" spans="1:26">
      <c r="A73" s="184"/>
      <c r="B73" s="185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2.75" customHeight="1" spans="1:26">
      <c r="A74" s="184"/>
      <c r="B74" s="185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2.75" customHeight="1" spans="1:26">
      <c r="A75" s="184"/>
      <c r="B75" s="185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2.75" customHeight="1" spans="1:26">
      <c r="A76" s="184"/>
      <c r="B76" s="185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2.75" customHeight="1" spans="1:26">
      <c r="A77" s="184"/>
      <c r="B77" s="185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2.75" customHeight="1" spans="1:26">
      <c r="A78" s="184"/>
      <c r="B78" s="185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2.75" customHeight="1" spans="1:26">
      <c r="A79" s="184"/>
      <c r="B79" s="185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2.75" customHeight="1" spans="1:26">
      <c r="A80" s="184"/>
      <c r="B80" s="185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2.75" customHeight="1" spans="1:26">
      <c r="A81" s="184"/>
      <c r="B81" s="185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2.75" customHeight="1" spans="1:26">
      <c r="A82" s="184"/>
      <c r="B82" s="185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2.75" customHeight="1" spans="1:26">
      <c r="A83" s="184"/>
      <c r="B83" s="185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2.75" customHeight="1" spans="1:26">
      <c r="A84" s="184"/>
      <c r="B84" s="185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2.75" customHeight="1" spans="1:26">
      <c r="A85" s="184"/>
      <c r="B85" s="185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2.75" customHeight="1" spans="1:26">
      <c r="A86" s="184"/>
      <c r="B86" s="185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2.75" customHeight="1" spans="1:26">
      <c r="A87" s="184"/>
      <c r="B87" s="185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2.75" customHeight="1" spans="1:26">
      <c r="A88" s="184"/>
      <c r="B88" s="185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2.75" customHeight="1" spans="1:26">
      <c r="A89" s="184"/>
      <c r="B89" s="185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2.75" customHeight="1" spans="1:26">
      <c r="A90" s="184"/>
      <c r="B90" s="185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2.75" customHeight="1" spans="1:26">
      <c r="A91" s="184"/>
      <c r="B91" s="185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2.75" customHeight="1" spans="1:26">
      <c r="A92" s="184"/>
      <c r="B92" s="185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2.75" customHeight="1" spans="1:26">
      <c r="A93" s="184"/>
      <c r="B93" s="185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2.75" customHeight="1" spans="1:26">
      <c r="A94" s="184"/>
      <c r="B94" s="185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2.75" customHeight="1" spans="1:26">
      <c r="A95" s="184"/>
      <c r="B95" s="185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2.75" customHeight="1" spans="1:26">
      <c r="A96" s="184"/>
      <c r="B96" s="185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2.75" customHeight="1" spans="1:26">
      <c r="A97" s="184"/>
      <c r="B97" s="185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2.75" customHeight="1" spans="1:26">
      <c r="A98" s="184"/>
      <c r="B98" s="185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2.75" customHeight="1" spans="1:26">
      <c r="A99" s="184"/>
      <c r="B99" s="185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2.75" customHeight="1" spans="1:26">
      <c r="A100" s="184"/>
      <c r="B100" s="185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2.75" customHeight="1" spans="1:26">
      <c r="A101" s="184"/>
      <c r="B101" s="185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2.75" customHeight="1" spans="1:26">
      <c r="A102" s="184"/>
      <c r="B102" s="185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2.75" customHeight="1" spans="1:26">
      <c r="A103" s="184"/>
      <c r="B103" s="185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2.75" customHeight="1" spans="1:26">
      <c r="A104" s="184"/>
      <c r="B104" s="185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2.75" customHeight="1" spans="1:26">
      <c r="A105" s="184"/>
      <c r="B105" s="185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2.75" customHeight="1" spans="1:26">
      <c r="A106" s="184"/>
      <c r="B106" s="185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2.75" customHeight="1" spans="1:26">
      <c r="A107" s="184"/>
      <c r="B107" s="185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2.75" customHeight="1" spans="1:26">
      <c r="A108" s="184"/>
      <c r="B108" s="185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2.75" customHeight="1" spans="1:26">
      <c r="A109" s="184"/>
      <c r="B109" s="185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2.75" customHeight="1" spans="1:26">
      <c r="A110" s="184"/>
      <c r="B110" s="185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2.75" customHeight="1" spans="1:26">
      <c r="A111" s="184"/>
      <c r="B111" s="185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2.75" customHeight="1" spans="1:26">
      <c r="A112" s="184"/>
      <c r="B112" s="185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2.75" customHeight="1" spans="1:26">
      <c r="A113" s="184"/>
      <c r="B113" s="185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2.75" customHeight="1" spans="1:26">
      <c r="A114" s="184"/>
      <c r="B114" s="185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2.75" customHeight="1" spans="1:26">
      <c r="A115" s="184"/>
      <c r="B115" s="185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2.75" customHeight="1" spans="1:26">
      <c r="A116" s="184"/>
      <c r="B116" s="185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2.75" customHeight="1" spans="1:26">
      <c r="A117" s="184"/>
      <c r="B117" s="185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2.75" customHeight="1" spans="1:26">
      <c r="A118" s="184"/>
      <c r="B118" s="185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2.75" customHeight="1" spans="1:26">
      <c r="A119" s="184"/>
      <c r="B119" s="185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2.75" customHeight="1" spans="1:26">
      <c r="A120" s="184"/>
      <c r="B120" s="185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2.75" customHeight="1" spans="1:26">
      <c r="A121" s="184"/>
      <c r="B121" s="185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2.75" customHeight="1" spans="1:26">
      <c r="A122" s="184"/>
      <c r="B122" s="185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2.75" customHeight="1" spans="1:26">
      <c r="A123" s="184"/>
      <c r="B123" s="185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2.75" customHeight="1" spans="1:26">
      <c r="A124" s="184"/>
      <c r="B124" s="185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2.75" customHeight="1" spans="1:26">
      <c r="A125" s="184"/>
      <c r="B125" s="185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2.75" customHeight="1" spans="1:26">
      <c r="A126" s="184"/>
      <c r="B126" s="185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2.75" customHeight="1" spans="1:26">
      <c r="A127" s="184"/>
      <c r="B127" s="185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2.75" customHeight="1" spans="1:26">
      <c r="A128" s="184"/>
      <c r="B128" s="185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2.75" customHeight="1" spans="1:26">
      <c r="A129" s="184"/>
      <c r="B129" s="185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2.75" customHeight="1" spans="1:26">
      <c r="A130" s="184"/>
      <c r="B130" s="185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2.75" customHeight="1" spans="1:26">
      <c r="A131" s="184"/>
      <c r="B131" s="185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2.75" customHeight="1" spans="1:26">
      <c r="A132" s="184"/>
      <c r="B132" s="185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2.75" customHeight="1" spans="1:26">
      <c r="A133" s="184"/>
      <c r="B133" s="185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2.75" customHeight="1" spans="1:26">
      <c r="A134" s="184"/>
      <c r="B134" s="185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2.75" customHeight="1" spans="1:26">
      <c r="A135" s="184"/>
      <c r="B135" s="185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2.75" customHeight="1" spans="1:26">
      <c r="A136" s="184"/>
      <c r="B136" s="185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2.75" customHeight="1" spans="1:26">
      <c r="A137" s="184"/>
      <c r="B137" s="185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2.75" customHeight="1" spans="1:26">
      <c r="A138" s="184"/>
      <c r="B138" s="185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2.75" customHeight="1" spans="1:26">
      <c r="A139" s="184"/>
      <c r="B139" s="185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2.75" customHeight="1" spans="1:26">
      <c r="A140" s="184"/>
      <c r="B140" s="185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2.75" customHeight="1" spans="1:26">
      <c r="A141" s="184"/>
      <c r="B141" s="185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2.75" customHeight="1" spans="1:26">
      <c r="A142" s="184"/>
      <c r="B142" s="185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2.75" customHeight="1" spans="1:26">
      <c r="A143" s="184"/>
      <c r="B143" s="185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2.75" customHeight="1" spans="1:26">
      <c r="A144" s="184"/>
      <c r="B144" s="185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2.75" customHeight="1" spans="1:26">
      <c r="A145" s="184"/>
      <c r="B145" s="185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2.75" customHeight="1" spans="1:26">
      <c r="A146" s="184"/>
      <c r="B146" s="185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2.75" customHeight="1" spans="1:26">
      <c r="A147" s="184"/>
      <c r="B147" s="185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2.75" customHeight="1" spans="1:26">
      <c r="A148" s="184"/>
      <c r="B148" s="185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2.75" customHeight="1" spans="1:26">
      <c r="A149" s="184"/>
      <c r="B149" s="185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2.75" customHeight="1" spans="1:26">
      <c r="A150" s="184"/>
      <c r="B150" s="185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2.75" customHeight="1" spans="1:26">
      <c r="A151" s="184"/>
      <c r="B151" s="185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2.75" customHeight="1" spans="1:26">
      <c r="A152" s="184"/>
      <c r="B152" s="185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2.75" customHeight="1" spans="1:26">
      <c r="A153" s="184"/>
      <c r="B153" s="185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2.75" customHeight="1" spans="1:26">
      <c r="A154" s="184"/>
      <c r="B154" s="185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2.75" customHeight="1" spans="1:26">
      <c r="A155" s="184"/>
      <c r="B155" s="185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2.75" customHeight="1" spans="1:26">
      <c r="A156" s="184"/>
      <c r="B156" s="185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2.75" customHeight="1" spans="1:26">
      <c r="A157" s="184"/>
      <c r="B157" s="185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2.75" customHeight="1" spans="1:26">
      <c r="A158" s="184"/>
      <c r="B158" s="185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2.75" customHeight="1" spans="1:26">
      <c r="A159" s="184"/>
      <c r="B159" s="185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2.75" customHeight="1" spans="1:26">
      <c r="A160" s="184"/>
      <c r="B160" s="185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2.75" customHeight="1" spans="1:26">
      <c r="A161" s="184"/>
      <c r="B161" s="185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2.75" customHeight="1" spans="1:26">
      <c r="A162" s="184"/>
      <c r="B162" s="185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2.75" customHeight="1" spans="1:26">
      <c r="A163" s="184"/>
      <c r="B163" s="185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2.75" customHeight="1" spans="1:26">
      <c r="A164" s="184"/>
      <c r="B164" s="185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2.75" customHeight="1" spans="1:26">
      <c r="A165" s="184"/>
      <c r="B165" s="185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2.75" customHeight="1" spans="1:26">
      <c r="A166" s="184"/>
      <c r="B166" s="185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2.75" customHeight="1" spans="1:26">
      <c r="A167" s="184"/>
      <c r="B167" s="185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2.75" customHeight="1" spans="1:26">
      <c r="A168" s="184"/>
      <c r="B168" s="185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2.75" customHeight="1" spans="1:26">
      <c r="A169" s="184"/>
      <c r="B169" s="185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2.75" customHeight="1" spans="1:26">
      <c r="A170" s="184"/>
      <c r="B170" s="185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2.75" customHeight="1" spans="1:26">
      <c r="A171" s="184"/>
      <c r="B171" s="185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2.75" customHeight="1" spans="1:26">
      <c r="A172" s="184"/>
      <c r="B172" s="185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2.75" customHeight="1" spans="1:26">
      <c r="A173" s="184"/>
      <c r="B173" s="185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2.75" customHeight="1" spans="1:26">
      <c r="A174" s="184"/>
      <c r="B174" s="185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2.75" customHeight="1" spans="1:26">
      <c r="A175" s="184"/>
      <c r="B175" s="185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2.75" customHeight="1" spans="1:26">
      <c r="A176" s="184"/>
      <c r="B176" s="185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2.75" customHeight="1" spans="1:26">
      <c r="A177" s="184"/>
      <c r="B177" s="185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2.75" customHeight="1" spans="1:26">
      <c r="A178" s="184"/>
      <c r="B178" s="185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2.75" customHeight="1" spans="1:26">
      <c r="A179" s="184"/>
      <c r="B179" s="185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2.75" customHeight="1" spans="1:26">
      <c r="A180" s="184"/>
      <c r="B180" s="185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2.75" customHeight="1" spans="1:26">
      <c r="A181" s="184"/>
      <c r="B181" s="185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2.75" customHeight="1" spans="1:26">
      <c r="A182" s="184"/>
      <c r="B182" s="185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2.75" customHeight="1" spans="1:26">
      <c r="A183" s="184"/>
      <c r="B183" s="185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2.75" customHeight="1" spans="1:26">
      <c r="A184" s="184"/>
      <c r="B184" s="185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2.75" customHeight="1" spans="1:26">
      <c r="A185" s="184"/>
      <c r="B185" s="185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2.75" customHeight="1" spans="1:26">
      <c r="A186" s="184"/>
      <c r="B186" s="185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2.75" customHeight="1" spans="1:26">
      <c r="A187" s="184"/>
      <c r="B187" s="185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2.75" customHeight="1" spans="1:26">
      <c r="A188" s="184"/>
      <c r="B188" s="185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2.75" customHeight="1" spans="1:26">
      <c r="A189" s="184"/>
      <c r="B189" s="185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2.75" customHeight="1" spans="1:26">
      <c r="A190" s="184"/>
      <c r="B190" s="185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2.75" customHeight="1" spans="1:26">
      <c r="A191" s="184"/>
      <c r="B191" s="185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2.75" customHeight="1" spans="1:26">
      <c r="A192" s="184"/>
      <c r="B192" s="185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2.75" customHeight="1" spans="1:26">
      <c r="A193" s="184"/>
      <c r="B193" s="185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2.75" customHeight="1" spans="1:26">
      <c r="A194" s="184"/>
      <c r="B194" s="185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2.75" customHeight="1" spans="1:26">
      <c r="A195" s="184"/>
      <c r="B195" s="185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2.75" customHeight="1" spans="1:26">
      <c r="A196" s="184"/>
      <c r="B196" s="185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2.75" customHeight="1" spans="1:26">
      <c r="A197" s="184"/>
      <c r="B197" s="185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2.75" customHeight="1" spans="1:26">
      <c r="A198" s="184"/>
      <c r="B198" s="185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2.75" customHeight="1" spans="1:26">
      <c r="A199" s="184"/>
      <c r="B199" s="185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2.75" customHeight="1" spans="1:26">
      <c r="A200" s="184"/>
      <c r="B200" s="185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2.75" customHeight="1" spans="1:26">
      <c r="A201" s="184"/>
      <c r="B201" s="185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2.75" customHeight="1" spans="1:26">
      <c r="A202" s="184"/>
      <c r="B202" s="185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2.75" customHeight="1" spans="1:26">
      <c r="A203" s="184"/>
      <c r="B203" s="185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2.75" customHeight="1" spans="1:26">
      <c r="A204" s="184"/>
      <c r="B204" s="185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2.75" customHeight="1" spans="1:26">
      <c r="A205" s="184"/>
      <c r="B205" s="185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2.75" customHeight="1" spans="1:26">
      <c r="A206" s="184"/>
      <c r="B206" s="185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2.75" customHeight="1" spans="1:26">
      <c r="A207" s="184"/>
      <c r="B207" s="185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2.75" customHeight="1" spans="1:26">
      <c r="A208" s="184"/>
      <c r="B208" s="185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2.75" customHeight="1" spans="1:26">
      <c r="A209" s="184"/>
      <c r="B209" s="185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2.75" customHeight="1" spans="1:26">
      <c r="A210" s="184"/>
      <c r="B210" s="185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2.75" customHeight="1" spans="1:26">
      <c r="A211" s="184"/>
      <c r="B211" s="185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2.75" customHeight="1" spans="1:26">
      <c r="A212" s="184"/>
      <c r="B212" s="185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2.75" customHeight="1" spans="1:26">
      <c r="A213" s="184"/>
      <c r="B213" s="185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2.75" customHeight="1" spans="1:26">
      <c r="A214" s="184"/>
      <c r="B214" s="185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2.75" customHeight="1" spans="1:26">
      <c r="A215" s="184"/>
      <c r="B215" s="185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2.75" customHeight="1" spans="1:26">
      <c r="A216" s="184"/>
      <c r="B216" s="185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2.75" customHeight="1" spans="1:26">
      <c r="A217" s="184"/>
      <c r="B217" s="185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2.75" customHeight="1" spans="1:26">
      <c r="A218" s="184"/>
      <c r="B218" s="185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2.75" customHeight="1" spans="1:26">
      <c r="A219" s="184"/>
      <c r="B219" s="185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2.75" customHeight="1" spans="1:26">
      <c r="A220" s="184"/>
      <c r="B220" s="185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2.75" customHeight="1" spans="1:26">
      <c r="A221" s="184"/>
      <c r="B221" s="185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2.75" customHeight="1" spans="1:26">
      <c r="A222" s="184"/>
      <c r="B222" s="185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2.75" customHeight="1" spans="1:26">
      <c r="A223" s="184"/>
      <c r="B223" s="185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2.75" customHeight="1" spans="1:26">
      <c r="A224" s="184"/>
      <c r="B224" s="185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2.75" customHeight="1" spans="1:26">
      <c r="A225" s="184"/>
      <c r="B225" s="185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2.75" customHeight="1" spans="1:26">
      <c r="A226" s="184"/>
      <c r="B226" s="185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2.75" customHeight="1" spans="1:26">
      <c r="A227" s="184"/>
      <c r="B227" s="185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2.75" customHeight="1" spans="1:26">
      <c r="A228" s="184"/>
      <c r="B228" s="185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2.75" customHeight="1" spans="1:26">
      <c r="A229" s="184"/>
      <c r="B229" s="185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2.75" customHeight="1" spans="1:26">
      <c r="A230" s="184"/>
      <c r="B230" s="185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2.75" customHeight="1" spans="1:26">
      <c r="A231" s="184"/>
      <c r="B231" s="185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2.75" customHeight="1" spans="1:26">
      <c r="A232" s="184"/>
      <c r="B232" s="185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2.75" customHeight="1" spans="1:26">
      <c r="A233" s="184"/>
      <c r="B233" s="185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2.75" customHeight="1" spans="1:26">
      <c r="A234" s="184"/>
      <c r="B234" s="185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2.75" customHeight="1" spans="1:26">
      <c r="A235" s="184"/>
      <c r="B235" s="185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2.75" customHeight="1" spans="1:26">
      <c r="A236" s="184"/>
      <c r="B236" s="185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ht="12.75" customHeight="1" spans="1:26">
      <c r="A237" s="184"/>
      <c r="B237" s="185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84"/>
    </row>
    <row r="238" ht="12.75" customHeight="1" spans="1:26">
      <c r="A238" s="184"/>
      <c r="B238" s="185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84"/>
    </row>
    <row r="239" ht="12.75" customHeight="1" spans="1:26">
      <c r="A239" s="184"/>
      <c r="B239" s="185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84"/>
    </row>
    <row r="240" ht="12.75" customHeight="1" spans="1:26">
      <c r="A240" s="184"/>
      <c r="B240" s="185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84"/>
    </row>
    <row r="241" ht="12.75" customHeight="1" spans="1:26">
      <c r="A241" s="184"/>
      <c r="B241" s="185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84"/>
    </row>
    <row r="242" ht="12.75" customHeight="1" spans="1:26">
      <c r="A242" s="184"/>
      <c r="B242" s="185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84"/>
    </row>
    <row r="243" ht="12.75" customHeight="1" spans="1:26">
      <c r="A243" s="184"/>
      <c r="B243" s="185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84"/>
    </row>
    <row r="244" ht="12.75" customHeight="1" spans="1:26">
      <c r="A244" s="184"/>
      <c r="B244" s="185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84"/>
    </row>
    <row r="245" ht="12.75" customHeight="1" spans="1:26">
      <c r="A245" s="184"/>
      <c r="B245" s="185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84"/>
    </row>
    <row r="246" ht="12.75" customHeight="1" spans="1:26">
      <c r="A246" s="184"/>
      <c r="B246" s="185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84"/>
    </row>
    <row r="247" ht="12.75" customHeight="1" spans="1:26">
      <c r="A247" s="184"/>
      <c r="B247" s="185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84"/>
    </row>
    <row r="248" ht="12.75" customHeight="1" spans="1:26">
      <c r="A248" s="184"/>
      <c r="B248" s="185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84"/>
    </row>
    <row r="249" ht="12.75" customHeight="1" spans="1:26">
      <c r="A249" s="184"/>
      <c r="B249" s="185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84"/>
    </row>
    <row r="250" ht="12.75" customHeight="1" spans="1:26">
      <c r="A250" s="184"/>
      <c r="B250" s="185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84"/>
    </row>
    <row r="251" ht="12.75" customHeight="1" spans="1:26">
      <c r="A251" s="184"/>
      <c r="B251" s="185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84"/>
    </row>
    <row r="252" ht="12.75" customHeight="1" spans="1:26">
      <c r="A252" s="184"/>
      <c r="B252" s="185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ht="12.75" customHeight="1" spans="1:26">
      <c r="A253" s="184"/>
      <c r="B253" s="185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ht="12.75" customHeight="1" spans="1:26">
      <c r="A254" s="184"/>
      <c r="B254" s="185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ht="12.75" customHeight="1" spans="1:26">
      <c r="A255" s="184"/>
      <c r="B255" s="185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ht="12.75" customHeight="1" spans="1:26">
      <c r="A256" s="184"/>
      <c r="B256" s="185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ht="12.75" customHeight="1" spans="1:26">
      <c r="A257" s="184"/>
      <c r="B257" s="185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ht="12.75" customHeight="1" spans="1:26">
      <c r="A258" s="184"/>
      <c r="B258" s="185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ht="12.75" customHeight="1" spans="1:26">
      <c r="A259" s="184"/>
      <c r="B259" s="185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ht="12.75" customHeight="1" spans="1:26">
      <c r="A260" s="184"/>
      <c r="B260" s="185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ht="12.75" customHeight="1" spans="1:26">
      <c r="A261" s="184"/>
      <c r="B261" s="185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ht="12.75" customHeight="1" spans="1:26">
      <c r="A262" s="184"/>
      <c r="B262" s="185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ht="12.75" customHeight="1" spans="1:26">
      <c r="A263" s="184"/>
      <c r="B263" s="185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ht="12.75" customHeight="1" spans="1:26">
      <c r="A264" s="184"/>
      <c r="B264" s="185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ht="12.75" customHeight="1" spans="1:26">
      <c r="A265" s="184"/>
      <c r="B265" s="185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ht="12.75" customHeight="1" spans="1:26">
      <c r="A266" s="184"/>
      <c r="B266" s="185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ht="12.75" customHeight="1" spans="1:26">
      <c r="A267" s="184"/>
      <c r="B267" s="185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ht="12.75" customHeight="1" spans="1:26">
      <c r="A268" s="184"/>
      <c r="B268" s="185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ht="12.75" customHeight="1" spans="1:26">
      <c r="A269" s="184"/>
      <c r="B269" s="185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ht="12.75" customHeight="1" spans="1:26">
      <c r="A270" s="184"/>
      <c r="B270" s="185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ht="12.75" customHeight="1" spans="1:26">
      <c r="A271" s="184"/>
      <c r="B271" s="185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ht="12.75" customHeight="1" spans="1:26">
      <c r="A272" s="184"/>
      <c r="B272" s="185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ht="12.75" customHeight="1" spans="1:26">
      <c r="A273" s="184"/>
      <c r="B273" s="185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ht="12.75" customHeight="1" spans="1:26">
      <c r="A274" s="184"/>
      <c r="B274" s="185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ht="12.75" customHeight="1" spans="1:26">
      <c r="A275" s="184"/>
      <c r="B275" s="185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ht="12.75" customHeight="1" spans="1:26">
      <c r="A276" s="184"/>
      <c r="B276" s="185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ht="12.75" customHeight="1" spans="1:26">
      <c r="A277" s="184"/>
      <c r="B277" s="185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ht="12.75" customHeight="1" spans="1:26">
      <c r="A278" s="184"/>
      <c r="B278" s="185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ht="12.75" customHeight="1" spans="1:26">
      <c r="A279" s="184"/>
      <c r="B279" s="185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</row>
    <row r="280" ht="12.75" customHeight="1" spans="1:26">
      <c r="A280" s="184"/>
      <c r="B280" s="185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</row>
    <row r="281" ht="12.75" customHeight="1" spans="1:26">
      <c r="A281" s="184"/>
      <c r="B281" s="185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</row>
    <row r="282" ht="12.75" customHeight="1" spans="1:26">
      <c r="A282" s="184"/>
      <c r="B282" s="185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</row>
    <row r="283" ht="12.75" customHeight="1" spans="1:26">
      <c r="A283" s="184"/>
      <c r="B283" s="185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</row>
    <row r="284" ht="12.75" customHeight="1" spans="1:26">
      <c r="A284" s="184"/>
      <c r="B284" s="185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</row>
    <row r="285" ht="12.75" customHeight="1" spans="1:26">
      <c r="A285" s="184"/>
      <c r="B285" s="185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</row>
    <row r="286" ht="12.75" customHeight="1" spans="1:26">
      <c r="A286" s="184"/>
      <c r="B286" s="185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</row>
    <row r="287" ht="12.75" customHeight="1" spans="1:26">
      <c r="A287" s="184"/>
      <c r="B287" s="185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</row>
    <row r="288" ht="12.75" customHeight="1" spans="1:26">
      <c r="A288" s="184"/>
      <c r="B288" s="185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</row>
    <row r="289" ht="12.75" customHeight="1" spans="1:26">
      <c r="A289" s="184"/>
      <c r="B289" s="185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</row>
    <row r="290" ht="12.75" customHeight="1" spans="1:26">
      <c r="A290" s="184"/>
      <c r="B290" s="185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</row>
    <row r="291" ht="12.75" customHeight="1" spans="1:26">
      <c r="A291" s="184"/>
      <c r="B291" s="185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</row>
    <row r="292" ht="12.75" customHeight="1" spans="1:26">
      <c r="A292" s="184"/>
      <c r="B292" s="185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</row>
    <row r="293" ht="12.75" customHeight="1" spans="1:26">
      <c r="A293" s="184"/>
      <c r="B293" s="185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</row>
    <row r="294" ht="12.75" customHeight="1" spans="1:26">
      <c r="A294" s="184"/>
      <c r="B294" s="185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</row>
    <row r="295" ht="12.75" customHeight="1" spans="1:26">
      <c r="A295" s="184"/>
      <c r="B295" s="185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</row>
    <row r="296" ht="12.75" customHeight="1" spans="1:26">
      <c r="A296" s="184"/>
      <c r="B296" s="185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</row>
    <row r="297" ht="12.75" customHeight="1" spans="1:26">
      <c r="A297" s="184"/>
      <c r="B297" s="185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</row>
    <row r="298" ht="12.75" customHeight="1" spans="1:26">
      <c r="A298" s="184"/>
      <c r="B298" s="185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</row>
    <row r="299" ht="12.75" customHeight="1" spans="1:26">
      <c r="A299" s="184"/>
      <c r="B299" s="185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</row>
    <row r="300" ht="12.75" customHeight="1" spans="1:26">
      <c r="A300" s="184"/>
      <c r="B300" s="185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</row>
    <row r="301" ht="12.75" customHeight="1" spans="1:26">
      <c r="A301" s="184"/>
      <c r="B301" s="185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</row>
    <row r="302" ht="12.75" customHeight="1" spans="1:26">
      <c r="A302" s="184"/>
      <c r="B302" s="185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</row>
    <row r="303" ht="12.75" customHeight="1" spans="1:26">
      <c r="A303" s="184"/>
      <c r="B303" s="185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</row>
    <row r="304" ht="12.75" customHeight="1" spans="1:26">
      <c r="A304" s="184"/>
      <c r="B304" s="185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</row>
    <row r="305" ht="12.75" customHeight="1" spans="1:26">
      <c r="A305" s="184"/>
      <c r="B305" s="185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</row>
    <row r="306" ht="12.75" customHeight="1" spans="1:26">
      <c r="A306" s="184"/>
      <c r="B306" s="185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</row>
    <row r="307" ht="12.75" customHeight="1" spans="1:26">
      <c r="A307" s="184"/>
      <c r="B307" s="185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</row>
    <row r="308" ht="12.75" customHeight="1" spans="1:26">
      <c r="A308" s="184"/>
      <c r="B308" s="185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</row>
    <row r="309" ht="12.75" customHeight="1" spans="1:26">
      <c r="A309" s="184"/>
      <c r="B309" s="185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</row>
    <row r="310" ht="12.75" customHeight="1" spans="1:26">
      <c r="A310" s="184"/>
      <c r="B310" s="185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</row>
    <row r="311" ht="12.75" customHeight="1" spans="1:26">
      <c r="A311" s="184"/>
      <c r="B311" s="185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</row>
    <row r="312" ht="12.75" customHeight="1" spans="1:26">
      <c r="A312" s="184"/>
      <c r="B312" s="185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</row>
    <row r="313" ht="12.75" customHeight="1" spans="1:26">
      <c r="A313" s="184"/>
      <c r="B313" s="185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</row>
    <row r="314" ht="12.75" customHeight="1" spans="1:26">
      <c r="A314" s="184"/>
      <c r="B314" s="185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</row>
    <row r="315" ht="12.75" customHeight="1" spans="1:26">
      <c r="A315" s="184"/>
      <c r="B315" s="185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</row>
    <row r="316" ht="12.75" customHeight="1" spans="1:26">
      <c r="A316" s="184"/>
      <c r="B316" s="185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</row>
    <row r="317" ht="12.75" customHeight="1" spans="1:26">
      <c r="A317" s="184"/>
      <c r="B317" s="185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</row>
    <row r="318" ht="12.75" customHeight="1" spans="1:26">
      <c r="A318" s="184"/>
      <c r="B318" s="185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</row>
    <row r="319" ht="12.75" customHeight="1" spans="1:26">
      <c r="A319" s="184"/>
      <c r="B319" s="185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</row>
    <row r="320" ht="12.75" customHeight="1" spans="1:26">
      <c r="A320" s="184"/>
      <c r="B320" s="185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</row>
    <row r="321" ht="12.75" customHeight="1" spans="1:26">
      <c r="A321" s="184"/>
      <c r="B321" s="185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</row>
    <row r="322" ht="12.75" customHeight="1" spans="1:26">
      <c r="A322" s="184"/>
      <c r="B322" s="185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</row>
    <row r="323" ht="12.75" customHeight="1" spans="1:26">
      <c r="A323" s="184"/>
      <c r="B323" s="185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</row>
    <row r="324" ht="12.75" customHeight="1" spans="1:26">
      <c r="A324" s="184"/>
      <c r="B324" s="185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</row>
    <row r="325" ht="12.75" customHeight="1" spans="1:26">
      <c r="A325" s="184"/>
      <c r="B325" s="185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</row>
    <row r="326" ht="12.75" customHeight="1" spans="1:26">
      <c r="A326" s="184"/>
      <c r="B326" s="185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</row>
    <row r="327" ht="12.75" customHeight="1" spans="1:26">
      <c r="A327" s="184"/>
      <c r="B327" s="185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</row>
    <row r="328" ht="12.75" customHeight="1" spans="1:26">
      <c r="A328" s="184"/>
      <c r="B328" s="185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</row>
    <row r="329" ht="12.75" customHeight="1" spans="1:26">
      <c r="A329" s="184"/>
      <c r="B329" s="185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</row>
    <row r="330" ht="12.75" customHeight="1" spans="1:26">
      <c r="A330" s="184"/>
      <c r="B330" s="185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</row>
    <row r="331" ht="12.75" customHeight="1" spans="1:26">
      <c r="A331" s="184"/>
      <c r="B331" s="185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</row>
    <row r="332" ht="12.75" customHeight="1" spans="1:26">
      <c r="A332" s="184"/>
      <c r="B332" s="185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</row>
    <row r="333" ht="12.75" customHeight="1" spans="1:26">
      <c r="A333" s="184"/>
      <c r="B333" s="185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</row>
    <row r="334" ht="12.75" customHeight="1" spans="1:26">
      <c r="A334" s="184"/>
      <c r="B334" s="185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</row>
    <row r="335" ht="12.75" customHeight="1" spans="1:26">
      <c r="A335" s="184"/>
      <c r="B335" s="185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</row>
    <row r="336" ht="12.75" customHeight="1" spans="1:26">
      <c r="A336" s="184"/>
      <c r="B336" s="185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</row>
    <row r="337" ht="12.75" customHeight="1" spans="1:26">
      <c r="A337" s="184"/>
      <c r="B337" s="185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</row>
    <row r="338" ht="12.75" customHeight="1" spans="1:26">
      <c r="A338" s="184"/>
      <c r="B338" s="185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</row>
    <row r="339" ht="12.75" customHeight="1" spans="1:26">
      <c r="A339" s="184"/>
      <c r="B339" s="185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</row>
    <row r="340" ht="12.75" customHeight="1" spans="1:26">
      <c r="A340" s="184"/>
      <c r="B340" s="185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</row>
    <row r="341" ht="12.75" customHeight="1" spans="1:26">
      <c r="A341" s="184"/>
      <c r="B341" s="185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</row>
    <row r="342" ht="12.75" customHeight="1" spans="1:26">
      <c r="A342" s="184"/>
      <c r="B342" s="185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</row>
    <row r="343" ht="12.75" customHeight="1" spans="1:26">
      <c r="A343" s="184"/>
      <c r="B343" s="185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</row>
    <row r="344" ht="12.75" customHeight="1" spans="1:26">
      <c r="A344" s="184"/>
      <c r="B344" s="185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</row>
    <row r="345" ht="12.75" customHeight="1" spans="1:26">
      <c r="A345" s="184"/>
      <c r="B345" s="185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</row>
    <row r="346" ht="12.75" customHeight="1" spans="1:26">
      <c r="A346" s="184"/>
      <c r="B346" s="185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</row>
    <row r="347" ht="12.75" customHeight="1" spans="1:26">
      <c r="A347" s="184"/>
      <c r="B347" s="185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</row>
    <row r="348" ht="12.75" customHeight="1" spans="1:26">
      <c r="A348" s="184"/>
      <c r="B348" s="185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</row>
    <row r="349" ht="12.75" customHeight="1" spans="1:26">
      <c r="A349" s="184"/>
      <c r="B349" s="185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</row>
    <row r="350" ht="12.75" customHeight="1" spans="1:26">
      <c r="A350" s="184"/>
      <c r="B350" s="185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</row>
    <row r="351" ht="12.75" customHeight="1" spans="1:26">
      <c r="A351" s="184"/>
      <c r="B351" s="185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</row>
    <row r="352" ht="12.75" customHeight="1" spans="1:26">
      <c r="A352" s="184"/>
      <c r="B352" s="185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</row>
    <row r="353" ht="12.75" customHeight="1" spans="1:26">
      <c r="A353" s="184"/>
      <c r="B353" s="185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</row>
    <row r="354" ht="12.75" customHeight="1" spans="1:26">
      <c r="A354" s="184"/>
      <c r="B354" s="185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</row>
    <row r="355" ht="12.75" customHeight="1" spans="1:26">
      <c r="A355" s="184"/>
      <c r="B355" s="185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</row>
    <row r="356" ht="12.75" customHeight="1" spans="1:26">
      <c r="A356" s="184"/>
      <c r="B356" s="185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</row>
    <row r="357" ht="12.75" customHeight="1" spans="1:26">
      <c r="A357" s="184"/>
      <c r="B357" s="185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</row>
    <row r="358" ht="12.75" customHeight="1" spans="1:26">
      <c r="A358" s="184"/>
      <c r="B358" s="185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</row>
    <row r="359" ht="12.75" customHeight="1" spans="1:26">
      <c r="A359" s="184"/>
      <c r="B359" s="185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</row>
    <row r="360" ht="12.75" customHeight="1" spans="1:26">
      <c r="A360" s="184"/>
      <c r="B360" s="185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</row>
    <row r="361" ht="12.75" customHeight="1" spans="1:26">
      <c r="A361" s="184"/>
      <c r="B361" s="185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</row>
    <row r="362" ht="12.75" customHeight="1" spans="1:26">
      <c r="A362" s="184"/>
      <c r="B362" s="185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</row>
    <row r="363" ht="12.75" customHeight="1" spans="1:26">
      <c r="A363" s="184"/>
      <c r="B363" s="185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</row>
    <row r="364" ht="12.75" customHeight="1" spans="1:26">
      <c r="A364" s="184"/>
      <c r="B364" s="185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</row>
    <row r="365" ht="12.75" customHeight="1" spans="1:26">
      <c r="A365" s="184"/>
      <c r="B365" s="185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</row>
    <row r="366" ht="12.75" customHeight="1" spans="1:26">
      <c r="A366" s="184"/>
      <c r="B366" s="185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</row>
    <row r="367" ht="12.75" customHeight="1" spans="1:26">
      <c r="A367" s="184"/>
      <c r="B367" s="185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</row>
    <row r="368" ht="12.75" customHeight="1" spans="1:26">
      <c r="A368" s="184"/>
      <c r="B368" s="185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</row>
    <row r="369" ht="12.75" customHeight="1" spans="1:26">
      <c r="A369" s="184"/>
      <c r="B369" s="185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</row>
    <row r="370" ht="12.75" customHeight="1" spans="1:26">
      <c r="A370" s="184"/>
      <c r="B370" s="185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</row>
    <row r="371" ht="12.75" customHeight="1" spans="1:26">
      <c r="A371" s="184"/>
      <c r="B371" s="185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</row>
    <row r="372" ht="12.75" customHeight="1" spans="1:26">
      <c r="A372" s="184"/>
      <c r="B372" s="185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</row>
    <row r="373" ht="12.75" customHeight="1" spans="1:26">
      <c r="A373" s="184"/>
      <c r="B373" s="185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</row>
    <row r="374" ht="12.75" customHeight="1" spans="1:26">
      <c r="A374" s="184"/>
      <c r="B374" s="185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</row>
    <row r="375" ht="12.75" customHeight="1" spans="1:26">
      <c r="A375" s="184"/>
      <c r="B375" s="185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</row>
    <row r="376" ht="12.75" customHeight="1" spans="1:26">
      <c r="A376" s="184"/>
      <c r="B376" s="185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</row>
    <row r="377" ht="12.75" customHeight="1" spans="1:26">
      <c r="A377" s="184"/>
      <c r="B377" s="185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</row>
    <row r="378" ht="12.75" customHeight="1" spans="1:26">
      <c r="A378" s="184"/>
      <c r="B378" s="185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</row>
    <row r="379" ht="12.75" customHeight="1" spans="1:26">
      <c r="A379" s="184"/>
      <c r="B379" s="185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</row>
    <row r="380" ht="12.75" customHeight="1" spans="1:26">
      <c r="A380" s="184"/>
      <c r="B380" s="185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</row>
    <row r="381" ht="12.75" customHeight="1" spans="1:26">
      <c r="A381" s="184"/>
      <c r="B381" s="185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</row>
    <row r="382" ht="12.75" customHeight="1" spans="1:26">
      <c r="A382" s="184"/>
      <c r="B382" s="185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</row>
    <row r="383" ht="12.75" customHeight="1" spans="1:26">
      <c r="A383" s="184"/>
      <c r="B383" s="185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</row>
    <row r="384" ht="12.75" customHeight="1" spans="1:26">
      <c r="A384" s="184"/>
      <c r="B384" s="185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</row>
    <row r="385" ht="12.75" customHeight="1" spans="1:26">
      <c r="A385" s="184"/>
      <c r="B385" s="185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</row>
    <row r="386" ht="12.75" customHeight="1" spans="1:26">
      <c r="A386" s="184"/>
      <c r="B386" s="185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</row>
    <row r="387" ht="12.75" customHeight="1" spans="1:26">
      <c r="A387" s="184"/>
      <c r="B387" s="185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</row>
    <row r="388" ht="12.75" customHeight="1" spans="1:26">
      <c r="A388" s="184"/>
      <c r="B388" s="185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</row>
    <row r="389" ht="12.75" customHeight="1" spans="1:26">
      <c r="A389" s="184"/>
      <c r="B389" s="185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</row>
    <row r="390" ht="12.75" customHeight="1" spans="1:26">
      <c r="A390" s="184"/>
      <c r="B390" s="185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</row>
    <row r="391" ht="12.75" customHeight="1" spans="1:26">
      <c r="A391" s="184"/>
      <c r="B391" s="185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</row>
    <row r="392" ht="12.75" customHeight="1" spans="1:26">
      <c r="A392" s="184"/>
      <c r="B392" s="185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</row>
    <row r="393" ht="12.75" customHeight="1" spans="1:26">
      <c r="A393" s="184"/>
      <c r="B393" s="185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</row>
    <row r="394" ht="12.75" customHeight="1" spans="1:26">
      <c r="A394" s="184"/>
      <c r="B394" s="185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</row>
    <row r="395" ht="12.75" customHeight="1" spans="1:26">
      <c r="A395" s="184"/>
      <c r="B395" s="185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</row>
    <row r="396" ht="12.75" customHeight="1" spans="1:26">
      <c r="A396" s="184"/>
      <c r="B396" s="185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</row>
    <row r="397" ht="12.75" customHeight="1" spans="1:26">
      <c r="A397" s="184"/>
      <c r="B397" s="185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</row>
    <row r="398" ht="12.75" customHeight="1" spans="1:26">
      <c r="A398" s="184"/>
      <c r="B398" s="185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</row>
    <row r="399" ht="12.75" customHeight="1" spans="1:26">
      <c r="A399" s="184"/>
      <c r="B399" s="185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</row>
    <row r="400" ht="12.75" customHeight="1" spans="1:26">
      <c r="A400" s="184"/>
      <c r="B400" s="185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</row>
    <row r="401" ht="12.75" customHeight="1" spans="1:26">
      <c r="A401" s="184"/>
      <c r="B401" s="185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</row>
    <row r="402" ht="12.75" customHeight="1" spans="1:26">
      <c r="A402" s="184"/>
      <c r="B402" s="185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</row>
    <row r="403" ht="12.75" customHeight="1" spans="1:26">
      <c r="A403" s="184"/>
      <c r="B403" s="185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</row>
    <row r="404" ht="12.75" customHeight="1" spans="1:26">
      <c r="A404" s="184"/>
      <c r="B404" s="185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</row>
    <row r="405" ht="12.75" customHeight="1" spans="1:26">
      <c r="A405" s="184"/>
      <c r="B405" s="185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</row>
    <row r="406" ht="12.75" customHeight="1" spans="1:26">
      <c r="A406" s="184"/>
      <c r="B406" s="185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</row>
    <row r="407" ht="12.75" customHeight="1" spans="1:26">
      <c r="A407" s="184"/>
      <c r="B407" s="185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</row>
    <row r="408" ht="12.75" customHeight="1" spans="1:26">
      <c r="A408" s="184"/>
      <c r="B408" s="185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</row>
    <row r="409" ht="12.75" customHeight="1" spans="1:26">
      <c r="A409" s="184"/>
      <c r="B409" s="185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</row>
    <row r="410" ht="12.75" customHeight="1" spans="1:26">
      <c r="A410" s="184"/>
      <c r="B410" s="185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</row>
    <row r="411" ht="12.75" customHeight="1" spans="1:26">
      <c r="A411" s="184"/>
      <c r="B411" s="185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</row>
    <row r="412" ht="12.75" customHeight="1" spans="1:26">
      <c r="A412" s="184"/>
      <c r="B412" s="185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</row>
    <row r="413" ht="12.75" customHeight="1" spans="1:26">
      <c r="A413" s="184"/>
      <c r="B413" s="185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</row>
    <row r="414" ht="12.75" customHeight="1" spans="1:26">
      <c r="A414" s="184"/>
      <c r="B414" s="185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</row>
    <row r="415" ht="12.75" customHeight="1" spans="1:26">
      <c r="A415" s="184"/>
      <c r="B415" s="185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</row>
    <row r="416" ht="12.75" customHeight="1" spans="1:26">
      <c r="A416" s="184"/>
      <c r="B416" s="185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</row>
    <row r="417" ht="12.75" customHeight="1" spans="1:26">
      <c r="A417" s="184"/>
      <c r="B417" s="185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</row>
    <row r="418" ht="12.75" customHeight="1" spans="1:26">
      <c r="A418" s="184"/>
      <c r="B418" s="185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</row>
    <row r="419" ht="12.75" customHeight="1" spans="1:26">
      <c r="A419" s="184"/>
      <c r="B419" s="185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</row>
    <row r="420" ht="12.75" customHeight="1" spans="1:26">
      <c r="A420" s="184"/>
      <c r="B420" s="185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</row>
    <row r="421" ht="12.75" customHeight="1" spans="1:26">
      <c r="A421" s="184"/>
      <c r="B421" s="185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</row>
    <row r="422" ht="12.75" customHeight="1" spans="1:26">
      <c r="A422" s="184"/>
      <c r="B422" s="185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</row>
    <row r="423" ht="12.75" customHeight="1" spans="1:26">
      <c r="A423" s="184"/>
      <c r="B423" s="185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</row>
    <row r="424" ht="12.75" customHeight="1" spans="1:26">
      <c r="A424" s="184"/>
      <c r="B424" s="185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</row>
    <row r="425" ht="12.75" customHeight="1" spans="1:26">
      <c r="A425" s="184"/>
      <c r="B425" s="185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</row>
    <row r="426" ht="12.75" customHeight="1" spans="1:26">
      <c r="A426" s="184"/>
      <c r="B426" s="185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</row>
    <row r="427" ht="12.75" customHeight="1" spans="1:26">
      <c r="A427" s="184"/>
      <c r="B427" s="185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</row>
    <row r="428" ht="12.75" customHeight="1" spans="1:26">
      <c r="A428" s="184"/>
      <c r="B428" s="185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</row>
    <row r="429" ht="12.75" customHeight="1" spans="1:26">
      <c r="A429" s="184"/>
      <c r="B429" s="185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</row>
    <row r="430" ht="12.75" customHeight="1" spans="1:26">
      <c r="A430" s="184"/>
      <c r="B430" s="185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</row>
    <row r="431" ht="12.75" customHeight="1" spans="1:26">
      <c r="A431" s="184"/>
      <c r="B431" s="185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</row>
    <row r="432" ht="12.75" customHeight="1" spans="1:26">
      <c r="A432" s="184"/>
      <c r="B432" s="185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</row>
    <row r="433" ht="12.75" customHeight="1" spans="1:26">
      <c r="A433" s="184"/>
      <c r="B433" s="185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</row>
    <row r="434" ht="12.75" customHeight="1" spans="1:26">
      <c r="A434" s="184"/>
      <c r="B434" s="185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</row>
    <row r="435" ht="12.75" customHeight="1" spans="1:26">
      <c r="A435" s="184"/>
      <c r="B435" s="185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</row>
    <row r="436" ht="12.75" customHeight="1" spans="1:26">
      <c r="A436" s="184"/>
      <c r="B436" s="185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</row>
    <row r="437" ht="12.75" customHeight="1" spans="1:26">
      <c r="A437" s="184"/>
      <c r="B437" s="185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</row>
    <row r="438" ht="12.75" customHeight="1" spans="1:26">
      <c r="A438" s="184"/>
      <c r="B438" s="185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</row>
    <row r="439" ht="12.75" customHeight="1" spans="1:26">
      <c r="A439" s="184"/>
      <c r="B439" s="185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</row>
    <row r="440" ht="12.75" customHeight="1" spans="1:26">
      <c r="A440" s="184"/>
      <c r="B440" s="185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</row>
    <row r="441" ht="12.75" customHeight="1" spans="1:26">
      <c r="A441" s="184"/>
      <c r="B441" s="185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</row>
    <row r="442" ht="12.75" customHeight="1" spans="1:26">
      <c r="A442" s="184"/>
      <c r="B442" s="185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</row>
    <row r="443" ht="12.75" customHeight="1" spans="1:26">
      <c r="A443" s="184"/>
      <c r="B443" s="185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</row>
    <row r="444" ht="12.75" customHeight="1" spans="1:26">
      <c r="A444" s="184"/>
      <c r="B444" s="185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</row>
    <row r="445" ht="12.75" customHeight="1" spans="1:26">
      <c r="A445" s="184"/>
      <c r="B445" s="185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</row>
    <row r="446" ht="12.75" customHeight="1" spans="1:26">
      <c r="A446" s="184"/>
      <c r="B446" s="185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</row>
    <row r="447" ht="12.75" customHeight="1" spans="1:26">
      <c r="A447" s="184"/>
      <c r="B447" s="185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</row>
    <row r="448" ht="12.75" customHeight="1" spans="1:26">
      <c r="A448" s="184"/>
      <c r="B448" s="185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</row>
    <row r="449" ht="12.75" customHeight="1" spans="1:26">
      <c r="A449" s="184"/>
      <c r="B449" s="185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</row>
    <row r="450" ht="12.75" customHeight="1" spans="1:26">
      <c r="A450" s="184"/>
      <c r="B450" s="185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</row>
    <row r="451" ht="12.75" customHeight="1" spans="1:26">
      <c r="A451" s="184"/>
      <c r="B451" s="185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</row>
    <row r="452" ht="12.75" customHeight="1" spans="1:26">
      <c r="A452" s="184"/>
      <c r="B452" s="185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84"/>
      <c r="W452" s="184"/>
      <c r="X452" s="184"/>
      <c r="Y452" s="184"/>
      <c r="Z452" s="184"/>
    </row>
    <row r="453" ht="12.75" customHeight="1" spans="1:26">
      <c r="A453" s="184"/>
      <c r="B453" s="185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84"/>
      <c r="W453" s="184"/>
      <c r="X453" s="184"/>
      <c r="Y453" s="184"/>
      <c r="Z453" s="184"/>
    </row>
    <row r="454" ht="12.75" customHeight="1" spans="1:26">
      <c r="A454" s="184"/>
      <c r="B454" s="185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184"/>
      <c r="W454" s="184"/>
      <c r="X454" s="184"/>
      <c r="Y454" s="184"/>
      <c r="Z454" s="184"/>
    </row>
    <row r="455" ht="12.75" customHeight="1" spans="1:26">
      <c r="A455" s="184"/>
      <c r="B455" s="185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84"/>
      <c r="W455" s="184"/>
      <c r="X455" s="184"/>
      <c r="Y455" s="184"/>
      <c r="Z455" s="184"/>
    </row>
    <row r="456" ht="12.75" customHeight="1" spans="1:26">
      <c r="A456" s="184"/>
      <c r="B456" s="185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184"/>
      <c r="W456" s="184"/>
      <c r="X456" s="184"/>
      <c r="Y456" s="184"/>
      <c r="Z456" s="184"/>
    </row>
    <row r="457" ht="12.75" customHeight="1" spans="1:26">
      <c r="A457" s="184"/>
      <c r="B457" s="185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84"/>
      <c r="W457" s="184"/>
      <c r="X457" s="184"/>
      <c r="Y457" s="184"/>
      <c r="Z457" s="184"/>
    </row>
    <row r="458" ht="12.75" customHeight="1" spans="1:26">
      <c r="A458" s="184"/>
      <c r="B458" s="185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84"/>
      <c r="W458" s="184"/>
      <c r="X458" s="184"/>
      <c r="Y458" s="184"/>
      <c r="Z458" s="184"/>
    </row>
    <row r="459" ht="12.75" customHeight="1" spans="1:26">
      <c r="A459" s="184"/>
      <c r="B459" s="185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184"/>
      <c r="W459" s="184"/>
      <c r="X459" s="184"/>
      <c r="Y459" s="184"/>
      <c r="Z459" s="184"/>
    </row>
    <row r="460" ht="12.75" customHeight="1" spans="1:26">
      <c r="A460" s="184"/>
      <c r="B460" s="185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184"/>
      <c r="V460" s="184"/>
      <c r="W460" s="184"/>
      <c r="X460" s="184"/>
      <c r="Y460" s="184"/>
      <c r="Z460" s="184"/>
    </row>
    <row r="461" ht="12.75" customHeight="1" spans="1:26">
      <c r="A461" s="184"/>
      <c r="B461" s="185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184"/>
      <c r="V461" s="184"/>
      <c r="W461" s="184"/>
      <c r="X461" s="184"/>
      <c r="Y461" s="184"/>
      <c r="Z461" s="184"/>
    </row>
    <row r="462" ht="12.75" customHeight="1" spans="1:26">
      <c r="A462" s="184"/>
      <c r="B462" s="185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184"/>
      <c r="V462" s="184"/>
      <c r="W462" s="184"/>
      <c r="X462" s="184"/>
      <c r="Y462" s="184"/>
      <c r="Z462" s="184"/>
    </row>
    <row r="463" ht="12.75" customHeight="1" spans="1:26">
      <c r="A463" s="184"/>
      <c r="B463" s="185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184"/>
      <c r="V463" s="184"/>
      <c r="W463" s="184"/>
      <c r="X463" s="184"/>
      <c r="Y463" s="184"/>
      <c r="Z463" s="184"/>
    </row>
    <row r="464" ht="12.75" customHeight="1" spans="1:26">
      <c r="A464" s="184"/>
      <c r="B464" s="185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84"/>
      <c r="W464" s="184"/>
      <c r="X464" s="184"/>
      <c r="Y464" s="184"/>
      <c r="Z464" s="184"/>
    </row>
    <row r="465" ht="12.75" customHeight="1" spans="1:26">
      <c r="A465" s="184"/>
      <c r="B465" s="185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184"/>
      <c r="W465" s="184"/>
      <c r="X465" s="184"/>
      <c r="Y465" s="184"/>
      <c r="Z465" s="184"/>
    </row>
    <row r="466" ht="12.75" customHeight="1" spans="1:26">
      <c r="A466" s="184"/>
      <c r="B466" s="185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84"/>
      <c r="W466" s="184"/>
      <c r="X466" s="184"/>
      <c r="Y466" s="184"/>
      <c r="Z466" s="184"/>
    </row>
    <row r="467" ht="12.75" customHeight="1" spans="1:26">
      <c r="A467" s="184"/>
      <c r="B467" s="185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184"/>
      <c r="W467" s="184"/>
      <c r="X467" s="184"/>
      <c r="Y467" s="184"/>
      <c r="Z467" s="184"/>
    </row>
    <row r="468" ht="12.75" customHeight="1" spans="1:26">
      <c r="A468" s="184"/>
      <c r="B468" s="185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84"/>
      <c r="W468" s="184"/>
      <c r="X468" s="184"/>
      <c r="Y468" s="184"/>
      <c r="Z468" s="184"/>
    </row>
    <row r="469" ht="12.75" customHeight="1" spans="1:26">
      <c r="A469" s="184"/>
      <c r="B469" s="185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84"/>
      <c r="W469" s="184"/>
      <c r="X469" s="184"/>
      <c r="Y469" s="184"/>
      <c r="Z469" s="184"/>
    </row>
    <row r="470" ht="12.75" customHeight="1" spans="1:26">
      <c r="A470" s="184"/>
      <c r="B470" s="185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84"/>
      <c r="W470" s="184"/>
      <c r="X470" s="184"/>
      <c r="Y470" s="184"/>
      <c r="Z470" s="184"/>
    </row>
    <row r="471" ht="12.75" customHeight="1" spans="1:26">
      <c r="A471" s="184"/>
      <c r="B471" s="185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84"/>
      <c r="W471" s="184"/>
      <c r="X471" s="184"/>
      <c r="Y471" s="184"/>
      <c r="Z471" s="184"/>
    </row>
    <row r="472" ht="12.75" customHeight="1" spans="1:26">
      <c r="A472" s="184"/>
      <c r="B472" s="185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84"/>
      <c r="W472" s="184"/>
      <c r="X472" s="184"/>
      <c r="Y472" s="184"/>
      <c r="Z472" s="184"/>
    </row>
    <row r="473" ht="12.75" customHeight="1" spans="1:26">
      <c r="A473" s="184"/>
      <c r="B473" s="185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84"/>
      <c r="W473" s="184"/>
      <c r="X473" s="184"/>
      <c r="Y473" s="184"/>
      <c r="Z473" s="184"/>
    </row>
    <row r="474" ht="12.75" customHeight="1" spans="1:26">
      <c r="A474" s="184"/>
      <c r="B474" s="185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84"/>
      <c r="W474" s="184"/>
      <c r="X474" s="184"/>
      <c r="Y474" s="184"/>
      <c r="Z474" s="184"/>
    </row>
    <row r="475" ht="12.75" customHeight="1" spans="1:26">
      <c r="A475" s="184"/>
      <c r="B475" s="185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84"/>
      <c r="W475" s="184"/>
      <c r="X475" s="184"/>
      <c r="Y475" s="184"/>
      <c r="Z475" s="184"/>
    </row>
    <row r="476" ht="12.75" customHeight="1" spans="1:26">
      <c r="A476" s="184"/>
      <c r="B476" s="185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84"/>
      <c r="W476" s="184"/>
      <c r="X476" s="184"/>
      <c r="Y476" s="184"/>
      <c r="Z476" s="184"/>
    </row>
    <row r="477" ht="12.75" customHeight="1" spans="1:26">
      <c r="A477" s="184"/>
      <c r="B477" s="185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84"/>
      <c r="W477" s="184"/>
      <c r="X477" s="184"/>
      <c r="Y477" s="184"/>
      <c r="Z477" s="184"/>
    </row>
    <row r="478" ht="12.75" customHeight="1" spans="1:26">
      <c r="A478" s="184"/>
      <c r="B478" s="185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84"/>
      <c r="W478" s="184"/>
      <c r="X478" s="184"/>
      <c r="Y478" s="184"/>
      <c r="Z478" s="184"/>
    </row>
    <row r="479" ht="12.75" customHeight="1" spans="1:26">
      <c r="A479" s="184"/>
      <c r="B479" s="185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184"/>
      <c r="W479" s="184"/>
      <c r="X479" s="184"/>
      <c r="Y479" s="184"/>
      <c r="Z479" s="184"/>
    </row>
    <row r="480" ht="12.75" customHeight="1" spans="1:26">
      <c r="A480" s="184"/>
      <c r="B480" s="185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184"/>
      <c r="W480" s="184"/>
      <c r="X480" s="184"/>
      <c r="Y480" s="184"/>
      <c r="Z480" s="184"/>
    </row>
    <row r="481" ht="12.75" customHeight="1" spans="1:26">
      <c r="A481" s="184"/>
      <c r="B481" s="185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184"/>
      <c r="W481" s="184"/>
      <c r="X481" s="184"/>
      <c r="Y481" s="184"/>
      <c r="Z481" s="184"/>
    </row>
    <row r="482" ht="12.75" customHeight="1" spans="1:26">
      <c r="A482" s="184"/>
      <c r="B482" s="185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84"/>
      <c r="W482" s="184"/>
      <c r="X482" s="184"/>
      <c r="Y482" s="184"/>
      <c r="Z482" s="184"/>
    </row>
    <row r="483" ht="12.75" customHeight="1" spans="1:26">
      <c r="A483" s="184"/>
      <c r="B483" s="185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184"/>
      <c r="W483" s="184"/>
      <c r="X483" s="184"/>
      <c r="Y483" s="184"/>
      <c r="Z483" s="184"/>
    </row>
    <row r="484" ht="12.75" customHeight="1" spans="1:26">
      <c r="A484" s="184"/>
      <c r="B484" s="185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184"/>
      <c r="W484" s="184"/>
      <c r="X484" s="184"/>
      <c r="Y484" s="184"/>
      <c r="Z484" s="184"/>
    </row>
    <row r="485" ht="12.75" customHeight="1" spans="1:26">
      <c r="A485" s="184"/>
      <c r="B485" s="185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184"/>
      <c r="W485" s="184"/>
      <c r="X485" s="184"/>
      <c r="Y485" s="184"/>
      <c r="Z485" s="184"/>
    </row>
    <row r="486" ht="12.75" customHeight="1" spans="1:26">
      <c r="A486" s="184"/>
      <c r="B486" s="185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184"/>
      <c r="W486" s="184"/>
      <c r="X486" s="184"/>
      <c r="Y486" s="184"/>
      <c r="Z486" s="184"/>
    </row>
    <row r="487" ht="12.75" customHeight="1" spans="1:26">
      <c r="A487" s="184"/>
      <c r="B487" s="185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84"/>
      <c r="W487" s="184"/>
      <c r="X487" s="184"/>
      <c r="Y487" s="184"/>
      <c r="Z487" s="184"/>
    </row>
    <row r="488" ht="12.75" customHeight="1" spans="1:26">
      <c r="A488" s="184"/>
      <c r="B488" s="185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84"/>
      <c r="W488" s="184"/>
      <c r="X488" s="184"/>
      <c r="Y488" s="184"/>
      <c r="Z488" s="184"/>
    </row>
    <row r="489" ht="12.75" customHeight="1" spans="1:26">
      <c r="A489" s="184"/>
      <c r="B489" s="185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/>
      <c r="Q489" s="184"/>
      <c r="R489" s="184"/>
      <c r="S489" s="184"/>
      <c r="T489" s="184"/>
      <c r="U489" s="184"/>
      <c r="V489" s="184"/>
      <c r="W489" s="184"/>
      <c r="X489" s="184"/>
      <c r="Y489" s="184"/>
      <c r="Z489" s="184"/>
    </row>
    <row r="490" ht="12.75" customHeight="1" spans="1:26">
      <c r="A490" s="184"/>
      <c r="B490" s="185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84"/>
      <c r="W490" s="184"/>
      <c r="X490" s="184"/>
      <c r="Y490" s="184"/>
      <c r="Z490" s="184"/>
    </row>
    <row r="491" ht="12.75" customHeight="1" spans="1:26">
      <c r="A491" s="184"/>
      <c r="B491" s="185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/>
      <c r="Q491" s="184"/>
      <c r="R491" s="184"/>
      <c r="S491" s="184"/>
      <c r="T491" s="184"/>
      <c r="U491" s="184"/>
      <c r="V491" s="184"/>
      <c r="W491" s="184"/>
      <c r="X491" s="184"/>
      <c r="Y491" s="184"/>
      <c r="Z491" s="184"/>
    </row>
    <row r="492" ht="12.75" customHeight="1" spans="1:26">
      <c r="A492" s="184"/>
      <c r="B492" s="185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/>
      <c r="Q492" s="184"/>
      <c r="R492" s="184"/>
      <c r="S492" s="184"/>
      <c r="T492" s="184"/>
      <c r="U492" s="184"/>
      <c r="V492" s="184"/>
      <c r="W492" s="184"/>
      <c r="X492" s="184"/>
      <c r="Y492" s="184"/>
      <c r="Z492" s="184"/>
    </row>
    <row r="493" ht="12.75" customHeight="1" spans="1:26">
      <c r="A493" s="184"/>
      <c r="B493" s="185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/>
      <c r="Q493" s="184"/>
      <c r="R493" s="184"/>
      <c r="S493" s="184"/>
      <c r="T493" s="184"/>
      <c r="U493" s="184"/>
      <c r="V493" s="184"/>
      <c r="W493" s="184"/>
      <c r="X493" s="184"/>
      <c r="Y493" s="184"/>
      <c r="Z493" s="184"/>
    </row>
    <row r="494" ht="12.75" customHeight="1" spans="1:26">
      <c r="A494" s="184"/>
      <c r="B494" s="185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/>
      <c r="Q494" s="184"/>
      <c r="R494" s="184"/>
      <c r="S494" s="184"/>
      <c r="T494" s="184"/>
      <c r="U494" s="184"/>
      <c r="V494" s="184"/>
      <c r="W494" s="184"/>
      <c r="X494" s="184"/>
      <c r="Y494" s="184"/>
      <c r="Z494" s="184"/>
    </row>
    <row r="495" ht="12.75" customHeight="1" spans="1:26">
      <c r="A495" s="184"/>
      <c r="B495" s="185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/>
      <c r="Q495" s="184"/>
      <c r="R495" s="184"/>
      <c r="S495" s="184"/>
      <c r="T495" s="184"/>
      <c r="U495" s="184"/>
      <c r="V495" s="184"/>
      <c r="W495" s="184"/>
      <c r="X495" s="184"/>
      <c r="Y495" s="184"/>
      <c r="Z495" s="184"/>
    </row>
    <row r="496" ht="12.75" customHeight="1" spans="1:26">
      <c r="A496" s="184"/>
      <c r="B496" s="185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/>
      <c r="Q496" s="184"/>
      <c r="R496" s="184"/>
      <c r="S496" s="184"/>
      <c r="T496" s="184"/>
      <c r="U496" s="184"/>
      <c r="V496" s="184"/>
      <c r="W496" s="184"/>
      <c r="X496" s="184"/>
      <c r="Y496" s="184"/>
      <c r="Z496" s="184"/>
    </row>
    <row r="497" ht="12.75" customHeight="1" spans="1:26">
      <c r="A497" s="184"/>
      <c r="B497" s="185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/>
      <c r="Q497" s="184"/>
      <c r="R497" s="184"/>
      <c r="S497" s="184"/>
      <c r="T497" s="184"/>
      <c r="U497" s="184"/>
      <c r="V497" s="184"/>
      <c r="W497" s="184"/>
      <c r="X497" s="184"/>
      <c r="Y497" s="184"/>
      <c r="Z497" s="184"/>
    </row>
    <row r="498" ht="12.75" customHeight="1" spans="1:26">
      <c r="A498" s="184"/>
      <c r="B498" s="185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/>
      <c r="Q498" s="184"/>
      <c r="R498" s="184"/>
      <c r="S498" s="184"/>
      <c r="T498" s="184"/>
      <c r="U498" s="184"/>
      <c r="V498" s="184"/>
      <c r="W498" s="184"/>
      <c r="X498" s="184"/>
      <c r="Y498" s="184"/>
      <c r="Z498" s="184"/>
    </row>
    <row r="499" ht="12.75" customHeight="1" spans="1:26">
      <c r="A499" s="184"/>
      <c r="B499" s="185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/>
      <c r="Q499" s="184"/>
      <c r="R499" s="184"/>
      <c r="S499" s="184"/>
      <c r="T499" s="184"/>
      <c r="U499" s="184"/>
      <c r="V499" s="184"/>
      <c r="W499" s="184"/>
      <c r="X499" s="184"/>
      <c r="Y499" s="184"/>
      <c r="Z499" s="184"/>
    </row>
    <row r="500" ht="12.75" customHeight="1" spans="1:26">
      <c r="A500" s="184"/>
      <c r="B500" s="185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/>
      <c r="Q500" s="184"/>
      <c r="R500" s="184"/>
      <c r="S500" s="184"/>
      <c r="T500" s="184"/>
      <c r="U500" s="184"/>
      <c r="V500" s="184"/>
      <c r="W500" s="184"/>
      <c r="X500" s="184"/>
      <c r="Y500" s="184"/>
      <c r="Z500" s="184"/>
    </row>
    <row r="501" ht="12.75" customHeight="1" spans="1:26">
      <c r="A501" s="184"/>
      <c r="B501" s="185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/>
      <c r="Q501" s="184"/>
      <c r="R501" s="184"/>
      <c r="S501" s="184"/>
      <c r="T501" s="184"/>
      <c r="U501" s="184"/>
      <c r="V501" s="184"/>
      <c r="W501" s="184"/>
      <c r="X501" s="184"/>
      <c r="Y501" s="184"/>
      <c r="Z501" s="184"/>
    </row>
    <row r="502" ht="12.75" customHeight="1" spans="1:26">
      <c r="A502" s="184"/>
      <c r="B502" s="185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/>
      <c r="Q502" s="184"/>
      <c r="R502" s="184"/>
      <c r="S502" s="184"/>
      <c r="T502" s="184"/>
      <c r="U502" s="184"/>
      <c r="V502" s="184"/>
      <c r="W502" s="184"/>
      <c r="X502" s="184"/>
      <c r="Y502" s="184"/>
      <c r="Z502" s="184"/>
    </row>
    <row r="503" ht="12.75" customHeight="1" spans="1:26">
      <c r="A503" s="184"/>
      <c r="B503" s="185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/>
      <c r="Q503" s="184"/>
      <c r="R503" s="184"/>
      <c r="S503" s="184"/>
      <c r="T503" s="184"/>
      <c r="U503" s="184"/>
      <c r="V503" s="184"/>
      <c r="W503" s="184"/>
      <c r="X503" s="184"/>
      <c r="Y503" s="184"/>
      <c r="Z503" s="184"/>
    </row>
    <row r="504" ht="12.75" customHeight="1" spans="1:26">
      <c r="A504" s="184"/>
      <c r="B504" s="185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/>
      <c r="Q504" s="184"/>
      <c r="R504" s="184"/>
      <c r="S504" s="184"/>
      <c r="T504" s="184"/>
      <c r="U504" s="184"/>
      <c r="V504" s="184"/>
      <c r="W504" s="184"/>
      <c r="X504" s="184"/>
      <c r="Y504" s="184"/>
      <c r="Z504" s="184"/>
    </row>
    <row r="505" ht="12.75" customHeight="1" spans="1:26">
      <c r="A505" s="184"/>
      <c r="B505" s="185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/>
      <c r="Q505" s="184"/>
      <c r="R505" s="184"/>
      <c r="S505" s="184"/>
      <c r="T505" s="184"/>
      <c r="U505" s="184"/>
      <c r="V505" s="184"/>
      <c r="W505" s="184"/>
      <c r="X505" s="184"/>
      <c r="Y505" s="184"/>
      <c r="Z505" s="184"/>
    </row>
    <row r="506" ht="12.75" customHeight="1" spans="1:26">
      <c r="A506" s="184"/>
      <c r="B506" s="185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/>
      <c r="Q506" s="184"/>
      <c r="R506" s="184"/>
      <c r="S506" s="184"/>
      <c r="T506" s="184"/>
      <c r="U506" s="184"/>
      <c r="V506" s="184"/>
      <c r="W506" s="184"/>
      <c r="X506" s="184"/>
      <c r="Y506" s="184"/>
      <c r="Z506" s="184"/>
    </row>
    <row r="507" ht="12.75" customHeight="1" spans="1:26">
      <c r="A507" s="184"/>
      <c r="B507" s="185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/>
      <c r="Q507" s="184"/>
      <c r="R507" s="184"/>
      <c r="S507" s="184"/>
      <c r="T507" s="184"/>
      <c r="U507" s="184"/>
      <c r="V507" s="184"/>
      <c r="W507" s="184"/>
      <c r="X507" s="184"/>
      <c r="Y507" s="184"/>
      <c r="Z507" s="184"/>
    </row>
    <row r="508" ht="12.75" customHeight="1" spans="1:26">
      <c r="A508" s="184"/>
      <c r="B508" s="185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/>
      <c r="Q508" s="184"/>
      <c r="R508" s="184"/>
      <c r="S508" s="184"/>
      <c r="T508" s="184"/>
      <c r="U508" s="184"/>
      <c r="V508" s="184"/>
      <c r="W508" s="184"/>
      <c r="X508" s="184"/>
      <c r="Y508" s="184"/>
      <c r="Z508" s="184"/>
    </row>
    <row r="509" ht="12.75" customHeight="1" spans="1:26">
      <c r="A509" s="184"/>
      <c r="B509" s="185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/>
      <c r="Q509" s="184"/>
      <c r="R509" s="184"/>
      <c r="S509" s="184"/>
      <c r="T509" s="184"/>
      <c r="U509" s="184"/>
      <c r="V509" s="184"/>
      <c r="W509" s="184"/>
      <c r="X509" s="184"/>
      <c r="Y509" s="184"/>
      <c r="Z509" s="184"/>
    </row>
    <row r="510" ht="12.75" customHeight="1" spans="1:26">
      <c r="A510" s="184"/>
      <c r="B510" s="185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/>
      <c r="Q510" s="184"/>
      <c r="R510" s="184"/>
      <c r="S510" s="184"/>
      <c r="T510" s="184"/>
      <c r="U510" s="184"/>
      <c r="V510" s="184"/>
      <c r="W510" s="184"/>
      <c r="X510" s="184"/>
      <c r="Y510" s="184"/>
      <c r="Z510" s="184"/>
    </row>
    <row r="511" ht="12.75" customHeight="1" spans="1:26">
      <c r="A511" s="184"/>
      <c r="B511" s="185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/>
      <c r="Q511" s="184"/>
      <c r="R511" s="184"/>
      <c r="S511" s="184"/>
      <c r="T511" s="184"/>
      <c r="U511" s="184"/>
      <c r="V511" s="184"/>
      <c r="W511" s="184"/>
      <c r="X511" s="184"/>
      <c r="Y511" s="184"/>
      <c r="Z511" s="184"/>
    </row>
    <row r="512" ht="12.75" customHeight="1" spans="1:26">
      <c r="A512" s="184"/>
      <c r="B512" s="185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/>
      <c r="Q512" s="184"/>
      <c r="R512" s="184"/>
      <c r="S512" s="184"/>
      <c r="T512" s="184"/>
      <c r="U512" s="184"/>
      <c r="V512" s="184"/>
      <c r="W512" s="184"/>
      <c r="X512" s="184"/>
      <c r="Y512" s="184"/>
      <c r="Z512" s="184"/>
    </row>
    <row r="513" ht="12.75" customHeight="1" spans="1:26">
      <c r="A513" s="184"/>
      <c r="B513" s="185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/>
      <c r="Q513" s="184"/>
      <c r="R513" s="184"/>
      <c r="S513" s="184"/>
      <c r="T513" s="184"/>
      <c r="U513" s="184"/>
      <c r="V513" s="184"/>
      <c r="W513" s="184"/>
      <c r="X513" s="184"/>
      <c r="Y513" s="184"/>
      <c r="Z513" s="184"/>
    </row>
    <row r="514" ht="12.75" customHeight="1" spans="1:26">
      <c r="A514" s="184"/>
      <c r="B514" s="185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/>
      <c r="Q514" s="184"/>
      <c r="R514" s="184"/>
      <c r="S514" s="184"/>
      <c r="T514" s="184"/>
      <c r="U514" s="184"/>
      <c r="V514" s="184"/>
      <c r="W514" s="184"/>
      <c r="X514" s="184"/>
      <c r="Y514" s="184"/>
      <c r="Z514" s="184"/>
    </row>
    <row r="515" ht="12.75" customHeight="1" spans="1:26">
      <c r="A515" s="184"/>
      <c r="B515" s="185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/>
      <c r="Q515" s="184"/>
      <c r="R515" s="184"/>
      <c r="S515" s="184"/>
      <c r="T515" s="184"/>
      <c r="U515" s="184"/>
      <c r="V515" s="184"/>
      <c r="W515" s="184"/>
      <c r="X515" s="184"/>
      <c r="Y515" s="184"/>
      <c r="Z515" s="184"/>
    </row>
    <row r="516" ht="12.75" customHeight="1" spans="1:26">
      <c r="A516" s="184"/>
      <c r="B516" s="185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/>
      <c r="Q516" s="184"/>
      <c r="R516" s="184"/>
      <c r="S516" s="184"/>
      <c r="T516" s="184"/>
      <c r="U516" s="184"/>
      <c r="V516" s="184"/>
      <c r="W516" s="184"/>
      <c r="X516" s="184"/>
      <c r="Y516" s="184"/>
      <c r="Z516" s="184"/>
    </row>
    <row r="517" ht="12.75" customHeight="1" spans="1:26">
      <c r="A517" s="184"/>
      <c r="B517" s="185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/>
      <c r="Q517" s="184"/>
      <c r="R517" s="184"/>
      <c r="S517" s="184"/>
      <c r="T517" s="184"/>
      <c r="U517" s="184"/>
      <c r="V517" s="184"/>
      <c r="W517" s="184"/>
      <c r="X517" s="184"/>
      <c r="Y517" s="184"/>
      <c r="Z517" s="184"/>
    </row>
    <row r="518" ht="12.75" customHeight="1" spans="1:26">
      <c r="A518" s="184"/>
      <c r="B518" s="185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/>
      <c r="Q518" s="184"/>
      <c r="R518" s="184"/>
      <c r="S518" s="184"/>
      <c r="T518" s="184"/>
      <c r="U518" s="184"/>
      <c r="V518" s="184"/>
      <c r="W518" s="184"/>
      <c r="X518" s="184"/>
      <c r="Y518" s="184"/>
      <c r="Z518" s="184"/>
    </row>
    <row r="519" ht="12.75" customHeight="1" spans="1:26">
      <c r="A519" s="184"/>
      <c r="B519" s="185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/>
      <c r="Q519" s="184"/>
      <c r="R519" s="184"/>
      <c r="S519" s="184"/>
      <c r="T519" s="184"/>
      <c r="U519" s="184"/>
      <c r="V519" s="184"/>
      <c r="W519" s="184"/>
      <c r="X519" s="184"/>
      <c r="Y519" s="184"/>
      <c r="Z519" s="184"/>
    </row>
    <row r="520" ht="12.75" customHeight="1" spans="1:26">
      <c r="A520" s="184"/>
      <c r="B520" s="185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/>
      <c r="Q520" s="184"/>
      <c r="R520" s="184"/>
      <c r="S520" s="184"/>
      <c r="T520" s="184"/>
      <c r="U520" s="184"/>
      <c r="V520" s="184"/>
      <c r="W520" s="184"/>
      <c r="X520" s="184"/>
      <c r="Y520" s="184"/>
      <c r="Z520" s="184"/>
    </row>
    <row r="521" ht="12.75" customHeight="1" spans="1:26">
      <c r="A521" s="184"/>
      <c r="B521" s="185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/>
      <c r="Q521" s="184"/>
      <c r="R521" s="184"/>
      <c r="S521" s="184"/>
      <c r="T521" s="184"/>
      <c r="U521" s="184"/>
      <c r="V521" s="184"/>
      <c r="W521" s="184"/>
      <c r="X521" s="184"/>
      <c r="Y521" s="184"/>
      <c r="Z521" s="184"/>
    </row>
    <row r="522" ht="12.75" customHeight="1" spans="1:26">
      <c r="A522" s="184"/>
      <c r="B522" s="185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/>
      <c r="Q522" s="184"/>
      <c r="R522" s="184"/>
      <c r="S522" s="184"/>
      <c r="T522" s="184"/>
      <c r="U522" s="184"/>
      <c r="V522" s="184"/>
      <c r="W522" s="184"/>
      <c r="X522" s="184"/>
      <c r="Y522" s="184"/>
      <c r="Z522" s="184"/>
    </row>
    <row r="523" ht="12.75" customHeight="1" spans="1:26">
      <c r="A523" s="184"/>
      <c r="B523" s="185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/>
      <c r="Q523" s="184"/>
      <c r="R523" s="184"/>
      <c r="S523" s="184"/>
      <c r="T523" s="184"/>
      <c r="U523" s="184"/>
      <c r="V523" s="184"/>
      <c r="W523" s="184"/>
      <c r="X523" s="184"/>
      <c r="Y523" s="184"/>
      <c r="Z523" s="184"/>
    </row>
    <row r="524" ht="12.75" customHeight="1" spans="1:26">
      <c r="A524" s="184"/>
      <c r="B524" s="185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/>
      <c r="Q524" s="184"/>
      <c r="R524" s="184"/>
      <c r="S524" s="184"/>
      <c r="T524" s="184"/>
      <c r="U524" s="184"/>
      <c r="V524" s="184"/>
      <c r="W524" s="184"/>
      <c r="X524" s="184"/>
      <c r="Y524" s="184"/>
      <c r="Z524" s="184"/>
    </row>
    <row r="525" ht="12.75" customHeight="1" spans="1:26">
      <c r="A525" s="184"/>
      <c r="B525" s="185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/>
      <c r="Q525" s="184"/>
      <c r="R525" s="184"/>
      <c r="S525" s="184"/>
      <c r="T525" s="184"/>
      <c r="U525" s="184"/>
      <c r="V525" s="184"/>
      <c r="W525" s="184"/>
      <c r="X525" s="184"/>
      <c r="Y525" s="184"/>
      <c r="Z525" s="184"/>
    </row>
    <row r="526" ht="12.75" customHeight="1" spans="1:26">
      <c r="A526" s="184"/>
      <c r="B526" s="185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/>
      <c r="Q526" s="184"/>
      <c r="R526" s="184"/>
      <c r="S526" s="184"/>
      <c r="T526" s="184"/>
      <c r="U526" s="184"/>
      <c r="V526" s="184"/>
      <c r="W526" s="184"/>
      <c r="X526" s="184"/>
      <c r="Y526" s="184"/>
      <c r="Z526" s="184"/>
    </row>
    <row r="527" ht="12.75" customHeight="1" spans="1:26">
      <c r="A527" s="184"/>
      <c r="B527" s="185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/>
      <c r="Q527" s="184"/>
      <c r="R527" s="184"/>
      <c r="S527" s="184"/>
      <c r="T527" s="184"/>
      <c r="U527" s="184"/>
      <c r="V527" s="184"/>
      <c r="W527" s="184"/>
      <c r="X527" s="184"/>
      <c r="Y527" s="184"/>
      <c r="Z527" s="184"/>
    </row>
    <row r="528" ht="12.75" customHeight="1" spans="1:26">
      <c r="A528" s="184"/>
      <c r="B528" s="185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/>
      <c r="Q528" s="184"/>
      <c r="R528" s="184"/>
      <c r="S528" s="184"/>
      <c r="T528" s="184"/>
      <c r="U528" s="184"/>
      <c r="V528" s="184"/>
      <c r="W528" s="184"/>
      <c r="X528" s="184"/>
      <c r="Y528" s="184"/>
      <c r="Z528" s="184"/>
    </row>
    <row r="529" ht="12.75" customHeight="1" spans="1:26">
      <c r="A529" s="184"/>
      <c r="B529" s="185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/>
      <c r="Q529" s="184"/>
      <c r="R529" s="184"/>
      <c r="S529" s="184"/>
      <c r="T529" s="184"/>
      <c r="U529" s="184"/>
      <c r="V529" s="184"/>
      <c r="W529" s="184"/>
      <c r="X529" s="184"/>
      <c r="Y529" s="184"/>
      <c r="Z529" s="184"/>
    </row>
    <row r="530" ht="12.75" customHeight="1" spans="1:26">
      <c r="A530" s="184"/>
      <c r="B530" s="185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/>
      <c r="Q530" s="184"/>
      <c r="R530" s="184"/>
      <c r="S530" s="184"/>
      <c r="T530" s="184"/>
      <c r="U530" s="184"/>
      <c r="V530" s="184"/>
      <c r="W530" s="184"/>
      <c r="X530" s="184"/>
      <c r="Y530" s="184"/>
      <c r="Z530" s="184"/>
    </row>
    <row r="531" ht="12.75" customHeight="1" spans="1:26">
      <c r="A531" s="184"/>
      <c r="B531" s="185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/>
      <c r="Q531" s="184"/>
      <c r="R531" s="184"/>
      <c r="S531" s="184"/>
      <c r="T531" s="184"/>
      <c r="U531" s="184"/>
      <c r="V531" s="184"/>
      <c r="W531" s="184"/>
      <c r="X531" s="184"/>
      <c r="Y531" s="184"/>
      <c r="Z531" s="184"/>
    </row>
    <row r="532" ht="12.75" customHeight="1" spans="1:26">
      <c r="A532" s="184"/>
      <c r="B532" s="185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/>
      <c r="Q532" s="184"/>
      <c r="R532" s="184"/>
      <c r="S532" s="184"/>
      <c r="T532" s="184"/>
      <c r="U532" s="184"/>
      <c r="V532" s="184"/>
      <c r="W532" s="184"/>
      <c r="X532" s="184"/>
      <c r="Y532" s="184"/>
      <c r="Z532" s="184"/>
    </row>
    <row r="533" ht="12.75" customHeight="1" spans="1:26">
      <c r="A533" s="184"/>
      <c r="B533" s="185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/>
      <c r="Q533" s="184"/>
      <c r="R533" s="184"/>
      <c r="S533" s="184"/>
      <c r="T533" s="184"/>
      <c r="U533" s="184"/>
      <c r="V533" s="184"/>
      <c r="W533" s="184"/>
      <c r="X533" s="184"/>
      <c r="Y533" s="184"/>
      <c r="Z533" s="184"/>
    </row>
    <row r="534" ht="12.75" customHeight="1" spans="1:26">
      <c r="A534" s="184"/>
      <c r="B534" s="185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/>
      <c r="Q534" s="184"/>
      <c r="R534" s="184"/>
      <c r="S534" s="184"/>
      <c r="T534" s="184"/>
      <c r="U534" s="184"/>
      <c r="V534" s="184"/>
      <c r="W534" s="184"/>
      <c r="X534" s="184"/>
      <c r="Y534" s="184"/>
      <c r="Z534" s="184"/>
    </row>
    <row r="535" ht="12.75" customHeight="1" spans="1:26">
      <c r="A535" s="184"/>
      <c r="B535" s="185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/>
      <c r="Q535" s="184"/>
      <c r="R535" s="184"/>
      <c r="S535" s="184"/>
      <c r="T535" s="184"/>
      <c r="U535" s="184"/>
      <c r="V535" s="184"/>
      <c r="W535" s="184"/>
      <c r="X535" s="184"/>
      <c r="Y535" s="184"/>
      <c r="Z535" s="184"/>
    </row>
    <row r="536" ht="12.75" customHeight="1" spans="1:26">
      <c r="A536" s="184"/>
      <c r="B536" s="185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/>
      <c r="Q536" s="184"/>
      <c r="R536" s="184"/>
      <c r="S536" s="184"/>
      <c r="T536" s="184"/>
      <c r="U536" s="184"/>
      <c r="V536" s="184"/>
      <c r="W536" s="184"/>
      <c r="X536" s="184"/>
      <c r="Y536" s="184"/>
      <c r="Z536" s="184"/>
    </row>
    <row r="537" ht="12.75" customHeight="1" spans="1:26">
      <c r="A537" s="184"/>
      <c r="B537" s="185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/>
      <c r="Q537" s="184"/>
      <c r="R537" s="184"/>
      <c r="S537" s="184"/>
      <c r="T537" s="184"/>
      <c r="U537" s="184"/>
      <c r="V537" s="184"/>
      <c r="W537" s="184"/>
      <c r="X537" s="184"/>
      <c r="Y537" s="184"/>
      <c r="Z537" s="184"/>
    </row>
    <row r="538" ht="12.75" customHeight="1" spans="1:26">
      <c r="A538" s="184"/>
      <c r="B538" s="185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/>
      <c r="Q538" s="184"/>
      <c r="R538" s="184"/>
      <c r="S538" s="184"/>
      <c r="T538" s="184"/>
      <c r="U538" s="184"/>
      <c r="V538" s="184"/>
      <c r="W538" s="184"/>
      <c r="X538" s="184"/>
      <c r="Y538" s="184"/>
      <c r="Z538" s="184"/>
    </row>
    <row r="539" ht="12.75" customHeight="1" spans="1:26">
      <c r="A539" s="184"/>
      <c r="B539" s="185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/>
      <c r="Q539" s="184"/>
      <c r="R539" s="184"/>
      <c r="S539" s="184"/>
      <c r="T539" s="184"/>
      <c r="U539" s="184"/>
      <c r="V539" s="184"/>
      <c r="W539" s="184"/>
      <c r="X539" s="184"/>
      <c r="Y539" s="184"/>
      <c r="Z539" s="184"/>
    </row>
    <row r="540" ht="12.75" customHeight="1" spans="1:26">
      <c r="A540" s="184"/>
      <c r="B540" s="185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/>
      <c r="Q540" s="184"/>
      <c r="R540" s="184"/>
      <c r="S540" s="184"/>
      <c r="T540" s="184"/>
      <c r="U540" s="184"/>
      <c r="V540" s="184"/>
      <c r="W540" s="184"/>
      <c r="X540" s="184"/>
      <c r="Y540" s="184"/>
      <c r="Z540" s="184"/>
    </row>
    <row r="541" ht="12.75" customHeight="1" spans="1:26">
      <c r="A541" s="184"/>
      <c r="B541" s="185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/>
      <c r="Q541" s="184"/>
      <c r="R541" s="184"/>
      <c r="S541" s="184"/>
      <c r="T541" s="184"/>
      <c r="U541" s="184"/>
      <c r="V541" s="184"/>
      <c r="W541" s="184"/>
      <c r="X541" s="184"/>
      <c r="Y541" s="184"/>
      <c r="Z541" s="184"/>
    </row>
    <row r="542" ht="12.75" customHeight="1" spans="1:26">
      <c r="A542" s="184"/>
      <c r="B542" s="185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/>
      <c r="Q542" s="184"/>
      <c r="R542" s="184"/>
      <c r="S542" s="184"/>
      <c r="T542" s="184"/>
      <c r="U542" s="184"/>
      <c r="V542" s="184"/>
      <c r="W542" s="184"/>
      <c r="X542" s="184"/>
      <c r="Y542" s="184"/>
      <c r="Z542" s="184"/>
    </row>
    <row r="543" ht="12.75" customHeight="1" spans="1:26">
      <c r="A543" s="184"/>
      <c r="B543" s="185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/>
      <c r="Q543" s="184"/>
      <c r="R543" s="184"/>
      <c r="S543" s="184"/>
      <c r="T543" s="184"/>
      <c r="U543" s="184"/>
      <c r="V543" s="184"/>
      <c r="W543" s="184"/>
      <c r="X543" s="184"/>
      <c r="Y543" s="184"/>
      <c r="Z543" s="184"/>
    </row>
    <row r="544" ht="12.75" customHeight="1" spans="1:26">
      <c r="A544" s="184"/>
      <c r="B544" s="185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/>
      <c r="Q544" s="184"/>
      <c r="R544" s="184"/>
      <c r="S544" s="184"/>
      <c r="T544" s="184"/>
      <c r="U544" s="184"/>
      <c r="V544" s="184"/>
      <c r="W544" s="184"/>
      <c r="X544" s="184"/>
      <c r="Y544" s="184"/>
      <c r="Z544" s="184"/>
    </row>
    <row r="545" ht="12.75" customHeight="1" spans="1:26">
      <c r="A545" s="184"/>
      <c r="B545" s="185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/>
      <c r="Q545" s="184"/>
      <c r="R545" s="184"/>
      <c r="S545" s="184"/>
      <c r="T545" s="184"/>
      <c r="U545" s="184"/>
      <c r="V545" s="184"/>
      <c r="W545" s="184"/>
      <c r="X545" s="184"/>
      <c r="Y545" s="184"/>
      <c r="Z545" s="184"/>
    </row>
    <row r="546" ht="12.75" customHeight="1" spans="1:26">
      <c r="A546" s="184"/>
      <c r="B546" s="185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/>
      <c r="Q546" s="184"/>
      <c r="R546" s="184"/>
      <c r="S546" s="184"/>
      <c r="T546" s="184"/>
      <c r="U546" s="184"/>
      <c r="V546" s="184"/>
      <c r="W546" s="184"/>
      <c r="X546" s="184"/>
      <c r="Y546" s="184"/>
      <c r="Z546" s="184"/>
    </row>
    <row r="547" ht="12.75" customHeight="1" spans="1:26">
      <c r="A547" s="184"/>
      <c r="B547" s="185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/>
      <c r="Q547" s="184"/>
      <c r="R547" s="184"/>
      <c r="S547" s="184"/>
      <c r="T547" s="184"/>
      <c r="U547" s="184"/>
      <c r="V547" s="184"/>
      <c r="W547" s="184"/>
      <c r="X547" s="184"/>
      <c r="Y547" s="184"/>
      <c r="Z547" s="184"/>
    </row>
    <row r="548" ht="12.75" customHeight="1" spans="1:26">
      <c r="A548" s="184"/>
      <c r="B548" s="185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/>
      <c r="Q548" s="184"/>
      <c r="R548" s="184"/>
      <c r="S548" s="184"/>
      <c r="T548" s="184"/>
      <c r="U548" s="184"/>
      <c r="V548" s="184"/>
      <c r="W548" s="184"/>
      <c r="X548" s="184"/>
      <c r="Y548" s="184"/>
      <c r="Z548" s="184"/>
    </row>
    <row r="549" ht="12.75" customHeight="1" spans="1:26">
      <c r="A549" s="184"/>
      <c r="B549" s="185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/>
      <c r="Q549" s="184"/>
      <c r="R549" s="184"/>
      <c r="S549" s="184"/>
      <c r="T549" s="184"/>
      <c r="U549" s="184"/>
      <c r="V549" s="184"/>
      <c r="W549" s="184"/>
      <c r="X549" s="184"/>
      <c r="Y549" s="184"/>
      <c r="Z549" s="184"/>
    </row>
    <row r="550" ht="12.75" customHeight="1" spans="1:26">
      <c r="A550" s="184"/>
      <c r="B550" s="185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/>
      <c r="Q550" s="184"/>
      <c r="R550" s="184"/>
      <c r="S550" s="184"/>
      <c r="T550" s="184"/>
      <c r="U550" s="184"/>
      <c r="V550" s="184"/>
      <c r="W550" s="184"/>
      <c r="X550" s="184"/>
      <c r="Y550" s="184"/>
      <c r="Z550" s="184"/>
    </row>
    <row r="551" ht="12.75" customHeight="1" spans="1:26">
      <c r="A551" s="184"/>
      <c r="B551" s="185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/>
      <c r="Q551" s="184"/>
      <c r="R551" s="184"/>
      <c r="S551" s="184"/>
      <c r="T551" s="184"/>
      <c r="U551" s="184"/>
      <c r="V551" s="184"/>
      <c r="W551" s="184"/>
      <c r="X551" s="184"/>
      <c r="Y551" s="184"/>
      <c r="Z551" s="184"/>
    </row>
    <row r="552" ht="12.75" customHeight="1" spans="1:26">
      <c r="A552" s="184"/>
      <c r="B552" s="185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/>
      <c r="Q552" s="184"/>
      <c r="R552" s="184"/>
      <c r="S552" s="184"/>
      <c r="T552" s="184"/>
      <c r="U552" s="184"/>
      <c r="V552" s="184"/>
      <c r="W552" s="184"/>
      <c r="X552" s="184"/>
      <c r="Y552" s="184"/>
      <c r="Z552" s="184"/>
    </row>
    <row r="553" ht="12.75" customHeight="1" spans="1:26">
      <c r="A553" s="184"/>
      <c r="B553" s="185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/>
      <c r="Q553" s="184"/>
      <c r="R553" s="184"/>
      <c r="S553" s="184"/>
      <c r="T553" s="184"/>
      <c r="U553" s="184"/>
      <c r="V553" s="184"/>
      <c r="W553" s="184"/>
      <c r="X553" s="184"/>
      <c r="Y553" s="184"/>
      <c r="Z553" s="184"/>
    </row>
    <row r="554" ht="12.75" customHeight="1" spans="1:26">
      <c r="A554" s="184"/>
      <c r="B554" s="185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/>
      <c r="Q554" s="184"/>
      <c r="R554" s="184"/>
      <c r="S554" s="184"/>
      <c r="T554" s="184"/>
      <c r="U554" s="184"/>
      <c r="V554" s="184"/>
      <c r="W554" s="184"/>
      <c r="X554" s="184"/>
      <c r="Y554" s="184"/>
      <c r="Z554" s="184"/>
    </row>
    <row r="555" ht="12.75" customHeight="1" spans="1:26">
      <c r="A555" s="184"/>
      <c r="B555" s="185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/>
      <c r="Q555" s="184"/>
      <c r="R555" s="184"/>
      <c r="S555" s="184"/>
      <c r="T555" s="184"/>
      <c r="U555" s="184"/>
      <c r="V555" s="184"/>
      <c r="W555" s="184"/>
      <c r="X555" s="184"/>
      <c r="Y555" s="184"/>
      <c r="Z555" s="184"/>
    </row>
    <row r="556" ht="12.75" customHeight="1" spans="1:26">
      <c r="A556" s="184"/>
      <c r="B556" s="185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/>
      <c r="Q556" s="184"/>
      <c r="R556" s="184"/>
      <c r="S556" s="184"/>
      <c r="T556" s="184"/>
      <c r="U556" s="184"/>
      <c r="V556" s="184"/>
      <c r="W556" s="184"/>
      <c r="X556" s="184"/>
      <c r="Y556" s="184"/>
      <c r="Z556" s="184"/>
    </row>
    <row r="557" ht="12.75" customHeight="1" spans="1:26">
      <c r="A557" s="184"/>
      <c r="B557" s="185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/>
      <c r="Q557" s="184"/>
      <c r="R557" s="184"/>
      <c r="S557" s="184"/>
      <c r="T557" s="184"/>
      <c r="U557" s="184"/>
      <c r="V557" s="184"/>
      <c r="W557" s="184"/>
      <c r="X557" s="184"/>
      <c r="Y557" s="184"/>
      <c r="Z557" s="184"/>
    </row>
    <row r="558" ht="12.75" customHeight="1" spans="1:26">
      <c r="A558" s="184"/>
      <c r="B558" s="185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/>
      <c r="Q558" s="184"/>
      <c r="R558" s="184"/>
      <c r="S558" s="184"/>
      <c r="T558" s="184"/>
      <c r="U558" s="184"/>
      <c r="V558" s="184"/>
      <c r="W558" s="184"/>
      <c r="X558" s="184"/>
      <c r="Y558" s="184"/>
      <c r="Z558" s="184"/>
    </row>
    <row r="559" ht="12.75" customHeight="1" spans="1:26">
      <c r="A559" s="184"/>
      <c r="B559" s="185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/>
      <c r="Q559" s="184"/>
      <c r="R559" s="184"/>
      <c r="S559" s="184"/>
      <c r="T559" s="184"/>
      <c r="U559" s="184"/>
      <c r="V559" s="184"/>
      <c r="W559" s="184"/>
      <c r="X559" s="184"/>
      <c r="Y559" s="184"/>
      <c r="Z559" s="184"/>
    </row>
    <row r="560" ht="12.75" customHeight="1" spans="1:26">
      <c r="A560" s="184"/>
      <c r="B560" s="185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/>
      <c r="Q560" s="184"/>
      <c r="R560" s="184"/>
      <c r="S560" s="184"/>
      <c r="T560" s="184"/>
      <c r="U560" s="184"/>
      <c r="V560" s="184"/>
      <c r="W560" s="184"/>
      <c r="X560" s="184"/>
      <c r="Y560" s="184"/>
      <c r="Z560" s="184"/>
    </row>
    <row r="561" ht="12.75" customHeight="1" spans="1:26">
      <c r="A561" s="184"/>
      <c r="B561" s="185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/>
      <c r="Q561" s="184"/>
      <c r="R561" s="184"/>
      <c r="S561" s="184"/>
      <c r="T561" s="184"/>
      <c r="U561" s="184"/>
      <c r="V561" s="184"/>
      <c r="W561" s="184"/>
      <c r="X561" s="184"/>
      <c r="Y561" s="184"/>
      <c r="Z561" s="184"/>
    </row>
    <row r="562" ht="12.75" customHeight="1" spans="1:26">
      <c r="A562" s="184"/>
      <c r="B562" s="185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/>
      <c r="Q562" s="184"/>
      <c r="R562" s="184"/>
      <c r="S562" s="184"/>
      <c r="T562" s="184"/>
      <c r="U562" s="184"/>
      <c r="V562" s="184"/>
      <c r="W562" s="184"/>
      <c r="X562" s="184"/>
      <c r="Y562" s="184"/>
      <c r="Z562" s="184"/>
    </row>
    <row r="563" ht="12.75" customHeight="1" spans="1:26">
      <c r="A563" s="184"/>
      <c r="B563" s="185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/>
      <c r="Q563" s="184"/>
      <c r="R563" s="184"/>
      <c r="S563" s="184"/>
      <c r="T563" s="184"/>
      <c r="U563" s="184"/>
      <c r="V563" s="184"/>
      <c r="W563" s="184"/>
      <c r="X563" s="184"/>
      <c r="Y563" s="184"/>
      <c r="Z563" s="184"/>
    </row>
    <row r="564" ht="12.75" customHeight="1" spans="1:26">
      <c r="A564" s="184"/>
      <c r="B564" s="185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</row>
    <row r="565" ht="12.75" customHeight="1" spans="1:26">
      <c r="A565" s="184"/>
      <c r="B565" s="185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/>
      <c r="Q565" s="184"/>
      <c r="R565" s="184"/>
      <c r="S565" s="184"/>
      <c r="T565" s="184"/>
      <c r="U565" s="184"/>
      <c r="V565" s="184"/>
      <c r="W565" s="184"/>
      <c r="X565" s="184"/>
      <c r="Y565" s="184"/>
      <c r="Z565" s="184"/>
    </row>
    <row r="566" ht="12.75" customHeight="1" spans="1:26">
      <c r="A566" s="184"/>
      <c r="B566" s="185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/>
      <c r="Q566" s="184"/>
      <c r="R566" s="184"/>
      <c r="S566" s="184"/>
      <c r="T566" s="184"/>
      <c r="U566" s="184"/>
      <c r="V566" s="184"/>
      <c r="W566" s="184"/>
      <c r="X566" s="184"/>
      <c r="Y566" s="184"/>
      <c r="Z566" s="184"/>
    </row>
    <row r="567" ht="12.75" customHeight="1" spans="1:26">
      <c r="A567" s="184"/>
      <c r="B567" s="185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/>
      <c r="Q567" s="184"/>
      <c r="R567" s="184"/>
      <c r="S567" s="184"/>
      <c r="T567" s="184"/>
      <c r="U567" s="184"/>
      <c r="V567" s="184"/>
      <c r="W567" s="184"/>
      <c r="X567" s="184"/>
      <c r="Y567" s="184"/>
      <c r="Z567" s="184"/>
    </row>
    <row r="568" ht="12.75" customHeight="1" spans="1:26">
      <c r="A568" s="184"/>
      <c r="B568" s="185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/>
      <c r="Q568" s="184"/>
      <c r="R568" s="184"/>
      <c r="S568" s="184"/>
      <c r="T568" s="184"/>
      <c r="U568" s="184"/>
      <c r="V568" s="184"/>
      <c r="W568" s="184"/>
      <c r="X568" s="184"/>
      <c r="Y568" s="184"/>
      <c r="Z568" s="184"/>
    </row>
    <row r="569" ht="12.75" customHeight="1" spans="1:26">
      <c r="A569" s="184"/>
      <c r="B569" s="185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/>
      <c r="Q569" s="184"/>
      <c r="R569" s="184"/>
      <c r="S569" s="184"/>
      <c r="T569" s="184"/>
      <c r="U569" s="184"/>
      <c r="V569" s="184"/>
      <c r="W569" s="184"/>
      <c r="X569" s="184"/>
      <c r="Y569" s="184"/>
      <c r="Z569" s="184"/>
    </row>
    <row r="570" ht="12.75" customHeight="1" spans="1:26">
      <c r="A570" s="184"/>
      <c r="B570" s="185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/>
      <c r="Q570" s="184"/>
      <c r="R570" s="184"/>
      <c r="S570" s="184"/>
      <c r="T570" s="184"/>
      <c r="U570" s="184"/>
      <c r="V570" s="184"/>
      <c r="W570" s="184"/>
      <c r="X570" s="184"/>
      <c r="Y570" s="184"/>
      <c r="Z570" s="184"/>
    </row>
    <row r="571" ht="12.75" customHeight="1" spans="1:26">
      <c r="A571" s="184"/>
      <c r="B571" s="185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/>
      <c r="Q571" s="184"/>
      <c r="R571" s="184"/>
      <c r="S571" s="184"/>
      <c r="T571" s="184"/>
      <c r="U571" s="184"/>
      <c r="V571" s="184"/>
      <c r="W571" s="184"/>
      <c r="X571" s="184"/>
      <c r="Y571" s="184"/>
      <c r="Z571" s="184"/>
    </row>
    <row r="572" ht="12.75" customHeight="1" spans="1:26">
      <c r="A572" s="184"/>
      <c r="B572" s="185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/>
      <c r="Q572" s="184"/>
      <c r="R572" s="184"/>
      <c r="S572" s="184"/>
      <c r="T572" s="184"/>
      <c r="U572" s="184"/>
      <c r="V572" s="184"/>
      <c r="W572" s="184"/>
      <c r="X572" s="184"/>
      <c r="Y572" s="184"/>
      <c r="Z572" s="184"/>
    </row>
    <row r="573" ht="12.75" customHeight="1" spans="1:26">
      <c r="A573" s="184"/>
      <c r="B573" s="185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/>
      <c r="Q573" s="184"/>
      <c r="R573" s="184"/>
      <c r="S573" s="184"/>
      <c r="T573" s="184"/>
      <c r="U573" s="184"/>
      <c r="V573" s="184"/>
      <c r="W573" s="184"/>
      <c r="X573" s="184"/>
      <c r="Y573" s="184"/>
      <c r="Z573" s="184"/>
    </row>
    <row r="574" ht="12.75" customHeight="1" spans="1:26">
      <c r="A574" s="184"/>
      <c r="B574" s="185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/>
      <c r="Q574" s="184"/>
      <c r="R574" s="184"/>
      <c r="S574" s="184"/>
      <c r="T574" s="184"/>
      <c r="U574" s="184"/>
      <c r="V574" s="184"/>
      <c r="W574" s="184"/>
      <c r="X574" s="184"/>
      <c r="Y574" s="184"/>
      <c r="Z574" s="184"/>
    </row>
    <row r="575" ht="12.75" customHeight="1" spans="1:26">
      <c r="A575" s="184"/>
      <c r="B575" s="185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/>
      <c r="Q575" s="184"/>
      <c r="R575" s="184"/>
      <c r="S575" s="184"/>
      <c r="T575" s="184"/>
      <c r="U575" s="184"/>
      <c r="V575" s="184"/>
      <c r="W575" s="184"/>
      <c r="X575" s="184"/>
      <c r="Y575" s="184"/>
      <c r="Z575" s="184"/>
    </row>
    <row r="576" ht="12.75" customHeight="1" spans="1:26">
      <c r="A576" s="184"/>
      <c r="B576" s="185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/>
      <c r="Q576" s="184"/>
      <c r="R576" s="184"/>
      <c r="S576" s="184"/>
      <c r="T576" s="184"/>
      <c r="U576" s="184"/>
      <c r="V576" s="184"/>
      <c r="W576" s="184"/>
      <c r="X576" s="184"/>
      <c r="Y576" s="184"/>
      <c r="Z576" s="184"/>
    </row>
    <row r="577" ht="12.75" customHeight="1" spans="1:26">
      <c r="A577" s="184"/>
      <c r="B577" s="185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/>
      <c r="Q577" s="184"/>
      <c r="R577" s="184"/>
      <c r="S577" s="184"/>
      <c r="T577" s="184"/>
      <c r="U577" s="184"/>
      <c r="V577" s="184"/>
      <c r="W577" s="184"/>
      <c r="X577" s="184"/>
      <c r="Y577" s="184"/>
      <c r="Z577" s="184"/>
    </row>
    <row r="578" ht="12.75" customHeight="1" spans="1:26">
      <c r="A578" s="184"/>
      <c r="B578" s="185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/>
      <c r="Q578" s="184"/>
      <c r="R578" s="184"/>
      <c r="S578" s="184"/>
      <c r="T578" s="184"/>
      <c r="U578" s="184"/>
      <c r="V578" s="184"/>
      <c r="W578" s="184"/>
      <c r="X578" s="184"/>
      <c r="Y578" s="184"/>
      <c r="Z578" s="184"/>
    </row>
    <row r="579" ht="12.75" customHeight="1" spans="1:26">
      <c r="A579" s="184"/>
      <c r="B579" s="185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/>
      <c r="Q579" s="184"/>
      <c r="R579" s="184"/>
      <c r="S579" s="184"/>
      <c r="T579" s="184"/>
      <c r="U579" s="184"/>
      <c r="V579" s="184"/>
      <c r="W579" s="184"/>
      <c r="X579" s="184"/>
      <c r="Y579" s="184"/>
      <c r="Z579" s="184"/>
    </row>
    <row r="580" ht="12.75" customHeight="1" spans="1:26">
      <c r="A580" s="184"/>
      <c r="B580" s="185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/>
      <c r="Q580" s="184"/>
      <c r="R580" s="184"/>
      <c r="S580" s="184"/>
      <c r="T580" s="184"/>
      <c r="U580" s="184"/>
      <c r="V580" s="184"/>
      <c r="W580" s="184"/>
      <c r="X580" s="184"/>
      <c r="Y580" s="184"/>
      <c r="Z580" s="184"/>
    </row>
    <row r="581" ht="12.75" customHeight="1" spans="1:26">
      <c r="A581" s="184"/>
      <c r="B581" s="185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/>
      <c r="Q581" s="184"/>
      <c r="R581" s="184"/>
      <c r="S581" s="184"/>
      <c r="T581" s="184"/>
      <c r="U581" s="184"/>
      <c r="V581" s="184"/>
      <c r="W581" s="184"/>
      <c r="X581" s="184"/>
      <c r="Y581" s="184"/>
      <c r="Z581" s="184"/>
    </row>
    <row r="582" ht="12.75" customHeight="1" spans="1:26">
      <c r="A582" s="184"/>
      <c r="B582" s="185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/>
      <c r="Q582" s="184"/>
      <c r="R582" s="184"/>
      <c r="S582" s="184"/>
      <c r="T582" s="184"/>
      <c r="U582" s="184"/>
      <c r="V582" s="184"/>
      <c r="W582" s="184"/>
      <c r="X582" s="184"/>
      <c r="Y582" s="184"/>
      <c r="Z582" s="184"/>
    </row>
    <row r="583" ht="12.75" customHeight="1" spans="1:26">
      <c r="A583" s="184"/>
      <c r="B583" s="185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/>
      <c r="Q583" s="184"/>
      <c r="R583" s="184"/>
      <c r="S583" s="184"/>
      <c r="T583" s="184"/>
      <c r="U583" s="184"/>
      <c r="V583" s="184"/>
      <c r="W583" s="184"/>
      <c r="X583" s="184"/>
      <c r="Y583" s="184"/>
      <c r="Z583" s="184"/>
    </row>
    <row r="584" ht="12.75" customHeight="1" spans="1:26">
      <c r="A584" s="184"/>
      <c r="B584" s="185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/>
      <c r="Q584" s="184"/>
      <c r="R584" s="184"/>
      <c r="S584" s="184"/>
      <c r="T584" s="184"/>
      <c r="U584" s="184"/>
      <c r="V584" s="184"/>
      <c r="W584" s="184"/>
      <c r="X584" s="184"/>
      <c r="Y584" s="184"/>
      <c r="Z584" s="184"/>
    </row>
    <row r="585" ht="12.75" customHeight="1" spans="1:26">
      <c r="A585" s="184"/>
      <c r="B585" s="185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/>
      <c r="Q585" s="184"/>
      <c r="R585" s="184"/>
      <c r="S585" s="184"/>
      <c r="T585" s="184"/>
      <c r="U585" s="184"/>
      <c r="V585" s="184"/>
      <c r="W585" s="184"/>
      <c r="X585" s="184"/>
      <c r="Y585" s="184"/>
      <c r="Z585" s="184"/>
    </row>
    <row r="586" ht="12.75" customHeight="1" spans="1:26">
      <c r="A586" s="184"/>
      <c r="B586" s="185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/>
      <c r="Q586" s="184"/>
      <c r="R586" s="184"/>
      <c r="S586" s="184"/>
      <c r="T586" s="184"/>
      <c r="U586" s="184"/>
      <c r="V586" s="184"/>
      <c r="W586" s="184"/>
      <c r="X586" s="184"/>
      <c r="Y586" s="184"/>
      <c r="Z586" s="184"/>
    </row>
    <row r="587" ht="12.75" customHeight="1" spans="1:26">
      <c r="A587" s="184"/>
      <c r="B587" s="185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/>
      <c r="Q587" s="184"/>
      <c r="R587" s="184"/>
      <c r="S587" s="184"/>
      <c r="T587" s="184"/>
      <c r="U587" s="184"/>
      <c r="V587" s="184"/>
      <c r="W587" s="184"/>
      <c r="X587" s="184"/>
      <c r="Y587" s="184"/>
      <c r="Z587" s="184"/>
    </row>
    <row r="588" ht="12.75" customHeight="1" spans="1:26">
      <c r="A588" s="184"/>
      <c r="B588" s="185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/>
      <c r="Q588" s="184"/>
      <c r="R588" s="184"/>
      <c r="S588" s="184"/>
      <c r="T588" s="184"/>
      <c r="U588" s="184"/>
      <c r="V588" s="184"/>
      <c r="W588" s="184"/>
      <c r="X588" s="184"/>
      <c r="Y588" s="184"/>
      <c r="Z588" s="184"/>
    </row>
    <row r="589" ht="12.75" customHeight="1" spans="1:26">
      <c r="A589" s="184"/>
      <c r="B589" s="185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/>
      <c r="Q589" s="184"/>
      <c r="R589" s="184"/>
      <c r="S589" s="184"/>
      <c r="T589" s="184"/>
      <c r="U589" s="184"/>
      <c r="V589" s="184"/>
      <c r="W589" s="184"/>
      <c r="X589" s="184"/>
      <c r="Y589" s="184"/>
      <c r="Z589" s="184"/>
    </row>
    <row r="590" ht="12.75" customHeight="1" spans="1:26">
      <c r="A590" s="184"/>
      <c r="B590" s="185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/>
      <c r="Q590" s="184"/>
      <c r="R590" s="184"/>
      <c r="S590" s="184"/>
      <c r="T590" s="184"/>
      <c r="U590" s="184"/>
      <c r="V590" s="184"/>
      <c r="W590" s="184"/>
      <c r="X590" s="184"/>
      <c r="Y590" s="184"/>
      <c r="Z590" s="184"/>
    </row>
    <row r="591" ht="12.75" customHeight="1" spans="1:26">
      <c r="A591" s="184"/>
      <c r="B591" s="185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/>
      <c r="Q591" s="184"/>
      <c r="R591" s="184"/>
      <c r="S591" s="184"/>
      <c r="T591" s="184"/>
      <c r="U591" s="184"/>
      <c r="V591" s="184"/>
      <c r="W591" s="184"/>
      <c r="X591" s="184"/>
      <c r="Y591" s="184"/>
      <c r="Z591" s="184"/>
    </row>
    <row r="592" ht="12.75" customHeight="1" spans="1:26">
      <c r="A592" s="184"/>
      <c r="B592" s="185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/>
      <c r="Q592" s="184"/>
      <c r="R592" s="184"/>
      <c r="S592" s="184"/>
      <c r="T592" s="184"/>
      <c r="U592" s="184"/>
      <c r="V592" s="184"/>
      <c r="W592" s="184"/>
      <c r="X592" s="184"/>
      <c r="Y592" s="184"/>
      <c r="Z592" s="184"/>
    </row>
    <row r="593" ht="12.75" customHeight="1" spans="1:26">
      <c r="A593" s="184"/>
      <c r="B593" s="185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/>
      <c r="Q593" s="184"/>
      <c r="R593" s="184"/>
      <c r="S593" s="184"/>
      <c r="T593" s="184"/>
      <c r="U593" s="184"/>
      <c r="V593" s="184"/>
      <c r="W593" s="184"/>
      <c r="X593" s="184"/>
      <c r="Y593" s="184"/>
      <c r="Z593" s="184"/>
    </row>
    <row r="594" ht="12.75" customHeight="1" spans="1:26">
      <c r="A594" s="184"/>
      <c r="B594" s="185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/>
      <c r="Q594" s="184"/>
      <c r="R594" s="184"/>
      <c r="S594" s="184"/>
      <c r="T594" s="184"/>
      <c r="U594" s="184"/>
      <c r="V594" s="184"/>
      <c r="W594" s="184"/>
      <c r="X594" s="184"/>
      <c r="Y594" s="184"/>
      <c r="Z594" s="184"/>
    </row>
    <row r="595" ht="12.75" customHeight="1" spans="1:26">
      <c r="A595" s="184"/>
      <c r="B595" s="185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/>
      <c r="Q595" s="184"/>
      <c r="R595" s="184"/>
      <c r="S595" s="184"/>
      <c r="T595" s="184"/>
      <c r="U595" s="184"/>
      <c r="V595" s="184"/>
      <c r="W595" s="184"/>
      <c r="X595" s="184"/>
      <c r="Y595" s="184"/>
      <c r="Z595" s="184"/>
    </row>
    <row r="596" ht="12.75" customHeight="1" spans="1:26">
      <c r="A596" s="184"/>
      <c r="B596" s="185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/>
      <c r="Q596" s="184"/>
      <c r="R596" s="184"/>
      <c r="S596" s="184"/>
      <c r="T596" s="184"/>
      <c r="U596" s="184"/>
      <c r="V596" s="184"/>
      <c r="W596" s="184"/>
      <c r="X596" s="184"/>
      <c r="Y596" s="184"/>
      <c r="Z596" s="184"/>
    </row>
    <row r="597" ht="12.75" customHeight="1" spans="1:26">
      <c r="A597" s="184"/>
      <c r="B597" s="185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/>
      <c r="Q597" s="184"/>
      <c r="R597" s="184"/>
      <c r="S597" s="184"/>
      <c r="T597" s="184"/>
      <c r="U597" s="184"/>
      <c r="V597" s="184"/>
      <c r="W597" s="184"/>
      <c r="X597" s="184"/>
      <c r="Y597" s="184"/>
      <c r="Z597" s="184"/>
    </row>
    <row r="598" ht="12.75" customHeight="1" spans="1:26">
      <c r="A598" s="184"/>
      <c r="B598" s="185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/>
      <c r="Q598" s="184"/>
      <c r="R598" s="184"/>
      <c r="S598" s="184"/>
      <c r="T598" s="184"/>
      <c r="U598" s="184"/>
      <c r="V598" s="184"/>
      <c r="W598" s="184"/>
      <c r="X598" s="184"/>
      <c r="Y598" s="184"/>
      <c r="Z598" s="184"/>
    </row>
    <row r="599" ht="12.75" customHeight="1" spans="1:26">
      <c r="A599" s="184"/>
      <c r="B599" s="185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/>
      <c r="Q599" s="184"/>
      <c r="R599" s="184"/>
      <c r="S599" s="184"/>
      <c r="T599" s="184"/>
      <c r="U599" s="184"/>
      <c r="V599" s="184"/>
      <c r="W599" s="184"/>
      <c r="X599" s="184"/>
      <c r="Y599" s="184"/>
      <c r="Z599" s="184"/>
    </row>
    <row r="600" ht="12.75" customHeight="1" spans="1:26">
      <c r="A600" s="184"/>
      <c r="B600" s="185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/>
      <c r="Q600" s="184"/>
      <c r="R600" s="184"/>
      <c r="S600" s="184"/>
      <c r="T600" s="184"/>
      <c r="U600" s="184"/>
      <c r="V600" s="184"/>
      <c r="W600" s="184"/>
      <c r="X600" s="184"/>
      <c r="Y600" s="184"/>
      <c r="Z600" s="184"/>
    </row>
    <row r="601" ht="12.75" customHeight="1" spans="1:26">
      <c r="A601" s="184"/>
      <c r="B601" s="185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/>
      <c r="Q601" s="184"/>
      <c r="R601" s="184"/>
      <c r="S601" s="184"/>
      <c r="T601" s="184"/>
      <c r="U601" s="184"/>
      <c r="V601" s="184"/>
      <c r="W601" s="184"/>
      <c r="X601" s="184"/>
      <c r="Y601" s="184"/>
      <c r="Z601" s="184"/>
    </row>
    <row r="602" ht="12.75" customHeight="1" spans="1:26">
      <c r="A602" s="184"/>
      <c r="B602" s="185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/>
      <c r="Q602" s="184"/>
      <c r="R602" s="184"/>
      <c r="S602" s="184"/>
      <c r="T602" s="184"/>
      <c r="U602" s="184"/>
      <c r="V602" s="184"/>
      <c r="W602" s="184"/>
      <c r="X602" s="184"/>
      <c r="Y602" s="184"/>
      <c r="Z602" s="184"/>
    </row>
    <row r="603" ht="12.75" customHeight="1" spans="1:26">
      <c r="A603" s="184"/>
      <c r="B603" s="185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/>
      <c r="Q603" s="184"/>
      <c r="R603" s="184"/>
      <c r="S603" s="184"/>
      <c r="T603" s="184"/>
      <c r="U603" s="184"/>
      <c r="V603" s="184"/>
      <c r="W603" s="184"/>
      <c r="X603" s="184"/>
      <c r="Y603" s="184"/>
      <c r="Z603" s="184"/>
    </row>
    <row r="604" ht="12.75" customHeight="1" spans="1:26">
      <c r="A604" s="184"/>
      <c r="B604" s="185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/>
      <c r="Q604" s="184"/>
      <c r="R604" s="184"/>
      <c r="S604" s="184"/>
      <c r="T604" s="184"/>
      <c r="U604" s="184"/>
      <c r="V604" s="184"/>
      <c r="W604" s="184"/>
      <c r="X604" s="184"/>
      <c r="Y604" s="184"/>
      <c r="Z604" s="184"/>
    </row>
    <row r="605" ht="12.75" customHeight="1" spans="1:26">
      <c r="A605" s="184"/>
      <c r="B605" s="185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/>
      <c r="Q605" s="184"/>
      <c r="R605" s="184"/>
      <c r="S605" s="184"/>
      <c r="T605" s="184"/>
      <c r="U605" s="184"/>
      <c r="V605" s="184"/>
      <c r="W605" s="184"/>
      <c r="X605" s="184"/>
      <c r="Y605" s="184"/>
      <c r="Z605" s="184"/>
    </row>
    <row r="606" ht="12.75" customHeight="1" spans="1:26">
      <c r="A606" s="184"/>
      <c r="B606" s="185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/>
      <c r="Q606" s="184"/>
      <c r="R606" s="184"/>
      <c r="S606" s="184"/>
      <c r="T606" s="184"/>
      <c r="U606" s="184"/>
      <c r="V606" s="184"/>
      <c r="W606" s="184"/>
      <c r="X606" s="184"/>
      <c r="Y606" s="184"/>
      <c r="Z606" s="184"/>
    </row>
    <row r="607" ht="12.75" customHeight="1" spans="1:26">
      <c r="A607" s="184"/>
      <c r="B607" s="185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/>
      <c r="Q607" s="184"/>
      <c r="R607" s="184"/>
      <c r="S607" s="184"/>
      <c r="T607" s="184"/>
      <c r="U607" s="184"/>
      <c r="V607" s="184"/>
      <c r="W607" s="184"/>
      <c r="X607" s="184"/>
      <c r="Y607" s="184"/>
      <c r="Z607" s="184"/>
    </row>
    <row r="608" ht="12.75" customHeight="1" spans="1:26">
      <c r="A608" s="184"/>
      <c r="B608" s="185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/>
      <c r="Q608" s="184"/>
      <c r="R608" s="184"/>
      <c r="S608" s="184"/>
      <c r="T608" s="184"/>
      <c r="U608" s="184"/>
      <c r="V608" s="184"/>
      <c r="W608" s="184"/>
      <c r="X608" s="184"/>
      <c r="Y608" s="184"/>
      <c r="Z608" s="184"/>
    </row>
    <row r="609" ht="12.75" customHeight="1" spans="1:26">
      <c r="A609" s="184"/>
      <c r="B609" s="185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/>
      <c r="Q609" s="184"/>
      <c r="R609" s="184"/>
      <c r="S609" s="184"/>
      <c r="T609" s="184"/>
      <c r="U609" s="184"/>
      <c r="V609" s="184"/>
      <c r="W609" s="184"/>
      <c r="X609" s="184"/>
      <c r="Y609" s="184"/>
      <c r="Z609" s="184"/>
    </row>
    <row r="610" ht="12.75" customHeight="1" spans="1:26">
      <c r="A610" s="184"/>
      <c r="B610" s="185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/>
      <c r="Q610" s="184"/>
      <c r="R610" s="184"/>
      <c r="S610" s="184"/>
      <c r="T610" s="184"/>
      <c r="U610" s="184"/>
      <c r="V610" s="184"/>
      <c r="W610" s="184"/>
      <c r="X610" s="184"/>
      <c r="Y610" s="184"/>
      <c r="Z610" s="184"/>
    </row>
    <row r="611" ht="12.75" customHeight="1" spans="1:26">
      <c r="A611" s="184"/>
      <c r="B611" s="185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/>
      <c r="Q611" s="184"/>
      <c r="R611" s="184"/>
      <c r="S611" s="184"/>
      <c r="T611" s="184"/>
      <c r="U611" s="184"/>
      <c r="V611" s="184"/>
      <c r="W611" s="184"/>
      <c r="X611" s="184"/>
      <c r="Y611" s="184"/>
      <c r="Z611" s="184"/>
    </row>
    <row r="612" ht="12.75" customHeight="1" spans="1:26">
      <c r="A612" s="184"/>
      <c r="B612" s="185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/>
      <c r="Q612" s="184"/>
      <c r="R612" s="184"/>
      <c r="S612" s="184"/>
      <c r="T612" s="184"/>
      <c r="U612" s="184"/>
      <c r="V612" s="184"/>
      <c r="W612" s="184"/>
      <c r="X612" s="184"/>
      <c r="Y612" s="184"/>
      <c r="Z612" s="184"/>
    </row>
    <row r="613" ht="12.75" customHeight="1" spans="1:26">
      <c r="A613" s="184"/>
      <c r="B613" s="185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/>
      <c r="Q613" s="184"/>
      <c r="R613" s="184"/>
      <c r="S613" s="184"/>
      <c r="T613" s="184"/>
      <c r="U613" s="184"/>
      <c r="V613" s="184"/>
      <c r="W613" s="184"/>
      <c r="X613" s="184"/>
      <c r="Y613" s="184"/>
      <c r="Z613" s="184"/>
    </row>
    <row r="614" ht="12.75" customHeight="1" spans="1:26">
      <c r="A614" s="184"/>
      <c r="B614" s="185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/>
      <c r="Q614" s="184"/>
      <c r="R614" s="184"/>
      <c r="S614" s="184"/>
      <c r="T614" s="184"/>
      <c r="U614" s="184"/>
      <c r="V614" s="184"/>
      <c r="W614" s="184"/>
      <c r="X614" s="184"/>
      <c r="Y614" s="184"/>
      <c r="Z614" s="184"/>
    </row>
    <row r="615" ht="12.75" customHeight="1" spans="1:26">
      <c r="A615" s="184"/>
      <c r="B615" s="185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/>
      <c r="Q615" s="184"/>
      <c r="R615" s="184"/>
      <c r="S615" s="184"/>
      <c r="T615" s="184"/>
      <c r="U615" s="184"/>
      <c r="V615" s="184"/>
      <c r="W615" s="184"/>
      <c r="X615" s="184"/>
      <c r="Y615" s="184"/>
      <c r="Z615" s="184"/>
    </row>
    <row r="616" ht="12.75" customHeight="1" spans="1:26">
      <c r="A616" s="184"/>
      <c r="B616" s="185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/>
      <c r="Q616" s="184"/>
      <c r="R616" s="184"/>
      <c r="S616" s="184"/>
      <c r="T616" s="184"/>
      <c r="U616" s="184"/>
      <c r="V616" s="184"/>
      <c r="W616" s="184"/>
      <c r="X616" s="184"/>
      <c r="Y616" s="184"/>
      <c r="Z616" s="184"/>
    </row>
    <row r="617" ht="12.75" customHeight="1" spans="1:26">
      <c r="A617" s="184"/>
      <c r="B617" s="185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/>
      <c r="Q617" s="184"/>
      <c r="R617" s="184"/>
      <c r="S617" s="184"/>
      <c r="T617" s="184"/>
      <c r="U617" s="184"/>
      <c r="V617" s="184"/>
      <c r="W617" s="184"/>
      <c r="X617" s="184"/>
      <c r="Y617" s="184"/>
      <c r="Z617" s="184"/>
    </row>
    <row r="618" ht="12.75" customHeight="1" spans="1:26">
      <c r="A618" s="184"/>
      <c r="B618" s="185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84"/>
      <c r="V618" s="184"/>
      <c r="W618" s="184"/>
      <c r="X618" s="184"/>
      <c r="Y618" s="184"/>
      <c r="Z618" s="184"/>
    </row>
    <row r="619" ht="12.75" customHeight="1" spans="1:26">
      <c r="A619" s="184"/>
      <c r="B619" s="185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84"/>
      <c r="V619" s="184"/>
      <c r="W619" s="184"/>
      <c r="X619" s="184"/>
      <c r="Y619" s="184"/>
      <c r="Z619" s="184"/>
    </row>
    <row r="620" ht="12.75" customHeight="1" spans="1:26">
      <c r="A620" s="184"/>
      <c r="B620" s="185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84"/>
      <c r="V620" s="184"/>
      <c r="W620" s="184"/>
      <c r="X620" s="184"/>
      <c r="Y620" s="184"/>
      <c r="Z620" s="184"/>
    </row>
    <row r="621" ht="12.75" customHeight="1" spans="1:26">
      <c r="A621" s="184"/>
      <c r="B621" s="185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84"/>
      <c r="V621" s="184"/>
      <c r="W621" s="184"/>
      <c r="X621" s="184"/>
      <c r="Y621" s="184"/>
      <c r="Z621" s="184"/>
    </row>
    <row r="622" ht="12.75" customHeight="1" spans="1:26">
      <c r="A622" s="184"/>
      <c r="B622" s="185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84"/>
      <c r="V622" s="184"/>
      <c r="W622" s="184"/>
      <c r="X622" s="184"/>
      <c r="Y622" s="184"/>
      <c r="Z622" s="184"/>
    </row>
    <row r="623" ht="12.75" customHeight="1" spans="1:26">
      <c r="A623" s="184"/>
      <c r="B623" s="185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84"/>
      <c r="V623" s="184"/>
      <c r="W623" s="184"/>
      <c r="X623" s="184"/>
      <c r="Y623" s="184"/>
      <c r="Z623" s="184"/>
    </row>
    <row r="624" ht="12.75" customHeight="1" spans="1:26">
      <c r="A624" s="184"/>
      <c r="B624" s="185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84"/>
      <c r="V624" s="184"/>
      <c r="W624" s="184"/>
      <c r="X624" s="184"/>
      <c r="Y624" s="184"/>
      <c r="Z624" s="184"/>
    </row>
    <row r="625" ht="12.75" customHeight="1" spans="1:26">
      <c r="A625" s="184"/>
      <c r="B625" s="185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84"/>
      <c r="V625" s="184"/>
      <c r="W625" s="184"/>
      <c r="X625" s="184"/>
      <c r="Y625" s="184"/>
      <c r="Z625" s="184"/>
    </row>
    <row r="626" ht="12.75" customHeight="1" spans="1:26">
      <c r="A626" s="184"/>
      <c r="B626" s="185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84"/>
      <c r="V626" s="184"/>
      <c r="W626" s="184"/>
      <c r="X626" s="184"/>
      <c r="Y626" s="184"/>
      <c r="Z626" s="184"/>
    </row>
    <row r="627" ht="12.75" customHeight="1" spans="1:26">
      <c r="A627" s="184"/>
      <c r="B627" s="185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84"/>
      <c r="V627" s="184"/>
      <c r="W627" s="184"/>
      <c r="X627" s="184"/>
      <c r="Y627" s="184"/>
      <c r="Z627" s="184"/>
    </row>
    <row r="628" ht="12.75" customHeight="1" spans="1:26">
      <c r="A628" s="184"/>
      <c r="B628" s="185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84"/>
      <c r="V628" s="184"/>
      <c r="W628" s="184"/>
      <c r="X628" s="184"/>
      <c r="Y628" s="184"/>
      <c r="Z628" s="184"/>
    </row>
    <row r="629" ht="12.75" customHeight="1" spans="1:26">
      <c r="A629" s="184"/>
      <c r="B629" s="185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84"/>
      <c r="V629" s="184"/>
      <c r="W629" s="184"/>
      <c r="X629" s="184"/>
      <c r="Y629" s="184"/>
      <c r="Z629" s="184"/>
    </row>
    <row r="630" ht="12.75" customHeight="1" spans="1:26">
      <c r="A630" s="184"/>
      <c r="B630" s="185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84"/>
      <c r="V630" s="184"/>
      <c r="W630" s="184"/>
      <c r="X630" s="184"/>
      <c r="Y630" s="184"/>
      <c r="Z630" s="184"/>
    </row>
    <row r="631" ht="12.75" customHeight="1" spans="1:26">
      <c r="A631" s="184"/>
      <c r="B631" s="185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84"/>
      <c r="V631" s="184"/>
      <c r="W631" s="184"/>
      <c r="X631" s="184"/>
      <c r="Y631" s="184"/>
      <c r="Z631" s="184"/>
    </row>
    <row r="632" ht="12.75" customHeight="1" spans="1:26">
      <c r="A632" s="184"/>
      <c r="B632" s="185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84"/>
      <c r="V632" s="184"/>
      <c r="W632" s="184"/>
      <c r="X632" s="184"/>
      <c r="Y632" s="184"/>
      <c r="Z632" s="184"/>
    </row>
    <row r="633" ht="12.75" customHeight="1" spans="1:26">
      <c r="A633" s="184"/>
      <c r="B633" s="185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84"/>
      <c r="V633" s="184"/>
      <c r="W633" s="184"/>
      <c r="X633" s="184"/>
      <c r="Y633" s="184"/>
      <c r="Z633" s="184"/>
    </row>
    <row r="634" ht="12.75" customHeight="1" spans="1:26">
      <c r="A634" s="184"/>
      <c r="B634" s="185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84"/>
      <c r="V634" s="184"/>
      <c r="W634" s="184"/>
      <c r="X634" s="184"/>
      <c r="Y634" s="184"/>
      <c r="Z634" s="184"/>
    </row>
    <row r="635" ht="12.75" customHeight="1" spans="1:26">
      <c r="A635" s="184"/>
      <c r="B635" s="185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84"/>
      <c r="V635" s="184"/>
      <c r="W635" s="184"/>
      <c r="X635" s="184"/>
      <c r="Y635" s="184"/>
      <c r="Z635" s="184"/>
    </row>
    <row r="636" ht="12.75" customHeight="1" spans="1:26">
      <c r="A636" s="184"/>
      <c r="B636" s="185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84"/>
      <c r="V636" s="184"/>
      <c r="W636" s="184"/>
      <c r="X636" s="184"/>
      <c r="Y636" s="184"/>
      <c r="Z636" s="184"/>
    </row>
    <row r="637" ht="12.75" customHeight="1" spans="1:26">
      <c r="A637" s="184"/>
      <c r="B637" s="185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84"/>
      <c r="V637" s="184"/>
      <c r="W637" s="184"/>
      <c r="X637" s="184"/>
      <c r="Y637" s="184"/>
      <c r="Z637" s="184"/>
    </row>
    <row r="638" ht="12.75" customHeight="1" spans="1:26">
      <c r="A638" s="184"/>
      <c r="B638" s="185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84"/>
      <c r="V638" s="184"/>
      <c r="W638" s="184"/>
      <c r="X638" s="184"/>
      <c r="Y638" s="184"/>
      <c r="Z638" s="184"/>
    </row>
    <row r="639" ht="12.75" customHeight="1" spans="1:26">
      <c r="A639" s="184"/>
      <c r="B639" s="185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84"/>
      <c r="V639" s="184"/>
      <c r="W639" s="184"/>
      <c r="X639" s="184"/>
      <c r="Y639" s="184"/>
      <c r="Z639" s="184"/>
    </row>
    <row r="640" ht="12.75" customHeight="1" spans="1:26">
      <c r="A640" s="184"/>
      <c r="B640" s="185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84"/>
      <c r="V640" s="184"/>
      <c r="W640" s="184"/>
      <c r="X640" s="184"/>
      <c r="Y640" s="184"/>
      <c r="Z640" s="184"/>
    </row>
    <row r="641" ht="12.75" customHeight="1" spans="1:26">
      <c r="A641" s="184"/>
      <c r="B641" s="185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84"/>
      <c r="V641" s="184"/>
      <c r="W641" s="184"/>
      <c r="X641" s="184"/>
      <c r="Y641" s="184"/>
      <c r="Z641" s="184"/>
    </row>
    <row r="642" ht="12.75" customHeight="1" spans="1:26">
      <c r="A642" s="184"/>
      <c r="B642" s="185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84"/>
      <c r="V642" s="184"/>
      <c r="W642" s="184"/>
      <c r="X642" s="184"/>
      <c r="Y642" s="184"/>
      <c r="Z642" s="184"/>
    </row>
    <row r="643" ht="12.75" customHeight="1" spans="1:26">
      <c r="A643" s="184"/>
      <c r="B643" s="185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84"/>
      <c r="V643" s="184"/>
      <c r="W643" s="184"/>
      <c r="X643" s="184"/>
      <c r="Y643" s="184"/>
      <c r="Z643" s="184"/>
    </row>
    <row r="644" ht="12.75" customHeight="1" spans="1:26">
      <c r="A644" s="184"/>
      <c r="B644" s="185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84"/>
      <c r="V644" s="184"/>
      <c r="W644" s="184"/>
      <c r="X644" s="184"/>
      <c r="Y644" s="184"/>
      <c r="Z644" s="184"/>
    </row>
    <row r="645" ht="12.75" customHeight="1" spans="1:26">
      <c r="A645" s="184"/>
      <c r="B645" s="185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84"/>
      <c r="V645" s="184"/>
      <c r="W645" s="184"/>
      <c r="X645" s="184"/>
      <c r="Y645" s="184"/>
      <c r="Z645" s="184"/>
    </row>
    <row r="646" ht="12.75" customHeight="1" spans="1:26">
      <c r="A646" s="184"/>
      <c r="B646" s="185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84"/>
      <c r="V646" s="184"/>
      <c r="W646" s="184"/>
      <c r="X646" s="184"/>
      <c r="Y646" s="184"/>
      <c r="Z646" s="184"/>
    </row>
    <row r="647" ht="12.75" customHeight="1" spans="1:26">
      <c r="A647" s="184"/>
      <c r="B647" s="185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84"/>
      <c r="V647" s="184"/>
      <c r="W647" s="184"/>
      <c r="X647" s="184"/>
      <c r="Y647" s="184"/>
      <c r="Z647" s="184"/>
    </row>
    <row r="648" ht="12.75" customHeight="1" spans="1:26">
      <c r="A648" s="184"/>
      <c r="B648" s="185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84"/>
      <c r="V648" s="184"/>
      <c r="W648" s="184"/>
      <c r="X648" s="184"/>
      <c r="Y648" s="184"/>
      <c r="Z648" s="184"/>
    </row>
    <row r="649" ht="12.75" customHeight="1" spans="1:26">
      <c r="A649" s="184"/>
      <c r="B649" s="185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84"/>
      <c r="V649" s="184"/>
      <c r="W649" s="184"/>
      <c r="X649" s="184"/>
      <c r="Y649" s="184"/>
      <c r="Z649" s="184"/>
    </row>
    <row r="650" ht="12.75" customHeight="1" spans="1:26">
      <c r="A650" s="184"/>
      <c r="B650" s="185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84"/>
      <c r="V650" s="184"/>
      <c r="W650" s="184"/>
      <c r="X650" s="184"/>
      <c r="Y650" s="184"/>
      <c r="Z650" s="184"/>
    </row>
    <row r="651" ht="12.75" customHeight="1" spans="1:26">
      <c r="A651" s="184"/>
      <c r="B651" s="185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84"/>
      <c r="V651" s="184"/>
      <c r="W651" s="184"/>
      <c r="X651" s="184"/>
      <c r="Y651" s="184"/>
      <c r="Z651" s="184"/>
    </row>
    <row r="652" ht="12.75" customHeight="1" spans="1:26">
      <c r="A652" s="184"/>
      <c r="B652" s="185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84"/>
      <c r="V652" s="184"/>
      <c r="W652" s="184"/>
      <c r="X652" s="184"/>
      <c r="Y652" s="184"/>
      <c r="Z652" s="184"/>
    </row>
    <row r="653" ht="12.75" customHeight="1" spans="1:26">
      <c r="A653" s="184"/>
      <c r="B653" s="185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84"/>
      <c r="V653" s="184"/>
      <c r="W653" s="184"/>
      <c r="X653" s="184"/>
      <c r="Y653" s="184"/>
      <c r="Z653" s="184"/>
    </row>
    <row r="654" ht="12.75" customHeight="1" spans="1:26">
      <c r="A654" s="184"/>
      <c r="B654" s="185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84"/>
      <c r="V654" s="184"/>
      <c r="W654" s="184"/>
      <c r="X654" s="184"/>
      <c r="Y654" s="184"/>
      <c r="Z654" s="184"/>
    </row>
    <row r="655" ht="12.75" customHeight="1" spans="1:26">
      <c r="A655" s="184"/>
      <c r="B655" s="185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84"/>
      <c r="V655" s="184"/>
      <c r="W655" s="184"/>
      <c r="X655" s="184"/>
      <c r="Y655" s="184"/>
      <c r="Z655" s="184"/>
    </row>
    <row r="656" ht="12.75" customHeight="1" spans="1:26">
      <c r="A656" s="184"/>
      <c r="B656" s="185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84"/>
      <c r="V656" s="184"/>
      <c r="W656" s="184"/>
      <c r="X656" s="184"/>
      <c r="Y656" s="184"/>
      <c r="Z656" s="184"/>
    </row>
    <row r="657" ht="12.75" customHeight="1" spans="1:26">
      <c r="A657" s="184"/>
      <c r="B657" s="185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84"/>
      <c r="V657" s="184"/>
      <c r="W657" s="184"/>
      <c r="X657" s="184"/>
      <c r="Y657" s="184"/>
      <c r="Z657" s="184"/>
    </row>
    <row r="658" ht="12.75" customHeight="1" spans="1:26">
      <c r="A658" s="184"/>
      <c r="B658" s="185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84"/>
      <c r="V658" s="184"/>
      <c r="W658" s="184"/>
      <c r="X658" s="184"/>
      <c r="Y658" s="184"/>
      <c r="Z658" s="184"/>
    </row>
    <row r="659" ht="12.75" customHeight="1" spans="1:26">
      <c r="A659" s="184"/>
      <c r="B659" s="185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84"/>
      <c r="V659" s="184"/>
      <c r="W659" s="184"/>
      <c r="X659" s="184"/>
      <c r="Y659" s="184"/>
      <c r="Z659" s="184"/>
    </row>
    <row r="660" ht="12.75" customHeight="1" spans="1:26">
      <c r="A660" s="184"/>
      <c r="B660" s="185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84"/>
      <c r="V660" s="184"/>
      <c r="W660" s="184"/>
      <c r="X660" s="184"/>
      <c r="Y660" s="184"/>
      <c r="Z660" s="184"/>
    </row>
    <row r="661" ht="12.75" customHeight="1" spans="1:26">
      <c r="A661" s="184"/>
      <c r="B661" s="185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84"/>
      <c r="V661" s="184"/>
      <c r="W661" s="184"/>
      <c r="X661" s="184"/>
      <c r="Y661" s="184"/>
      <c r="Z661" s="184"/>
    </row>
    <row r="662" ht="12.75" customHeight="1" spans="1:26">
      <c r="A662" s="184"/>
      <c r="B662" s="185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84"/>
      <c r="V662" s="184"/>
      <c r="W662" s="184"/>
      <c r="X662" s="184"/>
      <c r="Y662" s="184"/>
      <c r="Z662" s="184"/>
    </row>
    <row r="663" ht="12.75" customHeight="1" spans="1:26">
      <c r="A663" s="184"/>
      <c r="B663" s="185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84"/>
      <c r="V663" s="184"/>
      <c r="W663" s="184"/>
      <c r="X663" s="184"/>
      <c r="Y663" s="184"/>
      <c r="Z663" s="184"/>
    </row>
    <row r="664" ht="12.75" customHeight="1" spans="1:26">
      <c r="A664" s="184"/>
      <c r="B664" s="185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84"/>
      <c r="V664" s="184"/>
      <c r="W664" s="184"/>
      <c r="X664" s="184"/>
      <c r="Y664" s="184"/>
      <c r="Z664" s="184"/>
    </row>
    <row r="665" ht="12.75" customHeight="1" spans="1:26">
      <c r="A665" s="184"/>
      <c r="B665" s="185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84"/>
      <c r="V665" s="184"/>
      <c r="W665" s="184"/>
      <c r="X665" s="184"/>
      <c r="Y665" s="184"/>
      <c r="Z665" s="184"/>
    </row>
    <row r="666" ht="12.75" customHeight="1" spans="1:26">
      <c r="A666" s="184"/>
      <c r="B666" s="185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84"/>
      <c r="V666" s="184"/>
      <c r="W666" s="184"/>
      <c r="X666" s="184"/>
      <c r="Y666" s="184"/>
      <c r="Z666" s="184"/>
    </row>
    <row r="667" ht="12.75" customHeight="1" spans="1:26">
      <c r="A667" s="184"/>
      <c r="B667" s="185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84"/>
      <c r="V667" s="184"/>
      <c r="W667" s="184"/>
      <c r="X667" s="184"/>
      <c r="Y667" s="184"/>
      <c r="Z667" s="184"/>
    </row>
    <row r="668" ht="12.75" customHeight="1" spans="1:26">
      <c r="A668" s="184"/>
      <c r="B668" s="185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84"/>
      <c r="V668" s="184"/>
      <c r="W668" s="184"/>
      <c r="X668" s="184"/>
      <c r="Y668" s="184"/>
      <c r="Z668" s="184"/>
    </row>
    <row r="669" ht="12.75" customHeight="1" spans="1:26">
      <c r="A669" s="184"/>
      <c r="B669" s="185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84"/>
      <c r="V669" s="184"/>
      <c r="W669" s="184"/>
      <c r="X669" s="184"/>
      <c r="Y669" s="184"/>
      <c r="Z669" s="184"/>
    </row>
    <row r="670" ht="12.75" customHeight="1" spans="1:26">
      <c r="A670" s="184"/>
      <c r="B670" s="185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84"/>
      <c r="V670" s="184"/>
      <c r="W670" s="184"/>
      <c r="X670" s="184"/>
      <c r="Y670" s="184"/>
      <c r="Z670" s="184"/>
    </row>
    <row r="671" ht="12.75" customHeight="1" spans="1:26">
      <c r="A671" s="184"/>
      <c r="B671" s="185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84"/>
      <c r="V671" s="184"/>
      <c r="W671" s="184"/>
      <c r="X671" s="184"/>
      <c r="Y671" s="184"/>
      <c r="Z671" s="184"/>
    </row>
    <row r="672" ht="12.75" customHeight="1" spans="1:26">
      <c r="A672" s="184"/>
      <c r="B672" s="185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  <c r="Z672" s="184"/>
    </row>
    <row r="673" ht="12.75" customHeight="1" spans="1:26">
      <c r="A673" s="184"/>
      <c r="B673" s="185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84"/>
      <c r="V673" s="184"/>
      <c r="W673" s="184"/>
      <c r="X673" s="184"/>
      <c r="Y673" s="184"/>
      <c r="Z673" s="184"/>
    </row>
    <row r="674" ht="12.75" customHeight="1" spans="1:26">
      <c r="A674" s="184"/>
      <c r="B674" s="185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84"/>
      <c r="V674" s="184"/>
      <c r="W674" s="184"/>
      <c r="X674" s="184"/>
      <c r="Y674" s="184"/>
      <c r="Z674" s="184"/>
    </row>
    <row r="675" ht="12.75" customHeight="1" spans="1:26">
      <c r="A675" s="184"/>
      <c r="B675" s="185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84"/>
      <c r="V675" s="184"/>
      <c r="W675" s="184"/>
      <c r="X675" s="184"/>
      <c r="Y675" s="184"/>
      <c r="Z675" s="184"/>
    </row>
    <row r="676" ht="12.75" customHeight="1" spans="1:26">
      <c r="A676" s="184"/>
      <c r="B676" s="185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84"/>
      <c r="V676" s="184"/>
      <c r="W676" s="184"/>
      <c r="X676" s="184"/>
      <c r="Y676" s="184"/>
      <c r="Z676" s="184"/>
    </row>
    <row r="677" ht="12.75" customHeight="1" spans="1:26">
      <c r="A677" s="184"/>
      <c r="B677" s="185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84"/>
      <c r="V677" s="184"/>
      <c r="W677" s="184"/>
      <c r="X677" s="184"/>
      <c r="Y677" s="184"/>
      <c r="Z677" s="184"/>
    </row>
    <row r="678" ht="12.75" customHeight="1" spans="1:26">
      <c r="A678" s="184"/>
      <c r="B678" s="185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84"/>
      <c r="V678" s="184"/>
      <c r="W678" s="184"/>
      <c r="X678" s="184"/>
      <c r="Y678" s="184"/>
      <c r="Z678" s="184"/>
    </row>
    <row r="679" ht="12.75" customHeight="1" spans="1:26">
      <c r="A679" s="184"/>
      <c r="B679" s="185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84"/>
      <c r="V679" s="184"/>
      <c r="W679" s="184"/>
      <c r="X679" s="184"/>
      <c r="Y679" s="184"/>
      <c r="Z679" s="184"/>
    </row>
    <row r="680" ht="12.75" customHeight="1" spans="1:26">
      <c r="A680" s="184"/>
      <c r="B680" s="185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84"/>
      <c r="V680" s="184"/>
      <c r="W680" s="184"/>
      <c r="X680" s="184"/>
      <c r="Y680" s="184"/>
      <c r="Z680" s="184"/>
    </row>
    <row r="681" ht="12.75" customHeight="1" spans="1:26">
      <c r="A681" s="184"/>
      <c r="B681" s="185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84"/>
      <c r="V681" s="184"/>
      <c r="W681" s="184"/>
      <c r="X681" s="184"/>
      <c r="Y681" s="184"/>
      <c r="Z681" s="184"/>
    </row>
    <row r="682" ht="12.75" customHeight="1" spans="1:26">
      <c r="A682" s="184"/>
      <c r="B682" s="185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84"/>
      <c r="V682" s="184"/>
      <c r="W682" s="184"/>
      <c r="X682" s="184"/>
      <c r="Y682" s="184"/>
      <c r="Z682" s="184"/>
    </row>
    <row r="683" ht="12.75" customHeight="1" spans="1:26">
      <c r="A683" s="184"/>
      <c r="B683" s="185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84"/>
      <c r="V683" s="184"/>
      <c r="W683" s="184"/>
      <c r="X683" s="184"/>
      <c r="Y683" s="184"/>
      <c r="Z683" s="184"/>
    </row>
    <row r="684" ht="12.75" customHeight="1" spans="1:26">
      <c r="A684" s="184"/>
      <c r="B684" s="185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84"/>
      <c r="V684" s="184"/>
      <c r="W684" s="184"/>
      <c r="X684" s="184"/>
      <c r="Y684" s="184"/>
      <c r="Z684" s="184"/>
    </row>
    <row r="685" ht="12.75" customHeight="1" spans="1:26">
      <c r="A685" s="184"/>
      <c r="B685" s="185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84"/>
      <c r="V685" s="184"/>
      <c r="W685" s="184"/>
      <c r="X685" s="184"/>
      <c r="Y685" s="184"/>
      <c r="Z685" s="184"/>
    </row>
    <row r="686" ht="12.75" customHeight="1" spans="1:26">
      <c r="A686" s="184"/>
      <c r="B686" s="185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84"/>
      <c r="V686" s="184"/>
      <c r="W686" s="184"/>
      <c r="X686" s="184"/>
      <c r="Y686" s="184"/>
      <c r="Z686" s="184"/>
    </row>
    <row r="687" ht="12.75" customHeight="1" spans="1:26">
      <c r="A687" s="184"/>
      <c r="B687" s="185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84"/>
      <c r="V687" s="184"/>
      <c r="W687" s="184"/>
      <c r="X687" s="184"/>
      <c r="Y687" s="184"/>
      <c r="Z687" s="184"/>
    </row>
    <row r="688" ht="12.75" customHeight="1" spans="1:26">
      <c r="A688" s="184"/>
      <c r="B688" s="185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84"/>
      <c r="V688" s="184"/>
      <c r="W688" s="184"/>
      <c r="X688" s="184"/>
      <c r="Y688" s="184"/>
      <c r="Z688" s="184"/>
    </row>
    <row r="689" ht="12.75" customHeight="1" spans="1:26">
      <c r="A689" s="184"/>
      <c r="B689" s="185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84"/>
      <c r="V689" s="184"/>
      <c r="W689" s="184"/>
      <c r="X689" s="184"/>
      <c r="Y689" s="184"/>
      <c r="Z689" s="184"/>
    </row>
    <row r="690" ht="12.75" customHeight="1" spans="1:26">
      <c r="A690" s="184"/>
      <c r="B690" s="185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84"/>
      <c r="V690" s="184"/>
      <c r="W690" s="184"/>
      <c r="X690" s="184"/>
      <c r="Y690" s="184"/>
      <c r="Z690" s="184"/>
    </row>
    <row r="691" ht="12.75" customHeight="1" spans="1:26">
      <c r="A691" s="184"/>
      <c r="B691" s="185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84"/>
      <c r="V691" s="184"/>
      <c r="W691" s="184"/>
      <c r="X691" s="184"/>
      <c r="Y691" s="184"/>
      <c r="Z691" s="184"/>
    </row>
    <row r="692" ht="12.75" customHeight="1" spans="1:26">
      <c r="A692" s="184"/>
      <c r="B692" s="185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84"/>
      <c r="V692" s="184"/>
      <c r="W692" s="184"/>
      <c r="X692" s="184"/>
      <c r="Y692" s="184"/>
      <c r="Z692" s="184"/>
    </row>
    <row r="693" ht="12.75" customHeight="1" spans="1:26">
      <c r="A693" s="184"/>
      <c r="B693" s="185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84"/>
      <c r="V693" s="184"/>
      <c r="W693" s="184"/>
      <c r="X693" s="184"/>
      <c r="Y693" s="184"/>
      <c r="Z693" s="184"/>
    </row>
    <row r="694" ht="12.75" customHeight="1" spans="1:26">
      <c r="A694" s="184"/>
      <c r="B694" s="185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84"/>
      <c r="V694" s="184"/>
      <c r="W694" s="184"/>
      <c r="X694" s="184"/>
      <c r="Y694" s="184"/>
      <c r="Z694" s="184"/>
    </row>
    <row r="695" ht="12.75" customHeight="1" spans="1:26">
      <c r="A695" s="184"/>
      <c r="B695" s="185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84"/>
      <c r="V695" s="184"/>
      <c r="W695" s="184"/>
      <c r="X695" s="184"/>
      <c r="Y695" s="184"/>
      <c r="Z695" s="184"/>
    </row>
    <row r="696" ht="12.75" customHeight="1" spans="1:26">
      <c r="A696" s="184"/>
      <c r="B696" s="185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84"/>
      <c r="V696" s="184"/>
      <c r="W696" s="184"/>
      <c r="X696" s="184"/>
      <c r="Y696" s="184"/>
      <c r="Z696" s="184"/>
    </row>
    <row r="697" ht="12.75" customHeight="1" spans="1:26">
      <c r="A697" s="184"/>
      <c r="B697" s="185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84"/>
      <c r="V697" s="184"/>
      <c r="W697" s="184"/>
      <c r="X697" s="184"/>
      <c r="Y697" s="184"/>
      <c r="Z697" s="184"/>
    </row>
    <row r="698" ht="12.75" customHeight="1" spans="1:26">
      <c r="A698" s="184"/>
      <c r="B698" s="185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84"/>
      <c r="V698" s="184"/>
      <c r="W698" s="184"/>
      <c r="X698" s="184"/>
      <c r="Y698" s="184"/>
      <c r="Z698" s="184"/>
    </row>
    <row r="699" ht="12.75" customHeight="1" spans="1:26">
      <c r="A699" s="184"/>
      <c r="B699" s="185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84"/>
      <c r="V699" s="184"/>
      <c r="W699" s="184"/>
      <c r="X699" s="184"/>
      <c r="Y699" s="184"/>
      <c r="Z699" s="184"/>
    </row>
    <row r="700" ht="12.75" customHeight="1" spans="1:26">
      <c r="A700" s="184"/>
      <c r="B700" s="185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84"/>
      <c r="V700" s="184"/>
      <c r="W700" s="184"/>
      <c r="X700" s="184"/>
      <c r="Y700" s="184"/>
      <c r="Z700" s="184"/>
    </row>
    <row r="701" ht="12.75" customHeight="1" spans="1:26">
      <c r="A701" s="184"/>
      <c r="B701" s="185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84"/>
      <c r="V701" s="184"/>
      <c r="W701" s="184"/>
      <c r="X701" s="184"/>
      <c r="Y701" s="184"/>
      <c r="Z701" s="184"/>
    </row>
    <row r="702" ht="12.75" customHeight="1" spans="1:26">
      <c r="A702" s="184"/>
      <c r="B702" s="185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84"/>
      <c r="V702" s="184"/>
      <c r="W702" s="184"/>
      <c r="X702" s="184"/>
      <c r="Y702" s="184"/>
      <c r="Z702" s="184"/>
    </row>
    <row r="703" ht="12.75" customHeight="1" spans="1:26">
      <c r="A703" s="184"/>
      <c r="B703" s="185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84"/>
      <c r="V703" s="184"/>
      <c r="W703" s="184"/>
      <c r="X703" s="184"/>
      <c r="Y703" s="184"/>
      <c r="Z703" s="184"/>
    </row>
    <row r="704" ht="12.75" customHeight="1" spans="1:26">
      <c r="A704" s="184"/>
      <c r="B704" s="185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84"/>
      <c r="V704" s="184"/>
      <c r="W704" s="184"/>
      <c r="X704" s="184"/>
      <c r="Y704" s="184"/>
      <c r="Z704" s="184"/>
    </row>
    <row r="705" ht="12.75" customHeight="1" spans="1:26">
      <c r="A705" s="184"/>
      <c r="B705" s="185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84"/>
      <c r="V705" s="184"/>
      <c r="W705" s="184"/>
      <c r="X705" s="184"/>
      <c r="Y705" s="184"/>
      <c r="Z705" s="184"/>
    </row>
    <row r="706" ht="12.75" customHeight="1" spans="1:26">
      <c r="A706" s="184"/>
      <c r="B706" s="185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84"/>
      <c r="V706" s="184"/>
      <c r="W706" s="184"/>
      <c r="X706" s="184"/>
      <c r="Y706" s="184"/>
      <c r="Z706" s="184"/>
    </row>
    <row r="707" ht="12.75" customHeight="1" spans="1:26">
      <c r="A707" s="184"/>
      <c r="B707" s="185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84"/>
      <c r="V707" s="184"/>
      <c r="W707" s="184"/>
      <c r="X707" s="184"/>
      <c r="Y707" s="184"/>
      <c r="Z707" s="184"/>
    </row>
    <row r="708" ht="12.75" customHeight="1" spans="1:26">
      <c r="A708" s="184"/>
      <c r="B708" s="185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84"/>
      <c r="V708" s="184"/>
      <c r="W708" s="184"/>
      <c r="X708" s="184"/>
      <c r="Y708" s="184"/>
      <c r="Z708" s="184"/>
    </row>
    <row r="709" ht="12.75" customHeight="1" spans="1:26">
      <c r="A709" s="184"/>
      <c r="B709" s="185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84"/>
      <c r="V709" s="184"/>
      <c r="W709" s="184"/>
      <c r="X709" s="184"/>
      <c r="Y709" s="184"/>
      <c r="Z709" s="184"/>
    </row>
    <row r="710" ht="12.75" customHeight="1" spans="1:26">
      <c r="A710" s="184"/>
      <c r="B710" s="185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84"/>
      <c r="V710" s="184"/>
      <c r="W710" s="184"/>
      <c r="X710" s="184"/>
      <c r="Y710" s="184"/>
      <c r="Z710" s="184"/>
    </row>
    <row r="711" ht="12.75" customHeight="1" spans="1:26">
      <c r="A711" s="184"/>
      <c r="B711" s="185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84"/>
      <c r="V711" s="184"/>
      <c r="W711" s="184"/>
      <c r="X711" s="184"/>
      <c r="Y711" s="184"/>
      <c r="Z711" s="184"/>
    </row>
    <row r="712" ht="12.75" customHeight="1" spans="1:26">
      <c r="A712" s="184"/>
      <c r="B712" s="185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84"/>
      <c r="V712" s="184"/>
      <c r="W712" s="184"/>
      <c r="X712" s="184"/>
      <c r="Y712" s="184"/>
      <c r="Z712" s="184"/>
    </row>
    <row r="713" ht="12.75" customHeight="1" spans="1:26">
      <c r="A713" s="184"/>
      <c r="B713" s="185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84"/>
      <c r="V713" s="184"/>
      <c r="W713" s="184"/>
      <c r="X713" s="184"/>
      <c r="Y713" s="184"/>
      <c r="Z713" s="184"/>
    </row>
    <row r="714" ht="12.75" customHeight="1" spans="1:26">
      <c r="A714" s="184"/>
      <c r="B714" s="185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84"/>
      <c r="V714" s="184"/>
      <c r="W714" s="184"/>
      <c r="X714" s="184"/>
      <c r="Y714" s="184"/>
      <c r="Z714" s="184"/>
    </row>
    <row r="715" ht="12.75" customHeight="1" spans="1:26">
      <c r="A715" s="184"/>
      <c r="B715" s="185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84"/>
      <c r="V715" s="184"/>
      <c r="W715" s="184"/>
      <c r="X715" s="184"/>
      <c r="Y715" s="184"/>
      <c r="Z715" s="184"/>
    </row>
    <row r="716" ht="12.75" customHeight="1" spans="1:26">
      <c r="A716" s="184"/>
      <c r="B716" s="185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84"/>
      <c r="V716" s="184"/>
      <c r="W716" s="184"/>
      <c r="X716" s="184"/>
      <c r="Y716" s="184"/>
      <c r="Z716" s="184"/>
    </row>
    <row r="717" ht="12.75" customHeight="1" spans="1:26">
      <c r="A717" s="184"/>
      <c r="B717" s="185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84"/>
      <c r="V717" s="184"/>
      <c r="W717" s="184"/>
      <c r="X717" s="184"/>
      <c r="Y717" s="184"/>
      <c r="Z717" s="184"/>
    </row>
    <row r="718" ht="12.75" customHeight="1" spans="1:26">
      <c r="A718" s="184"/>
      <c r="B718" s="185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84"/>
      <c r="V718" s="184"/>
      <c r="W718" s="184"/>
      <c r="X718" s="184"/>
      <c r="Y718" s="184"/>
      <c r="Z718" s="184"/>
    </row>
    <row r="719" ht="12.75" customHeight="1" spans="1:26">
      <c r="A719" s="184"/>
      <c r="B719" s="185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84"/>
      <c r="V719" s="184"/>
      <c r="W719" s="184"/>
      <c r="X719" s="184"/>
      <c r="Y719" s="184"/>
      <c r="Z719" s="184"/>
    </row>
    <row r="720" ht="12.75" customHeight="1" spans="1:26">
      <c r="A720" s="184"/>
      <c r="B720" s="185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84"/>
      <c r="V720" s="184"/>
      <c r="W720" s="184"/>
      <c r="X720" s="184"/>
      <c r="Y720" s="184"/>
      <c r="Z720" s="184"/>
    </row>
    <row r="721" ht="12.75" customHeight="1" spans="1:26">
      <c r="A721" s="184"/>
      <c r="B721" s="185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84"/>
      <c r="V721" s="184"/>
      <c r="W721" s="184"/>
      <c r="X721" s="184"/>
      <c r="Y721" s="184"/>
      <c r="Z721" s="184"/>
    </row>
    <row r="722" ht="12.75" customHeight="1" spans="1:26">
      <c r="A722" s="184"/>
      <c r="B722" s="185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84"/>
      <c r="V722" s="184"/>
      <c r="W722" s="184"/>
      <c r="X722" s="184"/>
      <c r="Y722" s="184"/>
      <c r="Z722" s="184"/>
    </row>
    <row r="723" ht="12.75" customHeight="1" spans="1:26">
      <c r="A723" s="184"/>
      <c r="B723" s="185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84"/>
      <c r="V723" s="184"/>
      <c r="W723" s="184"/>
      <c r="X723" s="184"/>
      <c r="Y723" s="184"/>
      <c r="Z723" s="184"/>
    </row>
    <row r="724" ht="12.75" customHeight="1" spans="1:26">
      <c r="A724" s="184"/>
      <c r="B724" s="185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84"/>
      <c r="V724" s="184"/>
      <c r="W724" s="184"/>
      <c r="X724" s="184"/>
      <c r="Y724" s="184"/>
      <c r="Z724" s="184"/>
    </row>
    <row r="725" ht="12.75" customHeight="1" spans="1:26">
      <c r="A725" s="184"/>
      <c r="B725" s="185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84"/>
      <c r="V725" s="184"/>
      <c r="W725" s="184"/>
      <c r="X725" s="184"/>
      <c r="Y725" s="184"/>
      <c r="Z725" s="184"/>
    </row>
    <row r="726" ht="12.75" customHeight="1" spans="1:26">
      <c r="A726" s="184"/>
      <c r="B726" s="185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84"/>
      <c r="V726" s="184"/>
      <c r="W726" s="184"/>
      <c r="X726" s="184"/>
      <c r="Y726" s="184"/>
      <c r="Z726" s="184"/>
    </row>
    <row r="727" ht="12.75" customHeight="1" spans="1:26">
      <c r="A727" s="184"/>
      <c r="B727" s="185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84"/>
      <c r="V727" s="184"/>
      <c r="W727" s="184"/>
      <c r="X727" s="184"/>
      <c r="Y727" s="184"/>
      <c r="Z727" s="184"/>
    </row>
    <row r="728" ht="12.75" customHeight="1" spans="1:26">
      <c r="A728" s="184"/>
      <c r="B728" s="185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84"/>
      <c r="V728" s="184"/>
      <c r="W728" s="184"/>
      <c r="X728" s="184"/>
      <c r="Y728" s="184"/>
      <c r="Z728" s="184"/>
    </row>
    <row r="729" ht="12.75" customHeight="1" spans="1:26">
      <c r="A729" s="184"/>
      <c r="B729" s="185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84"/>
      <c r="V729" s="184"/>
      <c r="W729" s="184"/>
      <c r="X729" s="184"/>
      <c r="Y729" s="184"/>
      <c r="Z729" s="184"/>
    </row>
    <row r="730" ht="12.75" customHeight="1" spans="1:26">
      <c r="A730" s="184"/>
      <c r="B730" s="185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84"/>
      <c r="V730" s="184"/>
      <c r="W730" s="184"/>
      <c r="X730" s="184"/>
      <c r="Y730" s="184"/>
      <c r="Z730" s="184"/>
    </row>
    <row r="731" ht="12.75" customHeight="1" spans="1:26">
      <c r="A731" s="184"/>
      <c r="B731" s="185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84"/>
      <c r="V731" s="184"/>
      <c r="W731" s="184"/>
      <c r="X731" s="184"/>
      <c r="Y731" s="184"/>
      <c r="Z731" s="184"/>
    </row>
    <row r="732" ht="12.75" customHeight="1" spans="1:26">
      <c r="A732" s="184"/>
      <c r="B732" s="185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84"/>
      <c r="V732" s="184"/>
      <c r="W732" s="184"/>
      <c r="X732" s="184"/>
      <c r="Y732" s="184"/>
      <c r="Z732" s="184"/>
    </row>
    <row r="733" ht="12.75" customHeight="1" spans="1:26">
      <c r="A733" s="184"/>
      <c r="B733" s="185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84"/>
      <c r="V733" s="184"/>
      <c r="W733" s="184"/>
      <c r="X733" s="184"/>
      <c r="Y733" s="184"/>
      <c r="Z733" s="184"/>
    </row>
    <row r="734" ht="12.75" customHeight="1" spans="1:26">
      <c r="A734" s="184"/>
      <c r="B734" s="185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84"/>
      <c r="V734" s="184"/>
      <c r="W734" s="184"/>
      <c r="X734" s="184"/>
      <c r="Y734" s="184"/>
      <c r="Z734" s="184"/>
    </row>
    <row r="735" ht="12.75" customHeight="1" spans="1:26">
      <c r="A735" s="184"/>
      <c r="B735" s="185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84"/>
      <c r="V735" s="184"/>
      <c r="W735" s="184"/>
      <c r="X735" s="184"/>
      <c r="Y735" s="184"/>
      <c r="Z735" s="184"/>
    </row>
    <row r="736" ht="12.75" customHeight="1" spans="1:26">
      <c r="A736" s="184"/>
      <c r="B736" s="185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84"/>
      <c r="V736" s="184"/>
      <c r="W736" s="184"/>
      <c r="X736" s="184"/>
      <c r="Y736" s="184"/>
      <c r="Z736" s="184"/>
    </row>
    <row r="737" ht="12.75" customHeight="1" spans="1:26">
      <c r="A737" s="184"/>
      <c r="B737" s="185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84"/>
      <c r="V737" s="184"/>
      <c r="W737" s="184"/>
      <c r="X737" s="184"/>
      <c r="Y737" s="184"/>
      <c r="Z737" s="184"/>
    </row>
    <row r="738" ht="12.75" customHeight="1" spans="1:26">
      <c r="A738" s="184"/>
      <c r="B738" s="185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84"/>
      <c r="V738" s="184"/>
      <c r="W738" s="184"/>
      <c r="X738" s="184"/>
      <c r="Y738" s="184"/>
      <c r="Z738" s="184"/>
    </row>
    <row r="739" ht="12.75" customHeight="1" spans="1:26">
      <c r="A739" s="184"/>
      <c r="B739" s="185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84"/>
      <c r="V739" s="184"/>
      <c r="W739" s="184"/>
      <c r="X739" s="184"/>
      <c r="Y739" s="184"/>
      <c r="Z739" s="184"/>
    </row>
    <row r="740" ht="12.75" customHeight="1" spans="1:26">
      <c r="A740" s="184"/>
      <c r="B740" s="185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84"/>
      <c r="V740" s="184"/>
      <c r="W740" s="184"/>
      <c r="X740" s="184"/>
      <c r="Y740" s="184"/>
      <c r="Z740" s="184"/>
    </row>
    <row r="741" ht="12.75" customHeight="1" spans="1:26">
      <c r="A741" s="184"/>
      <c r="B741" s="185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84"/>
      <c r="V741" s="184"/>
      <c r="W741" s="184"/>
      <c r="X741" s="184"/>
      <c r="Y741" s="184"/>
      <c r="Z741" s="184"/>
    </row>
    <row r="742" ht="12.75" customHeight="1" spans="1:26">
      <c r="A742" s="184"/>
      <c r="B742" s="185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84"/>
      <c r="V742" s="184"/>
      <c r="W742" s="184"/>
      <c r="X742" s="184"/>
      <c r="Y742" s="184"/>
      <c r="Z742" s="184"/>
    </row>
    <row r="743" ht="12.75" customHeight="1" spans="1:26">
      <c r="A743" s="184"/>
      <c r="B743" s="185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84"/>
      <c r="V743" s="184"/>
      <c r="W743" s="184"/>
      <c r="X743" s="184"/>
      <c r="Y743" s="184"/>
      <c r="Z743" s="184"/>
    </row>
    <row r="744" ht="12.75" customHeight="1" spans="1:26">
      <c r="A744" s="184"/>
      <c r="B744" s="185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84"/>
      <c r="V744" s="184"/>
      <c r="W744" s="184"/>
      <c r="X744" s="184"/>
      <c r="Y744" s="184"/>
      <c r="Z744" s="184"/>
    </row>
    <row r="745" ht="12.75" customHeight="1" spans="1:26">
      <c r="A745" s="184"/>
      <c r="B745" s="185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84"/>
      <c r="V745" s="184"/>
      <c r="W745" s="184"/>
      <c r="X745" s="184"/>
      <c r="Y745" s="184"/>
      <c r="Z745" s="184"/>
    </row>
    <row r="746" ht="12.75" customHeight="1" spans="1:26">
      <c r="A746" s="184"/>
      <c r="B746" s="185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84"/>
      <c r="V746" s="184"/>
      <c r="W746" s="184"/>
      <c r="X746" s="184"/>
      <c r="Y746" s="184"/>
      <c r="Z746" s="184"/>
    </row>
    <row r="747" ht="12.75" customHeight="1" spans="1:26">
      <c r="A747" s="184"/>
      <c r="B747" s="185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84"/>
      <c r="V747" s="184"/>
      <c r="W747" s="184"/>
      <c r="X747" s="184"/>
      <c r="Y747" s="184"/>
      <c r="Z747" s="184"/>
    </row>
    <row r="748" ht="12.75" customHeight="1" spans="1:26">
      <c r="A748" s="184"/>
      <c r="B748" s="185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84"/>
      <c r="V748" s="184"/>
      <c r="W748" s="184"/>
      <c r="X748" s="184"/>
      <c r="Y748" s="184"/>
      <c r="Z748" s="184"/>
    </row>
    <row r="749" ht="12.75" customHeight="1" spans="1:26">
      <c r="A749" s="184"/>
      <c r="B749" s="185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84"/>
      <c r="V749" s="184"/>
      <c r="W749" s="184"/>
      <c r="X749" s="184"/>
      <c r="Y749" s="184"/>
      <c r="Z749" s="184"/>
    </row>
    <row r="750" ht="12.75" customHeight="1" spans="1:26">
      <c r="A750" s="184"/>
      <c r="B750" s="185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84"/>
      <c r="V750" s="184"/>
      <c r="W750" s="184"/>
      <c r="X750" s="184"/>
      <c r="Y750" s="184"/>
      <c r="Z750" s="184"/>
    </row>
    <row r="751" ht="12.75" customHeight="1" spans="1:26">
      <c r="A751" s="184"/>
      <c r="B751" s="185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84"/>
      <c r="V751" s="184"/>
      <c r="W751" s="184"/>
      <c r="X751" s="184"/>
      <c r="Y751" s="184"/>
      <c r="Z751" s="184"/>
    </row>
    <row r="752" ht="12.75" customHeight="1" spans="1:26">
      <c r="A752" s="184"/>
      <c r="B752" s="185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84"/>
      <c r="V752" s="184"/>
      <c r="W752" s="184"/>
      <c r="X752" s="184"/>
      <c r="Y752" s="184"/>
      <c r="Z752" s="184"/>
    </row>
    <row r="753" ht="12.75" customHeight="1" spans="1:26">
      <c r="A753" s="184"/>
      <c r="B753" s="185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84"/>
      <c r="V753" s="184"/>
      <c r="W753" s="184"/>
      <c r="X753" s="184"/>
      <c r="Y753" s="184"/>
      <c r="Z753" s="184"/>
    </row>
    <row r="754" ht="12.75" customHeight="1" spans="1:26">
      <c r="A754" s="184"/>
      <c r="B754" s="185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84"/>
      <c r="V754" s="184"/>
      <c r="W754" s="184"/>
      <c r="X754" s="184"/>
      <c r="Y754" s="184"/>
      <c r="Z754" s="184"/>
    </row>
    <row r="755" ht="12.75" customHeight="1" spans="1:26">
      <c r="A755" s="184"/>
      <c r="B755" s="185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84"/>
      <c r="V755" s="184"/>
      <c r="W755" s="184"/>
      <c r="X755" s="184"/>
      <c r="Y755" s="184"/>
      <c r="Z755" s="184"/>
    </row>
    <row r="756" ht="12.75" customHeight="1" spans="1:26">
      <c r="A756" s="184"/>
      <c r="B756" s="185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84"/>
      <c r="V756" s="184"/>
      <c r="W756" s="184"/>
      <c r="X756" s="184"/>
      <c r="Y756" s="184"/>
      <c r="Z756" s="184"/>
    </row>
    <row r="757" ht="12.75" customHeight="1" spans="1:26">
      <c r="A757" s="184"/>
      <c r="B757" s="185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84"/>
      <c r="V757" s="184"/>
      <c r="W757" s="184"/>
      <c r="X757" s="184"/>
      <c r="Y757" s="184"/>
      <c r="Z757" s="184"/>
    </row>
    <row r="758" ht="12.75" customHeight="1" spans="1:26">
      <c r="A758" s="184"/>
      <c r="B758" s="185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84"/>
      <c r="V758" s="184"/>
      <c r="W758" s="184"/>
      <c r="X758" s="184"/>
      <c r="Y758" s="184"/>
      <c r="Z758" s="184"/>
    </row>
    <row r="759" ht="12.75" customHeight="1" spans="1:26">
      <c r="A759" s="184"/>
      <c r="B759" s="185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84"/>
      <c r="V759" s="184"/>
      <c r="W759" s="184"/>
      <c r="X759" s="184"/>
      <c r="Y759" s="184"/>
      <c r="Z759" s="184"/>
    </row>
    <row r="760" ht="12.75" customHeight="1" spans="1:26">
      <c r="A760" s="184"/>
      <c r="B760" s="185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84"/>
      <c r="V760" s="184"/>
      <c r="W760" s="184"/>
      <c r="X760" s="184"/>
      <c r="Y760" s="184"/>
      <c r="Z760" s="184"/>
    </row>
    <row r="761" ht="12.75" customHeight="1" spans="1:26">
      <c r="A761" s="184"/>
      <c r="B761" s="185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84"/>
      <c r="V761" s="184"/>
      <c r="W761" s="184"/>
      <c r="X761" s="184"/>
      <c r="Y761" s="184"/>
      <c r="Z761" s="184"/>
    </row>
    <row r="762" ht="12.75" customHeight="1" spans="1:26">
      <c r="A762" s="184"/>
      <c r="B762" s="185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84"/>
      <c r="V762" s="184"/>
      <c r="W762" s="184"/>
      <c r="X762" s="184"/>
      <c r="Y762" s="184"/>
      <c r="Z762" s="184"/>
    </row>
    <row r="763" ht="12.75" customHeight="1" spans="1:26">
      <c r="A763" s="184"/>
      <c r="B763" s="185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84"/>
      <c r="V763" s="184"/>
      <c r="W763" s="184"/>
      <c r="X763" s="184"/>
      <c r="Y763" s="184"/>
      <c r="Z763" s="184"/>
    </row>
    <row r="764" ht="12.75" customHeight="1" spans="1:26">
      <c r="A764" s="184"/>
      <c r="B764" s="185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84"/>
      <c r="V764" s="184"/>
      <c r="W764" s="184"/>
      <c r="X764" s="184"/>
      <c r="Y764" s="184"/>
      <c r="Z764" s="184"/>
    </row>
    <row r="765" ht="12.75" customHeight="1" spans="1:26">
      <c r="A765" s="184"/>
      <c r="B765" s="185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84"/>
      <c r="V765" s="184"/>
      <c r="W765" s="184"/>
      <c r="X765" s="184"/>
      <c r="Y765" s="184"/>
      <c r="Z765" s="184"/>
    </row>
    <row r="766" ht="12.75" customHeight="1" spans="1:26">
      <c r="A766" s="184"/>
      <c r="B766" s="185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84"/>
      <c r="V766" s="184"/>
      <c r="W766" s="184"/>
      <c r="X766" s="184"/>
      <c r="Y766" s="184"/>
      <c r="Z766" s="184"/>
    </row>
    <row r="767" ht="12.75" customHeight="1" spans="1:26">
      <c r="A767" s="184"/>
      <c r="B767" s="185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84"/>
      <c r="V767" s="184"/>
      <c r="W767" s="184"/>
      <c r="X767" s="184"/>
      <c r="Y767" s="184"/>
      <c r="Z767" s="184"/>
    </row>
    <row r="768" ht="12.75" customHeight="1" spans="1:26">
      <c r="A768" s="184"/>
      <c r="B768" s="185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84"/>
      <c r="V768" s="184"/>
      <c r="W768" s="184"/>
      <c r="X768" s="184"/>
      <c r="Y768" s="184"/>
      <c r="Z768" s="184"/>
    </row>
    <row r="769" ht="12.75" customHeight="1" spans="1:26">
      <c r="A769" s="184"/>
      <c r="B769" s="185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84"/>
      <c r="V769" s="184"/>
      <c r="W769" s="184"/>
      <c r="X769" s="184"/>
      <c r="Y769" s="184"/>
      <c r="Z769" s="184"/>
    </row>
    <row r="770" ht="12.75" customHeight="1" spans="1:26">
      <c r="A770" s="184"/>
      <c r="B770" s="185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84"/>
      <c r="V770" s="184"/>
      <c r="W770" s="184"/>
      <c r="X770" s="184"/>
      <c r="Y770" s="184"/>
      <c r="Z770" s="184"/>
    </row>
    <row r="771" ht="12.75" customHeight="1" spans="1:26">
      <c r="A771" s="184"/>
      <c r="B771" s="185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84"/>
      <c r="V771" s="184"/>
      <c r="W771" s="184"/>
      <c r="X771" s="184"/>
      <c r="Y771" s="184"/>
      <c r="Z771" s="184"/>
    </row>
    <row r="772" ht="12.75" customHeight="1" spans="1:26">
      <c r="A772" s="184"/>
      <c r="B772" s="185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84"/>
      <c r="V772" s="184"/>
      <c r="W772" s="184"/>
      <c r="X772" s="184"/>
      <c r="Y772" s="184"/>
      <c r="Z772" s="184"/>
    </row>
    <row r="773" ht="12.75" customHeight="1" spans="1:26">
      <c r="A773" s="184"/>
      <c r="B773" s="185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84"/>
      <c r="V773" s="184"/>
      <c r="W773" s="184"/>
      <c r="X773" s="184"/>
      <c r="Y773" s="184"/>
      <c r="Z773" s="184"/>
    </row>
    <row r="774" ht="12.75" customHeight="1" spans="1:26">
      <c r="A774" s="184"/>
      <c r="B774" s="185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84"/>
      <c r="V774" s="184"/>
      <c r="W774" s="184"/>
      <c r="X774" s="184"/>
      <c r="Y774" s="184"/>
      <c r="Z774" s="184"/>
    </row>
    <row r="775" ht="12.75" customHeight="1" spans="1:26">
      <c r="A775" s="184"/>
      <c r="B775" s="185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84"/>
      <c r="V775" s="184"/>
      <c r="W775" s="184"/>
      <c r="X775" s="184"/>
      <c r="Y775" s="184"/>
      <c r="Z775" s="184"/>
    </row>
    <row r="776" ht="12.75" customHeight="1" spans="1:26">
      <c r="A776" s="184"/>
      <c r="B776" s="185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84"/>
      <c r="V776" s="184"/>
      <c r="W776" s="184"/>
      <c r="X776" s="184"/>
      <c r="Y776" s="184"/>
      <c r="Z776" s="184"/>
    </row>
    <row r="777" ht="12.75" customHeight="1" spans="1:26">
      <c r="A777" s="184"/>
      <c r="B777" s="185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84"/>
      <c r="V777" s="184"/>
      <c r="W777" s="184"/>
      <c r="X777" s="184"/>
      <c r="Y777" s="184"/>
      <c r="Z777" s="184"/>
    </row>
    <row r="778" ht="12.75" customHeight="1" spans="1:26">
      <c r="A778" s="184"/>
      <c r="B778" s="185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84"/>
      <c r="V778" s="184"/>
      <c r="W778" s="184"/>
      <c r="X778" s="184"/>
      <c r="Y778" s="184"/>
      <c r="Z778" s="184"/>
    </row>
    <row r="779" ht="12.75" customHeight="1" spans="1:26">
      <c r="A779" s="184"/>
      <c r="B779" s="185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84"/>
      <c r="V779" s="184"/>
      <c r="W779" s="184"/>
      <c r="X779" s="184"/>
      <c r="Y779" s="184"/>
      <c r="Z779" s="184"/>
    </row>
    <row r="780" ht="12.75" customHeight="1" spans="1:26">
      <c r="A780" s="184"/>
      <c r="B780" s="185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84"/>
      <c r="V780" s="184"/>
      <c r="W780" s="184"/>
      <c r="X780" s="184"/>
      <c r="Y780" s="184"/>
      <c r="Z780" s="184"/>
    </row>
    <row r="781" ht="12.75" customHeight="1" spans="1:26">
      <c r="A781" s="184"/>
      <c r="B781" s="185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84"/>
      <c r="V781" s="184"/>
      <c r="W781" s="184"/>
      <c r="X781" s="184"/>
      <c r="Y781" s="184"/>
      <c r="Z781" s="184"/>
    </row>
    <row r="782" ht="12.75" customHeight="1" spans="1:26">
      <c r="A782" s="184"/>
      <c r="B782" s="185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84"/>
      <c r="V782" s="184"/>
      <c r="W782" s="184"/>
      <c r="X782" s="184"/>
      <c r="Y782" s="184"/>
      <c r="Z782" s="184"/>
    </row>
    <row r="783" ht="12.75" customHeight="1" spans="1:26">
      <c r="A783" s="184"/>
      <c r="B783" s="185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84"/>
      <c r="V783" s="184"/>
      <c r="W783" s="184"/>
      <c r="X783" s="184"/>
      <c r="Y783" s="184"/>
      <c r="Z783" s="184"/>
    </row>
    <row r="784" ht="12.75" customHeight="1" spans="1:26">
      <c r="A784" s="184"/>
      <c r="B784" s="185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84"/>
      <c r="V784" s="184"/>
      <c r="W784" s="184"/>
      <c r="X784" s="184"/>
      <c r="Y784" s="184"/>
      <c r="Z784" s="184"/>
    </row>
    <row r="785" ht="12.75" customHeight="1" spans="1:26">
      <c r="A785" s="184"/>
      <c r="B785" s="185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84"/>
      <c r="V785" s="184"/>
      <c r="W785" s="184"/>
      <c r="X785" s="184"/>
      <c r="Y785" s="184"/>
      <c r="Z785" s="184"/>
    </row>
    <row r="786" ht="12.75" customHeight="1" spans="1:26">
      <c r="A786" s="184"/>
      <c r="B786" s="185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84"/>
      <c r="V786" s="184"/>
      <c r="W786" s="184"/>
      <c r="X786" s="184"/>
      <c r="Y786" s="184"/>
      <c r="Z786" s="184"/>
    </row>
    <row r="787" ht="12.75" customHeight="1" spans="1:26">
      <c r="A787" s="184"/>
      <c r="B787" s="185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84"/>
      <c r="V787" s="184"/>
      <c r="W787" s="184"/>
      <c r="X787" s="184"/>
      <c r="Y787" s="184"/>
      <c r="Z787" s="184"/>
    </row>
    <row r="788" ht="12.75" customHeight="1" spans="1:26">
      <c r="A788" s="184"/>
      <c r="B788" s="185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84"/>
      <c r="V788" s="184"/>
      <c r="W788" s="184"/>
      <c r="X788" s="184"/>
      <c r="Y788" s="184"/>
      <c r="Z788" s="184"/>
    </row>
    <row r="789" ht="12.75" customHeight="1" spans="1:26">
      <c r="A789" s="184"/>
      <c r="B789" s="185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84"/>
      <c r="V789" s="184"/>
      <c r="W789" s="184"/>
      <c r="X789" s="184"/>
      <c r="Y789" s="184"/>
      <c r="Z789" s="184"/>
    </row>
    <row r="790" ht="12.75" customHeight="1" spans="1:26">
      <c r="A790" s="184"/>
      <c r="B790" s="185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84"/>
      <c r="V790" s="184"/>
      <c r="W790" s="184"/>
      <c r="X790" s="184"/>
      <c r="Y790" s="184"/>
      <c r="Z790" s="184"/>
    </row>
    <row r="791" ht="12.75" customHeight="1" spans="1:26">
      <c r="A791" s="184"/>
      <c r="B791" s="185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84"/>
      <c r="V791" s="184"/>
      <c r="W791" s="184"/>
      <c r="X791" s="184"/>
      <c r="Y791" s="184"/>
      <c r="Z791" s="184"/>
    </row>
    <row r="792" ht="12.75" customHeight="1" spans="1:26">
      <c r="A792" s="184"/>
      <c r="B792" s="185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84"/>
      <c r="V792" s="184"/>
      <c r="W792" s="184"/>
      <c r="X792" s="184"/>
      <c r="Y792" s="184"/>
      <c r="Z792" s="184"/>
    </row>
    <row r="793" ht="12.75" customHeight="1" spans="1:26">
      <c r="A793" s="184"/>
      <c r="B793" s="185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84"/>
      <c r="V793" s="184"/>
      <c r="W793" s="184"/>
      <c r="X793" s="184"/>
      <c r="Y793" s="184"/>
      <c r="Z793" s="184"/>
    </row>
    <row r="794" ht="12.75" customHeight="1" spans="1:26">
      <c r="A794" s="184"/>
      <c r="B794" s="185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  <c r="W794" s="184"/>
      <c r="X794" s="184"/>
      <c r="Y794" s="184"/>
      <c r="Z794" s="184"/>
    </row>
    <row r="795" ht="12.75" customHeight="1" spans="1:26">
      <c r="A795" s="184"/>
      <c r="B795" s="185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  <c r="W795" s="184"/>
      <c r="X795" s="184"/>
      <c r="Y795" s="184"/>
      <c r="Z795" s="184"/>
    </row>
    <row r="796" ht="12.75" customHeight="1" spans="1:26">
      <c r="A796" s="184"/>
      <c r="B796" s="185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  <c r="W796" s="184"/>
      <c r="X796" s="184"/>
      <c r="Y796" s="184"/>
      <c r="Z796" s="184"/>
    </row>
    <row r="797" ht="12.75" customHeight="1" spans="1:26">
      <c r="A797" s="184"/>
      <c r="B797" s="185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  <c r="W797" s="184"/>
      <c r="X797" s="184"/>
      <c r="Y797" s="184"/>
      <c r="Z797" s="184"/>
    </row>
    <row r="798" ht="12.75" customHeight="1" spans="1:26">
      <c r="A798" s="184"/>
      <c r="B798" s="185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  <c r="W798" s="184"/>
      <c r="X798" s="184"/>
      <c r="Y798" s="184"/>
      <c r="Z798" s="184"/>
    </row>
    <row r="799" ht="12.75" customHeight="1" spans="1:26">
      <c r="A799" s="184"/>
      <c r="B799" s="185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  <c r="W799" s="184"/>
      <c r="X799" s="184"/>
      <c r="Y799" s="184"/>
      <c r="Z799" s="184"/>
    </row>
    <row r="800" ht="12.75" customHeight="1" spans="1:26">
      <c r="A800" s="184"/>
      <c r="B800" s="185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  <c r="W800" s="184"/>
      <c r="X800" s="184"/>
      <c r="Y800" s="184"/>
      <c r="Z800" s="184"/>
    </row>
    <row r="801" ht="12.75" customHeight="1" spans="1:26">
      <c r="A801" s="184"/>
      <c r="B801" s="185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  <c r="W801" s="184"/>
      <c r="X801" s="184"/>
      <c r="Y801" s="184"/>
      <c r="Z801" s="184"/>
    </row>
    <row r="802" ht="12.75" customHeight="1" spans="1:26">
      <c r="A802" s="184"/>
      <c r="B802" s="185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  <c r="W802" s="184"/>
      <c r="X802" s="184"/>
      <c r="Y802" s="184"/>
      <c r="Z802" s="184"/>
    </row>
    <row r="803" ht="12.75" customHeight="1" spans="1:26">
      <c r="A803" s="184"/>
      <c r="B803" s="185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  <c r="W803" s="184"/>
      <c r="X803" s="184"/>
      <c r="Y803" s="184"/>
      <c r="Z803" s="184"/>
    </row>
    <row r="804" ht="12.75" customHeight="1" spans="1:26">
      <c r="A804" s="184"/>
      <c r="B804" s="185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  <c r="W804" s="184"/>
      <c r="X804" s="184"/>
      <c r="Y804" s="184"/>
      <c r="Z804" s="184"/>
    </row>
    <row r="805" ht="12.75" customHeight="1" spans="1:26">
      <c r="A805" s="184"/>
      <c r="B805" s="185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  <c r="W805" s="184"/>
      <c r="X805" s="184"/>
      <c r="Y805" s="184"/>
      <c r="Z805" s="184"/>
    </row>
    <row r="806" ht="12.75" customHeight="1" spans="1:26">
      <c r="A806" s="184"/>
      <c r="B806" s="185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  <c r="W806" s="184"/>
      <c r="X806" s="184"/>
      <c r="Y806" s="184"/>
      <c r="Z806" s="184"/>
    </row>
    <row r="807" ht="12.75" customHeight="1" spans="1:26">
      <c r="A807" s="184"/>
      <c r="B807" s="185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  <c r="W807" s="184"/>
      <c r="X807" s="184"/>
      <c r="Y807" s="184"/>
      <c r="Z807" s="184"/>
    </row>
    <row r="808" ht="12.75" customHeight="1" spans="1:26">
      <c r="A808" s="184"/>
      <c r="B808" s="185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  <c r="W808" s="184"/>
      <c r="X808" s="184"/>
      <c r="Y808" s="184"/>
      <c r="Z808" s="184"/>
    </row>
    <row r="809" ht="12.75" customHeight="1" spans="1:26">
      <c r="A809" s="184"/>
      <c r="B809" s="185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  <c r="W809" s="184"/>
      <c r="X809" s="184"/>
      <c r="Y809" s="184"/>
      <c r="Z809" s="184"/>
    </row>
    <row r="810" ht="12.75" customHeight="1" spans="1:26">
      <c r="A810" s="184"/>
      <c r="B810" s="185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  <c r="W810" s="184"/>
      <c r="X810" s="184"/>
      <c r="Y810" s="184"/>
      <c r="Z810" s="184"/>
    </row>
    <row r="811" ht="12.75" customHeight="1" spans="1:26">
      <c r="A811" s="184"/>
      <c r="B811" s="185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  <c r="W811" s="184"/>
      <c r="X811" s="184"/>
      <c r="Y811" s="184"/>
      <c r="Z811" s="184"/>
    </row>
    <row r="812" ht="12.75" customHeight="1" spans="1:26">
      <c r="A812" s="184"/>
      <c r="B812" s="185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  <c r="W812" s="184"/>
      <c r="X812" s="184"/>
      <c r="Y812" s="184"/>
      <c r="Z812" s="184"/>
    </row>
    <row r="813" ht="12.75" customHeight="1" spans="1:26">
      <c r="A813" s="184"/>
      <c r="B813" s="185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  <c r="W813" s="184"/>
      <c r="X813" s="184"/>
      <c r="Y813" s="184"/>
      <c r="Z813" s="184"/>
    </row>
    <row r="814" ht="12.75" customHeight="1" spans="1:26">
      <c r="A814" s="184"/>
      <c r="B814" s="185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  <c r="W814" s="184"/>
      <c r="X814" s="184"/>
      <c r="Y814" s="184"/>
      <c r="Z814" s="184"/>
    </row>
    <row r="815" ht="12.75" customHeight="1" spans="1:26">
      <c r="A815" s="184"/>
      <c r="B815" s="185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  <c r="W815" s="184"/>
      <c r="X815" s="184"/>
      <c r="Y815" s="184"/>
      <c r="Z815" s="184"/>
    </row>
    <row r="816" ht="12.75" customHeight="1" spans="1:26">
      <c r="A816" s="184"/>
      <c r="B816" s="185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  <c r="W816" s="184"/>
      <c r="X816" s="184"/>
      <c r="Y816" s="184"/>
      <c r="Z816" s="184"/>
    </row>
    <row r="817" ht="12.75" customHeight="1" spans="1:26">
      <c r="A817" s="184"/>
      <c r="B817" s="185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  <c r="W817" s="184"/>
      <c r="X817" s="184"/>
      <c r="Y817" s="184"/>
      <c r="Z817" s="184"/>
    </row>
    <row r="818" ht="12.75" customHeight="1" spans="1:26">
      <c r="A818" s="184"/>
      <c r="B818" s="185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84"/>
      <c r="V818" s="184"/>
      <c r="W818" s="184"/>
      <c r="X818" s="184"/>
      <c r="Y818" s="184"/>
      <c r="Z818" s="184"/>
    </row>
    <row r="819" ht="12.75" customHeight="1" spans="1:26">
      <c r="A819" s="184"/>
      <c r="B819" s="185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84"/>
      <c r="V819" s="184"/>
      <c r="W819" s="184"/>
      <c r="X819" s="184"/>
      <c r="Y819" s="184"/>
      <c r="Z819" s="184"/>
    </row>
    <row r="820" ht="12.75" customHeight="1" spans="1:26">
      <c r="A820" s="184"/>
      <c r="B820" s="185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84"/>
      <c r="V820" s="184"/>
      <c r="W820" s="184"/>
      <c r="X820" s="184"/>
      <c r="Y820" s="184"/>
      <c r="Z820" s="184"/>
    </row>
    <row r="821" ht="12.75" customHeight="1" spans="1:26">
      <c r="A821" s="184"/>
      <c r="B821" s="185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84"/>
      <c r="V821" s="184"/>
      <c r="W821" s="184"/>
      <c r="X821" s="184"/>
      <c r="Y821" s="184"/>
      <c r="Z821" s="184"/>
    </row>
    <row r="822" ht="12.75" customHeight="1" spans="1:26">
      <c r="A822" s="184"/>
      <c r="B822" s="185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84"/>
      <c r="V822" s="184"/>
      <c r="W822" s="184"/>
      <c r="X822" s="184"/>
      <c r="Y822" s="184"/>
      <c r="Z822" s="184"/>
    </row>
    <row r="823" ht="12.75" customHeight="1" spans="1:26">
      <c r="A823" s="184"/>
      <c r="B823" s="185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84"/>
      <c r="V823" s="184"/>
      <c r="W823" s="184"/>
      <c r="X823" s="184"/>
      <c r="Y823" s="184"/>
      <c r="Z823" s="184"/>
    </row>
    <row r="824" ht="12.75" customHeight="1" spans="1:26">
      <c r="A824" s="184"/>
      <c r="B824" s="185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84"/>
      <c r="V824" s="184"/>
      <c r="W824" s="184"/>
      <c r="X824" s="184"/>
      <c r="Y824" s="184"/>
      <c r="Z824" s="184"/>
    </row>
    <row r="825" ht="12.75" customHeight="1" spans="1:26">
      <c r="A825" s="184"/>
      <c r="B825" s="185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84"/>
      <c r="V825" s="184"/>
      <c r="W825" s="184"/>
      <c r="X825" s="184"/>
      <c r="Y825" s="184"/>
      <c r="Z825" s="184"/>
    </row>
    <row r="826" ht="12.75" customHeight="1" spans="1:26">
      <c r="A826" s="184"/>
      <c r="B826" s="185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84"/>
      <c r="V826" s="184"/>
      <c r="W826" s="184"/>
      <c r="X826" s="184"/>
      <c r="Y826" s="184"/>
      <c r="Z826" s="184"/>
    </row>
    <row r="827" ht="12.75" customHeight="1" spans="1:26">
      <c r="A827" s="184"/>
      <c r="B827" s="185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84"/>
      <c r="V827" s="184"/>
      <c r="W827" s="184"/>
      <c r="X827" s="184"/>
      <c r="Y827" s="184"/>
      <c r="Z827" s="184"/>
    </row>
    <row r="828" ht="12.75" customHeight="1" spans="1:26">
      <c r="A828" s="184"/>
      <c r="B828" s="185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84"/>
      <c r="V828" s="184"/>
      <c r="W828" s="184"/>
      <c r="X828" s="184"/>
      <c r="Y828" s="184"/>
      <c r="Z828" s="184"/>
    </row>
    <row r="829" ht="12.75" customHeight="1" spans="1:26">
      <c r="A829" s="184"/>
      <c r="B829" s="185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84"/>
      <c r="V829" s="184"/>
      <c r="W829" s="184"/>
      <c r="X829" s="184"/>
      <c r="Y829" s="184"/>
      <c r="Z829" s="184"/>
    </row>
    <row r="830" ht="12.75" customHeight="1" spans="1:26">
      <c r="A830" s="184"/>
      <c r="B830" s="185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84"/>
      <c r="V830" s="184"/>
      <c r="W830" s="184"/>
      <c r="X830" s="184"/>
      <c r="Y830" s="184"/>
      <c r="Z830" s="184"/>
    </row>
    <row r="831" ht="12.75" customHeight="1" spans="1:26">
      <c r="A831" s="184"/>
      <c r="B831" s="185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84"/>
      <c r="V831" s="184"/>
      <c r="W831" s="184"/>
      <c r="X831" s="184"/>
      <c r="Y831" s="184"/>
      <c r="Z831" s="184"/>
    </row>
    <row r="832" ht="12.75" customHeight="1" spans="1:26">
      <c r="A832" s="184"/>
      <c r="B832" s="185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84"/>
      <c r="V832" s="184"/>
      <c r="W832" s="184"/>
      <c r="X832" s="184"/>
      <c r="Y832" s="184"/>
      <c r="Z832" s="184"/>
    </row>
    <row r="833" ht="12.75" customHeight="1" spans="1:26">
      <c r="A833" s="184"/>
      <c r="B833" s="185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84"/>
      <c r="V833" s="184"/>
      <c r="W833" s="184"/>
      <c r="X833" s="184"/>
      <c r="Y833" s="184"/>
      <c r="Z833" s="184"/>
    </row>
    <row r="834" ht="12.75" customHeight="1" spans="1:26">
      <c r="A834" s="184"/>
      <c r="B834" s="185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84"/>
      <c r="V834" s="184"/>
      <c r="W834" s="184"/>
      <c r="X834" s="184"/>
      <c r="Y834" s="184"/>
      <c r="Z834" s="184"/>
    </row>
    <row r="835" ht="12.75" customHeight="1" spans="1:26">
      <c r="A835" s="184"/>
      <c r="B835" s="185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84"/>
      <c r="V835" s="184"/>
      <c r="W835" s="184"/>
      <c r="X835" s="184"/>
      <c r="Y835" s="184"/>
      <c r="Z835" s="184"/>
    </row>
    <row r="836" ht="12.75" customHeight="1" spans="1:26">
      <c r="A836" s="184"/>
      <c r="B836" s="185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84"/>
      <c r="V836" s="184"/>
      <c r="W836" s="184"/>
      <c r="X836" s="184"/>
      <c r="Y836" s="184"/>
      <c r="Z836" s="184"/>
    </row>
    <row r="837" ht="12.75" customHeight="1" spans="1:26">
      <c r="A837" s="184"/>
      <c r="B837" s="185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84"/>
      <c r="V837" s="184"/>
      <c r="W837" s="184"/>
      <c r="X837" s="184"/>
      <c r="Y837" s="184"/>
      <c r="Z837" s="184"/>
    </row>
    <row r="838" ht="12.75" customHeight="1" spans="1:26">
      <c r="A838" s="184"/>
      <c r="B838" s="185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84"/>
      <c r="V838" s="184"/>
      <c r="W838" s="184"/>
      <c r="X838" s="184"/>
      <c r="Y838" s="184"/>
      <c r="Z838" s="184"/>
    </row>
    <row r="839" ht="12.75" customHeight="1" spans="1:26">
      <c r="A839" s="184"/>
      <c r="B839" s="185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84"/>
      <c r="V839" s="184"/>
      <c r="W839" s="184"/>
      <c r="X839" s="184"/>
      <c r="Y839" s="184"/>
      <c r="Z839" s="184"/>
    </row>
    <row r="840" ht="12.75" customHeight="1" spans="1:26">
      <c r="A840" s="184"/>
      <c r="B840" s="185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84"/>
      <c r="V840" s="184"/>
      <c r="W840" s="184"/>
      <c r="X840" s="184"/>
      <c r="Y840" s="184"/>
      <c r="Z840" s="184"/>
    </row>
    <row r="841" ht="12.75" customHeight="1" spans="1:26">
      <c r="A841" s="184"/>
      <c r="B841" s="185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84"/>
      <c r="V841" s="184"/>
      <c r="W841" s="184"/>
      <c r="X841" s="184"/>
      <c r="Y841" s="184"/>
      <c r="Z841" s="184"/>
    </row>
    <row r="842" ht="12.75" customHeight="1" spans="1:26">
      <c r="A842" s="184"/>
      <c r="B842" s="185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84"/>
      <c r="V842" s="184"/>
      <c r="W842" s="184"/>
      <c r="X842" s="184"/>
      <c r="Y842" s="184"/>
      <c r="Z842" s="184"/>
    </row>
    <row r="843" ht="12.75" customHeight="1" spans="1:26">
      <c r="A843" s="184"/>
      <c r="B843" s="185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84"/>
      <c r="V843" s="184"/>
      <c r="W843" s="184"/>
      <c r="X843" s="184"/>
      <c r="Y843" s="184"/>
      <c r="Z843" s="184"/>
    </row>
    <row r="844" ht="12.75" customHeight="1" spans="1:26">
      <c r="A844" s="184"/>
      <c r="B844" s="185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84"/>
      <c r="V844" s="184"/>
      <c r="W844" s="184"/>
      <c r="X844" s="184"/>
      <c r="Y844" s="184"/>
      <c r="Z844" s="184"/>
    </row>
    <row r="845" ht="12.75" customHeight="1" spans="1:26">
      <c r="A845" s="184"/>
      <c r="B845" s="185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84"/>
      <c r="V845" s="184"/>
      <c r="W845" s="184"/>
      <c r="X845" s="184"/>
      <c r="Y845" s="184"/>
      <c r="Z845" s="184"/>
    </row>
    <row r="846" ht="12.75" customHeight="1" spans="1:26">
      <c r="A846" s="184"/>
      <c r="B846" s="185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84"/>
      <c r="V846" s="184"/>
      <c r="W846" s="184"/>
      <c r="X846" s="184"/>
      <c r="Y846" s="184"/>
      <c r="Z846" s="184"/>
    </row>
    <row r="847" ht="12.75" customHeight="1" spans="1:26">
      <c r="A847" s="184"/>
      <c r="B847" s="185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84"/>
      <c r="V847" s="184"/>
      <c r="W847" s="184"/>
      <c r="X847" s="184"/>
      <c r="Y847" s="184"/>
      <c r="Z847" s="184"/>
    </row>
    <row r="848" ht="12.75" customHeight="1" spans="1:26">
      <c r="A848" s="184"/>
      <c r="B848" s="185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84"/>
      <c r="V848" s="184"/>
      <c r="W848" s="184"/>
      <c r="X848" s="184"/>
      <c r="Y848" s="184"/>
      <c r="Z848" s="184"/>
    </row>
    <row r="849" ht="12.75" customHeight="1" spans="1:26">
      <c r="A849" s="184"/>
      <c r="B849" s="185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84"/>
      <c r="V849" s="184"/>
      <c r="W849" s="184"/>
      <c r="X849" s="184"/>
      <c r="Y849" s="184"/>
      <c r="Z849" s="184"/>
    </row>
    <row r="850" ht="12.75" customHeight="1" spans="1:26">
      <c r="A850" s="184"/>
      <c r="B850" s="185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84"/>
      <c r="V850" s="184"/>
      <c r="W850" s="184"/>
      <c r="X850" s="184"/>
      <c r="Y850" s="184"/>
      <c r="Z850" s="184"/>
    </row>
    <row r="851" ht="12.75" customHeight="1" spans="1:26">
      <c r="A851" s="184"/>
      <c r="B851" s="185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84"/>
      <c r="V851" s="184"/>
      <c r="W851" s="184"/>
      <c r="X851" s="184"/>
      <c r="Y851" s="184"/>
      <c r="Z851" s="184"/>
    </row>
    <row r="852" ht="12.75" customHeight="1" spans="1:26">
      <c r="A852" s="184"/>
      <c r="B852" s="185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84"/>
      <c r="V852" s="184"/>
      <c r="W852" s="184"/>
      <c r="X852" s="184"/>
      <c r="Y852" s="184"/>
      <c r="Z852" s="184"/>
    </row>
    <row r="853" ht="12.75" customHeight="1" spans="1:26">
      <c r="A853" s="184"/>
      <c r="B853" s="185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84"/>
      <c r="V853" s="184"/>
      <c r="W853" s="184"/>
      <c r="X853" s="184"/>
      <c r="Y853" s="184"/>
      <c r="Z853" s="184"/>
    </row>
    <row r="854" ht="12.75" customHeight="1" spans="1:26">
      <c r="A854" s="184"/>
      <c r="B854" s="185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84"/>
      <c r="V854" s="184"/>
      <c r="W854" s="184"/>
      <c r="X854" s="184"/>
      <c r="Y854" s="184"/>
      <c r="Z854" s="184"/>
    </row>
    <row r="855" ht="12.75" customHeight="1" spans="1:26">
      <c r="A855" s="184"/>
      <c r="B855" s="185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84"/>
      <c r="V855" s="184"/>
      <c r="W855" s="184"/>
      <c r="X855" s="184"/>
      <c r="Y855" s="184"/>
      <c r="Z855" s="184"/>
    </row>
    <row r="856" ht="12.75" customHeight="1" spans="1:26">
      <c r="A856" s="184"/>
      <c r="B856" s="185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84"/>
      <c r="V856" s="184"/>
      <c r="W856" s="184"/>
      <c r="X856" s="184"/>
      <c r="Y856" s="184"/>
      <c r="Z856" s="184"/>
    </row>
    <row r="857" ht="12.75" customHeight="1" spans="1:26">
      <c r="A857" s="184"/>
      <c r="B857" s="185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84"/>
      <c r="V857" s="184"/>
      <c r="W857" s="184"/>
      <c r="X857" s="184"/>
      <c r="Y857" s="184"/>
      <c r="Z857" s="184"/>
    </row>
    <row r="858" ht="12.75" customHeight="1" spans="1:26">
      <c r="A858" s="184"/>
      <c r="B858" s="185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84"/>
      <c r="V858" s="184"/>
      <c r="W858" s="184"/>
      <c r="X858" s="184"/>
      <c r="Y858" s="184"/>
      <c r="Z858" s="184"/>
    </row>
    <row r="859" ht="12.75" customHeight="1" spans="1:26">
      <c r="A859" s="184"/>
      <c r="B859" s="185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84"/>
      <c r="V859" s="184"/>
      <c r="W859" s="184"/>
      <c r="X859" s="184"/>
      <c r="Y859" s="184"/>
      <c r="Z859" s="184"/>
    </row>
    <row r="860" ht="12.75" customHeight="1" spans="1:26">
      <c r="A860" s="184"/>
      <c r="B860" s="185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84"/>
      <c r="V860" s="184"/>
      <c r="W860" s="184"/>
      <c r="X860" s="184"/>
      <c r="Y860" s="184"/>
      <c r="Z860" s="184"/>
    </row>
    <row r="861" ht="12.75" customHeight="1" spans="1:26">
      <c r="A861" s="184"/>
      <c r="B861" s="185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84"/>
      <c r="V861" s="184"/>
      <c r="W861" s="184"/>
      <c r="X861" s="184"/>
      <c r="Y861" s="184"/>
      <c r="Z861" s="184"/>
    </row>
    <row r="862" ht="12.75" customHeight="1" spans="1:26">
      <c r="A862" s="184"/>
      <c r="B862" s="185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84"/>
      <c r="V862" s="184"/>
      <c r="W862" s="184"/>
      <c r="X862" s="184"/>
      <c r="Y862" s="184"/>
      <c r="Z862" s="184"/>
    </row>
    <row r="863" ht="12.75" customHeight="1" spans="1:26">
      <c r="A863" s="184"/>
      <c r="B863" s="185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84"/>
      <c r="V863" s="184"/>
      <c r="W863" s="184"/>
      <c r="X863" s="184"/>
      <c r="Y863" s="184"/>
      <c r="Z863" s="184"/>
    </row>
    <row r="864" ht="12.75" customHeight="1" spans="1:26">
      <c r="A864" s="184"/>
      <c r="B864" s="185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84"/>
      <c r="V864" s="184"/>
      <c r="W864" s="184"/>
      <c r="X864" s="184"/>
      <c r="Y864" s="184"/>
      <c r="Z864" s="184"/>
    </row>
    <row r="865" ht="12.75" customHeight="1" spans="1:26">
      <c r="A865" s="184"/>
      <c r="B865" s="185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84"/>
      <c r="V865" s="184"/>
      <c r="W865" s="184"/>
      <c r="X865" s="184"/>
      <c r="Y865" s="184"/>
      <c r="Z865" s="184"/>
    </row>
    <row r="866" ht="12.75" customHeight="1" spans="1:26">
      <c r="A866" s="184"/>
      <c r="B866" s="185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84"/>
      <c r="V866" s="184"/>
      <c r="W866" s="184"/>
      <c r="X866" s="184"/>
      <c r="Y866" s="184"/>
      <c r="Z866" s="184"/>
    </row>
    <row r="867" ht="12.75" customHeight="1" spans="1:26">
      <c r="A867" s="184"/>
      <c r="B867" s="185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84"/>
      <c r="V867" s="184"/>
      <c r="W867" s="184"/>
      <c r="X867" s="184"/>
      <c r="Y867" s="184"/>
      <c r="Z867" s="184"/>
    </row>
    <row r="868" ht="12.75" customHeight="1" spans="1:26">
      <c r="A868" s="184"/>
      <c r="B868" s="185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84"/>
      <c r="V868" s="184"/>
      <c r="W868" s="184"/>
      <c r="X868" s="184"/>
      <c r="Y868" s="184"/>
      <c r="Z868" s="184"/>
    </row>
    <row r="869" ht="12.75" customHeight="1" spans="1:26">
      <c r="A869" s="184"/>
      <c r="B869" s="185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84"/>
      <c r="V869" s="184"/>
      <c r="W869" s="184"/>
      <c r="X869" s="184"/>
      <c r="Y869" s="184"/>
      <c r="Z869" s="184"/>
    </row>
    <row r="870" ht="12.75" customHeight="1" spans="1:26">
      <c r="A870" s="184"/>
      <c r="B870" s="185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84"/>
      <c r="V870" s="184"/>
      <c r="W870" s="184"/>
      <c r="X870" s="184"/>
      <c r="Y870" s="184"/>
      <c r="Z870" s="184"/>
    </row>
    <row r="871" ht="12.75" customHeight="1" spans="1:26">
      <c r="A871" s="184"/>
      <c r="B871" s="185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84"/>
      <c r="V871" s="184"/>
      <c r="W871" s="184"/>
      <c r="X871" s="184"/>
      <c r="Y871" s="184"/>
      <c r="Z871" s="184"/>
    </row>
    <row r="872" ht="12.75" customHeight="1" spans="1:26">
      <c r="A872" s="184"/>
      <c r="B872" s="185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84"/>
      <c r="V872" s="184"/>
      <c r="W872" s="184"/>
      <c r="X872" s="184"/>
      <c r="Y872" s="184"/>
      <c r="Z872" s="184"/>
    </row>
    <row r="873" ht="12.75" customHeight="1" spans="1:26">
      <c r="A873" s="184"/>
      <c r="B873" s="185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84"/>
      <c r="V873" s="184"/>
      <c r="W873" s="184"/>
      <c r="X873" s="184"/>
      <c r="Y873" s="184"/>
      <c r="Z873" s="184"/>
    </row>
    <row r="874" ht="12.75" customHeight="1" spans="1:26">
      <c r="A874" s="184"/>
      <c r="B874" s="185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84"/>
      <c r="V874" s="184"/>
      <c r="W874" s="184"/>
      <c r="X874" s="184"/>
      <c r="Y874" s="184"/>
      <c r="Z874" s="184"/>
    </row>
    <row r="875" ht="12.75" customHeight="1" spans="1:26">
      <c r="A875" s="184"/>
      <c r="B875" s="185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84"/>
      <c r="V875" s="184"/>
      <c r="W875" s="184"/>
      <c r="X875" s="184"/>
      <c r="Y875" s="184"/>
      <c r="Z875" s="184"/>
    </row>
    <row r="876" ht="12.75" customHeight="1" spans="1:26">
      <c r="A876" s="184"/>
      <c r="B876" s="185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84"/>
      <c r="V876" s="184"/>
      <c r="W876" s="184"/>
      <c r="X876" s="184"/>
      <c r="Y876" s="184"/>
      <c r="Z876" s="184"/>
    </row>
    <row r="877" ht="12.75" customHeight="1" spans="1:26">
      <c r="A877" s="184"/>
      <c r="B877" s="185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84"/>
      <c r="V877" s="184"/>
      <c r="W877" s="184"/>
      <c r="X877" s="184"/>
      <c r="Y877" s="184"/>
      <c r="Z877" s="184"/>
    </row>
    <row r="878" ht="12.75" customHeight="1" spans="1:26">
      <c r="A878" s="184"/>
      <c r="B878" s="185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84"/>
      <c r="V878" s="184"/>
      <c r="W878" s="184"/>
      <c r="X878" s="184"/>
      <c r="Y878" s="184"/>
      <c r="Z878" s="184"/>
    </row>
    <row r="879" ht="12.75" customHeight="1" spans="1:26">
      <c r="A879" s="184"/>
      <c r="B879" s="185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84"/>
      <c r="V879" s="184"/>
      <c r="W879" s="184"/>
      <c r="X879" s="184"/>
      <c r="Y879" s="184"/>
      <c r="Z879" s="184"/>
    </row>
    <row r="880" ht="12.75" customHeight="1" spans="1:26">
      <c r="A880" s="184"/>
      <c r="B880" s="185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84"/>
      <c r="V880" s="184"/>
      <c r="W880" s="184"/>
      <c r="X880" s="184"/>
      <c r="Y880" s="184"/>
      <c r="Z880" s="184"/>
    </row>
    <row r="881" ht="12.75" customHeight="1" spans="1:26">
      <c r="A881" s="184"/>
      <c r="B881" s="185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84"/>
      <c r="V881" s="184"/>
      <c r="W881" s="184"/>
      <c r="X881" s="184"/>
      <c r="Y881" s="184"/>
      <c r="Z881" s="184"/>
    </row>
    <row r="882" ht="12.75" customHeight="1" spans="1:26">
      <c r="A882" s="184"/>
      <c r="B882" s="185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84"/>
      <c r="V882" s="184"/>
      <c r="W882" s="184"/>
      <c r="X882" s="184"/>
      <c r="Y882" s="184"/>
      <c r="Z882" s="184"/>
    </row>
    <row r="883" ht="12.75" customHeight="1" spans="1:26">
      <c r="A883" s="184"/>
      <c r="B883" s="185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84"/>
      <c r="V883" s="184"/>
      <c r="W883" s="184"/>
      <c r="X883" s="184"/>
      <c r="Y883" s="184"/>
      <c r="Z883" s="184"/>
    </row>
    <row r="884" ht="12.75" customHeight="1" spans="1:26">
      <c r="A884" s="184"/>
      <c r="B884" s="185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84"/>
      <c r="V884" s="184"/>
      <c r="W884" s="184"/>
      <c r="X884" s="184"/>
      <c r="Y884" s="184"/>
      <c r="Z884" s="184"/>
    </row>
    <row r="885" ht="12.75" customHeight="1" spans="1:26">
      <c r="A885" s="184"/>
      <c r="B885" s="185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84"/>
      <c r="V885" s="184"/>
      <c r="W885" s="184"/>
      <c r="X885" s="184"/>
      <c r="Y885" s="184"/>
      <c r="Z885" s="184"/>
    </row>
    <row r="886" ht="12.75" customHeight="1" spans="1:26">
      <c r="A886" s="184"/>
      <c r="B886" s="185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84"/>
      <c r="V886" s="184"/>
      <c r="W886" s="184"/>
      <c r="X886" s="184"/>
      <c r="Y886" s="184"/>
      <c r="Z886" s="184"/>
    </row>
    <row r="887" ht="12.75" customHeight="1" spans="1:26">
      <c r="A887" s="184"/>
      <c r="B887" s="185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84"/>
      <c r="V887" s="184"/>
      <c r="W887" s="184"/>
      <c r="X887" s="184"/>
      <c r="Y887" s="184"/>
      <c r="Z887" s="184"/>
    </row>
    <row r="888" ht="12.75" customHeight="1" spans="1:26">
      <c r="A888" s="184"/>
      <c r="B888" s="185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84"/>
      <c r="V888" s="184"/>
      <c r="W888" s="184"/>
      <c r="X888" s="184"/>
      <c r="Y888" s="184"/>
      <c r="Z888" s="184"/>
    </row>
    <row r="889" ht="12.75" customHeight="1" spans="1:26">
      <c r="A889" s="184"/>
      <c r="B889" s="185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84"/>
      <c r="V889" s="184"/>
      <c r="W889" s="184"/>
      <c r="X889" s="184"/>
      <c r="Y889" s="184"/>
      <c r="Z889" s="184"/>
    </row>
    <row r="890" ht="12.75" customHeight="1" spans="1:26">
      <c r="A890" s="184"/>
      <c r="B890" s="185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84"/>
      <c r="V890" s="184"/>
      <c r="W890" s="184"/>
      <c r="X890" s="184"/>
      <c r="Y890" s="184"/>
      <c r="Z890" s="184"/>
    </row>
    <row r="891" ht="12.75" customHeight="1" spans="1:26">
      <c r="A891" s="184"/>
      <c r="B891" s="185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84"/>
      <c r="V891" s="184"/>
      <c r="W891" s="184"/>
      <c r="X891" s="184"/>
      <c r="Y891" s="184"/>
      <c r="Z891" s="184"/>
    </row>
    <row r="892" ht="12.75" customHeight="1" spans="1:26">
      <c r="A892" s="184"/>
      <c r="B892" s="185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84"/>
      <c r="V892" s="184"/>
      <c r="W892" s="184"/>
      <c r="X892" s="184"/>
      <c r="Y892" s="184"/>
      <c r="Z892" s="184"/>
    </row>
    <row r="893" ht="12.75" customHeight="1" spans="1:26">
      <c r="A893" s="184"/>
      <c r="B893" s="185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84"/>
      <c r="V893" s="184"/>
      <c r="W893" s="184"/>
      <c r="X893" s="184"/>
      <c r="Y893" s="184"/>
      <c r="Z893" s="184"/>
    </row>
    <row r="894" ht="12.75" customHeight="1" spans="1:26">
      <c r="A894" s="184"/>
      <c r="B894" s="185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84"/>
      <c r="V894" s="184"/>
      <c r="W894" s="184"/>
      <c r="X894" s="184"/>
      <c r="Y894" s="184"/>
      <c r="Z894" s="184"/>
    </row>
    <row r="895" ht="12.75" customHeight="1" spans="1:26">
      <c r="A895" s="184"/>
      <c r="B895" s="185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84"/>
      <c r="V895" s="184"/>
      <c r="W895" s="184"/>
      <c r="X895" s="184"/>
      <c r="Y895" s="184"/>
      <c r="Z895" s="184"/>
    </row>
    <row r="896" ht="12.75" customHeight="1" spans="1:26">
      <c r="A896" s="184"/>
      <c r="B896" s="185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84"/>
      <c r="V896" s="184"/>
      <c r="W896" s="184"/>
      <c r="X896" s="184"/>
      <c r="Y896" s="184"/>
      <c r="Z896" s="184"/>
    </row>
    <row r="897" ht="12.75" customHeight="1" spans="1:26">
      <c r="A897" s="184"/>
      <c r="B897" s="185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84"/>
      <c r="V897" s="184"/>
      <c r="W897" s="184"/>
      <c r="X897" s="184"/>
      <c r="Y897" s="184"/>
      <c r="Z897" s="184"/>
    </row>
    <row r="898" ht="12.75" customHeight="1" spans="1:26">
      <c r="A898" s="184"/>
      <c r="B898" s="185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84"/>
      <c r="V898" s="184"/>
      <c r="W898" s="184"/>
      <c r="X898" s="184"/>
      <c r="Y898" s="184"/>
      <c r="Z898" s="184"/>
    </row>
    <row r="899" ht="12.75" customHeight="1" spans="1:26">
      <c r="A899" s="184"/>
      <c r="B899" s="185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84"/>
      <c r="V899" s="184"/>
      <c r="W899" s="184"/>
      <c r="X899" s="184"/>
      <c r="Y899" s="184"/>
      <c r="Z899" s="184"/>
    </row>
    <row r="900" ht="12.75" customHeight="1" spans="1:26">
      <c r="A900" s="184"/>
      <c r="B900" s="185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84"/>
      <c r="V900" s="184"/>
      <c r="W900" s="184"/>
      <c r="X900" s="184"/>
      <c r="Y900" s="184"/>
      <c r="Z900" s="184"/>
    </row>
    <row r="901" ht="12.75" customHeight="1" spans="1:26">
      <c r="A901" s="184"/>
      <c r="B901" s="185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84"/>
      <c r="V901" s="184"/>
      <c r="W901" s="184"/>
      <c r="X901" s="184"/>
      <c r="Y901" s="184"/>
      <c r="Z901" s="184"/>
    </row>
    <row r="902" ht="12.75" customHeight="1" spans="1:26">
      <c r="A902" s="184"/>
      <c r="B902" s="185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84"/>
      <c r="V902" s="184"/>
      <c r="W902" s="184"/>
      <c r="X902" s="184"/>
      <c r="Y902" s="184"/>
      <c r="Z902" s="184"/>
    </row>
    <row r="903" ht="12.75" customHeight="1" spans="1:26">
      <c r="A903" s="184"/>
      <c r="B903" s="185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84"/>
      <c r="V903" s="184"/>
      <c r="W903" s="184"/>
      <c r="X903" s="184"/>
      <c r="Y903" s="184"/>
      <c r="Z903" s="184"/>
    </row>
    <row r="904" ht="12.75" customHeight="1" spans="1:26">
      <c r="A904" s="184"/>
      <c r="B904" s="185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84"/>
      <c r="V904" s="184"/>
      <c r="W904" s="184"/>
      <c r="X904" s="184"/>
      <c r="Y904" s="184"/>
      <c r="Z904" s="184"/>
    </row>
    <row r="905" ht="12.75" customHeight="1" spans="1:26">
      <c r="A905" s="184"/>
      <c r="B905" s="185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84"/>
      <c r="V905" s="184"/>
      <c r="W905" s="184"/>
      <c r="X905" s="184"/>
      <c r="Y905" s="184"/>
      <c r="Z905" s="184"/>
    </row>
    <row r="906" ht="12.75" customHeight="1" spans="1:26">
      <c r="A906" s="184"/>
      <c r="B906" s="185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84"/>
      <c r="V906" s="184"/>
      <c r="W906" s="184"/>
      <c r="X906" s="184"/>
      <c r="Y906" s="184"/>
      <c r="Z906" s="184"/>
    </row>
    <row r="907" ht="12.75" customHeight="1" spans="1:26">
      <c r="A907" s="184"/>
      <c r="B907" s="185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84"/>
      <c r="V907" s="184"/>
      <c r="W907" s="184"/>
      <c r="X907" s="184"/>
      <c r="Y907" s="184"/>
      <c r="Z907" s="184"/>
    </row>
    <row r="908" ht="12.75" customHeight="1" spans="1:26">
      <c r="A908" s="184"/>
      <c r="B908" s="185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84"/>
      <c r="V908" s="184"/>
      <c r="W908" s="184"/>
      <c r="X908" s="184"/>
      <c r="Y908" s="184"/>
      <c r="Z908" s="184"/>
    </row>
    <row r="909" ht="12.75" customHeight="1" spans="1:26">
      <c r="A909" s="184"/>
      <c r="B909" s="185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84"/>
      <c r="V909" s="184"/>
      <c r="W909" s="184"/>
      <c r="X909" s="184"/>
      <c r="Y909" s="184"/>
      <c r="Z909" s="184"/>
    </row>
    <row r="910" ht="12.75" customHeight="1" spans="1:26">
      <c r="A910" s="184"/>
      <c r="B910" s="185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84"/>
      <c r="V910" s="184"/>
      <c r="W910" s="184"/>
      <c r="X910" s="184"/>
      <c r="Y910" s="184"/>
      <c r="Z910" s="184"/>
    </row>
    <row r="911" ht="12.75" customHeight="1" spans="1:26">
      <c r="A911" s="184"/>
      <c r="B911" s="185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84"/>
      <c r="V911" s="184"/>
      <c r="W911" s="184"/>
      <c r="X911" s="184"/>
      <c r="Y911" s="184"/>
      <c r="Z911" s="184"/>
    </row>
    <row r="912" ht="12.75" customHeight="1" spans="1:26">
      <c r="A912" s="184"/>
      <c r="B912" s="185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84"/>
      <c r="V912" s="184"/>
      <c r="W912" s="184"/>
      <c r="X912" s="184"/>
      <c r="Y912" s="184"/>
      <c r="Z912" s="184"/>
    </row>
    <row r="913" ht="12.75" customHeight="1" spans="1:26">
      <c r="A913" s="184"/>
      <c r="B913" s="185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84"/>
      <c r="V913" s="184"/>
      <c r="W913" s="184"/>
      <c r="X913" s="184"/>
      <c r="Y913" s="184"/>
      <c r="Z913" s="184"/>
    </row>
    <row r="914" ht="12.75" customHeight="1" spans="1:26">
      <c r="A914" s="184"/>
      <c r="B914" s="185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84"/>
      <c r="V914" s="184"/>
      <c r="W914" s="184"/>
      <c r="X914" s="184"/>
      <c r="Y914" s="184"/>
      <c r="Z914" s="184"/>
    </row>
    <row r="915" ht="12.75" customHeight="1" spans="1:26">
      <c r="A915" s="184"/>
      <c r="B915" s="185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84"/>
      <c r="V915" s="184"/>
      <c r="W915" s="184"/>
      <c r="X915" s="184"/>
      <c r="Y915" s="184"/>
      <c r="Z915" s="184"/>
    </row>
    <row r="916" ht="12.75" customHeight="1" spans="1:26">
      <c r="A916" s="184"/>
      <c r="B916" s="185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84"/>
      <c r="V916" s="184"/>
      <c r="W916" s="184"/>
      <c r="X916" s="184"/>
      <c r="Y916" s="184"/>
      <c r="Z916" s="184"/>
    </row>
    <row r="917" ht="12.75" customHeight="1" spans="1:26">
      <c r="A917" s="184"/>
      <c r="B917" s="185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84"/>
      <c r="V917" s="184"/>
      <c r="W917" s="184"/>
      <c r="X917" s="184"/>
      <c r="Y917" s="184"/>
      <c r="Z917" s="184"/>
    </row>
    <row r="918" ht="12.75" customHeight="1" spans="1:26">
      <c r="A918" s="184"/>
      <c r="B918" s="185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84"/>
      <c r="V918" s="184"/>
      <c r="W918" s="184"/>
      <c r="X918" s="184"/>
      <c r="Y918" s="184"/>
      <c r="Z918" s="184"/>
    </row>
    <row r="919" ht="12.75" customHeight="1" spans="1:26">
      <c r="A919" s="184"/>
      <c r="B919" s="185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84"/>
      <c r="V919" s="184"/>
      <c r="W919" s="184"/>
      <c r="X919" s="184"/>
      <c r="Y919" s="184"/>
      <c r="Z919" s="184"/>
    </row>
    <row r="920" ht="12.75" customHeight="1" spans="1:26">
      <c r="A920" s="184"/>
      <c r="B920" s="185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84"/>
      <c r="V920" s="184"/>
      <c r="W920" s="184"/>
      <c r="X920" s="184"/>
      <c r="Y920" s="184"/>
      <c r="Z920" s="184"/>
    </row>
    <row r="921" ht="12.75" customHeight="1" spans="1:26">
      <c r="A921" s="184"/>
      <c r="B921" s="185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84"/>
      <c r="V921" s="184"/>
      <c r="W921" s="184"/>
      <c r="X921" s="184"/>
      <c r="Y921" s="184"/>
      <c r="Z921" s="184"/>
    </row>
    <row r="922" ht="12.75" customHeight="1" spans="1:26">
      <c r="A922" s="184"/>
      <c r="B922" s="185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84"/>
      <c r="V922" s="184"/>
      <c r="W922" s="184"/>
      <c r="X922" s="184"/>
      <c r="Y922" s="184"/>
      <c r="Z922" s="184"/>
    </row>
    <row r="923" ht="12.75" customHeight="1" spans="1:26">
      <c r="A923" s="184"/>
      <c r="B923" s="185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84"/>
      <c r="V923" s="184"/>
      <c r="W923" s="184"/>
      <c r="X923" s="184"/>
      <c r="Y923" s="184"/>
      <c r="Z923" s="184"/>
    </row>
    <row r="924" ht="12.75" customHeight="1" spans="1:26">
      <c r="A924" s="184"/>
      <c r="B924" s="185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84"/>
      <c r="V924" s="184"/>
      <c r="W924" s="184"/>
      <c r="X924" s="184"/>
      <c r="Y924" s="184"/>
      <c r="Z924" s="184"/>
    </row>
    <row r="925" ht="12.75" customHeight="1" spans="1:26">
      <c r="A925" s="184"/>
      <c r="B925" s="185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84"/>
      <c r="V925" s="184"/>
      <c r="W925" s="184"/>
      <c r="X925" s="184"/>
      <c r="Y925" s="184"/>
      <c r="Z925" s="184"/>
    </row>
    <row r="926" ht="12.75" customHeight="1" spans="1:26">
      <c r="A926" s="184"/>
      <c r="B926" s="185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84"/>
      <c r="V926" s="184"/>
      <c r="W926" s="184"/>
      <c r="X926" s="184"/>
      <c r="Y926" s="184"/>
      <c r="Z926" s="184"/>
    </row>
    <row r="927" ht="12.75" customHeight="1" spans="1:26">
      <c r="A927" s="184"/>
      <c r="B927" s="185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84"/>
      <c r="V927" s="184"/>
      <c r="W927" s="184"/>
      <c r="X927" s="184"/>
      <c r="Y927" s="184"/>
      <c r="Z927" s="184"/>
    </row>
    <row r="928" ht="12.75" customHeight="1" spans="1:26">
      <c r="A928" s="184"/>
      <c r="B928" s="185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84"/>
      <c r="V928" s="184"/>
      <c r="W928" s="184"/>
      <c r="X928" s="184"/>
      <c r="Y928" s="184"/>
      <c r="Z928" s="184"/>
    </row>
    <row r="929" ht="12.75" customHeight="1" spans="1:26">
      <c r="A929" s="184"/>
      <c r="B929" s="185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84"/>
      <c r="V929" s="184"/>
      <c r="W929" s="184"/>
      <c r="X929" s="184"/>
      <c r="Y929" s="184"/>
      <c r="Z929" s="184"/>
    </row>
    <row r="930" ht="12.75" customHeight="1" spans="1:26">
      <c r="A930" s="184"/>
      <c r="B930" s="185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84"/>
      <c r="V930" s="184"/>
      <c r="W930" s="184"/>
      <c r="X930" s="184"/>
      <c r="Y930" s="184"/>
      <c r="Z930" s="184"/>
    </row>
    <row r="931" ht="12.75" customHeight="1" spans="1:26">
      <c r="A931" s="184"/>
      <c r="B931" s="185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84"/>
      <c r="V931" s="184"/>
      <c r="W931" s="184"/>
      <c r="X931" s="184"/>
      <c r="Y931" s="184"/>
      <c r="Z931" s="184"/>
    </row>
    <row r="932" ht="12.75" customHeight="1" spans="1:26">
      <c r="A932" s="184"/>
      <c r="B932" s="185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84"/>
      <c r="V932" s="184"/>
      <c r="W932" s="184"/>
      <c r="X932" s="184"/>
      <c r="Y932" s="184"/>
      <c r="Z932" s="184"/>
    </row>
    <row r="933" ht="12.75" customHeight="1" spans="1:26">
      <c r="A933" s="184"/>
      <c r="B933" s="185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84"/>
      <c r="V933" s="184"/>
      <c r="W933" s="184"/>
      <c r="X933" s="184"/>
      <c r="Y933" s="184"/>
      <c r="Z933" s="184"/>
    </row>
    <row r="934" ht="12.75" customHeight="1" spans="1:26">
      <c r="A934" s="184"/>
      <c r="B934" s="185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84"/>
      <c r="V934" s="184"/>
      <c r="W934" s="184"/>
      <c r="X934" s="184"/>
      <c r="Y934" s="184"/>
      <c r="Z934" s="184"/>
    </row>
    <row r="935" ht="12.75" customHeight="1" spans="1:26">
      <c r="A935" s="184"/>
      <c r="B935" s="185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84"/>
      <c r="V935" s="184"/>
      <c r="W935" s="184"/>
      <c r="X935" s="184"/>
      <c r="Y935" s="184"/>
      <c r="Z935" s="184"/>
    </row>
    <row r="936" ht="12.75" customHeight="1" spans="1:26">
      <c r="A936" s="184"/>
      <c r="B936" s="185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84"/>
      <c r="V936" s="184"/>
      <c r="W936" s="184"/>
      <c r="X936" s="184"/>
      <c r="Y936" s="184"/>
      <c r="Z936" s="184"/>
    </row>
    <row r="937" ht="12.75" customHeight="1" spans="1:26">
      <c r="A937" s="184"/>
      <c r="B937" s="185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84"/>
      <c r="V937" s="184"/>
      <c r="W937" s="184"/>
      <c r="X937" s="184"/>
      <c r="Y937" s="184"/>
      <c r="Z937" s="184"/>
    </row>
    <row r="938" ht="12.75" customHeight="1" spans="1:26">
      <c r="A938" s="184"/>
      <c r="B938" s="185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84"/>
      <c r="V938" s="184"/>
      <c r="W938" s="184"/>
      <c r="X938" s="184"/>
      <c r="Y938" s="184"/>
      <c r="Z938" s="184"/>
    </row>
    <row r="939" ht="12.75" customHeight="1" spans="1:26">
      <c r="A939" s="184"/>
      <c r="B939" s="185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84"/>
      <c r="V939" s="184"/>
      <c r="W939" s="184"/>
      <c r="X939" s="184"/>
      <c r="Y939" s="184"/>
      <c r="Z939" s="184"/>
    </row>
    <row r="940" ht="12.75" customHeight="1" spans="1:26">
      <c r="A940" s="184"/>
      <c r="B940" s="185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84"/>
      <c r="V940" s="184"/>
      <c r="W940" s="184"/>
      <c r="X940" s="184"/>
      <c r="Y940" s="184"/>
      <c r="Z940" s="184"/>
    </row>
    <row r="941" ht="12.75" customHeight="1" spans="1:26">
      <c r="A941" s="184"/>
      <c r="B941" s="185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84"/>
      <c r="V941" s="184"/>
      <c r="W941" s="184"/>
      <c r="X941" s="184"/>
      <c r="Y941" s="184"/>
      <c r="Z941" s="184"/>
    </row>
    <row r="942" ht="12.75" customHeight="1" spans="1:26">
      <c r="A942" s="184"/>
      <c r="B942" s="185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84"/>
      <c r="V942" s="184"/>
      <c r="W942" s="184"/>
      <c r="X942" s="184"/>
      <c r="Y942" s="184"/>
      <c r="Z942" s="184"/>
    </row>
    <row r="943" ht="12.75" customHeight="1" spans="1:26">
      <c r="A943" s="184"/>
      <c r="B943" s="185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84"/>
      <c r="V943" s="184"/>
      <c r="W943" s="184"/>
      <c r="X943" s="184"/>
      <c r="Y943" s="184"/>
      <c r="Z943" s="184"/>
    </row>
    <row r="944" ht="12.75" customHeight="1" spans="1:26">
      <c r="A944" s="184"/>
      <c r="B944" s="185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84"/>
      <c r="V944" s="184"/>
      <c r="W944" s="184"/>
      <c r="X944" s="184"/>
      <c r="Y944" s="184"/>
      <c r="Z944" s="184"/>
    </row>
    <row r="945" ht="12.75" customHeight="1" spans="1:26">
      <c r="A945" s="184"/>
      <c r="B945" s="185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84"/>
      <c r="V945" s="184"/>
      <c r="W945" s="184"/>
      <c r="X945" s="184"/>
      <c r="Y945" s="184"/>
      <c r="Z945" s="184"/>
    </row>
    <row r="946" ht="12.75" customHeight="1" spans="1:26">
      <c r="A946" s="184"/>
      <c r="B946" s="185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84"/>
      <c r="V946" s="184"/>
      <c r="W946" s="184"/>
      <c r="X946" s="184"/>
      <c r="Y946" s="184"/>
      <c r="Z946" s="184"/>
    </row>
    <row r="947" ht="12.75" customHeight="1" spans="1:26">
      <c r="A947" s="184"/>
      <c r="B947" s="185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84"/>
      <c r="V947" s="184"/>
      <c r="W947" s="184"/>
      <c r="X947" s="184"/>
      <c r="Y947" s="184"/>
      <c r="Z947" s="184"/>
    </row>
    <row r="948" ht="12.75" customHeight="1" spans="1:26">
      <c r="A948" s="184"/>
      <c r="B948" s="185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84"/>
      <c r="V948" s="184"/>
      <c r="W948" s="184"/>
      <c r="X948" s="184"/>
      <c r="Y948" s="184"/>
      <c r="Z948" s="184"/>
    </row>
    <row r="949" ht="12.75" customHeight="1" spans="1:26">
      <c r="A949" s="184"/>
      <c r="B949" s="185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84"/>
      <c r="V949" s="184"/>
      <c r="W949" s="184"/>
      <c r="X949" s="184"/>
      <c r="Y949" s="184"/>
      <c r="Z949" s="184"/>
    </row>
    <row r="950" ht="12.75" customHeight="1" spans="1:26">
      <c r="A950" s="184"/>
      <c r="B950" s="185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84"/>
      <c r="V950" s="184"/>
      <c r="W950" s="184"/>
      <c r="X950" s="184"/>
      <c r="Y950" s="184"/>
      <c r="Z950" s="184"/>
    </row>
    <row r="951" ht="12.75" customHeight="1" spans="1:26">
      <c r="A951" s="184"/>
      <c r="B951" s="185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84"/>
      <c r="V951" s="184"/>
      <c r="W951" s="184"/>
      <c r="X951" s="184"/>
      <c r="Y951" s="184"/>
      <c r="Z951" s="184"/>
    </row>
    <row r="952" ht="12.75" customHeight="1" spans="1:26">
      <c r="A952" s="184"/>
      <c r="B952" s="185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84"/>
      <c r="V952" s="184"/>
      <c r="W952" s="184"/>
      <c r="X952" s="184"/>
      <c r="Y952" s="184"/>
      <c r="Z952" s="184"/>
    </row>
    <row r="953" ht="12.75" customHeight="1" spans="1:26">
      <c r="A953" s="184"/>
      <c r="B953" s="185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84"/>
      <c r="V953" s="184"/>
      <c r="W953" s="184"/>
      <c r="X953" s="184"/>
      <c r="Y953" s="184"/>
      <c r="Z953" s="184"/>
    </row>
    <row r="954" ht="12.75" customHeight="1" spans="1:26">
      <c r="A954" s="184"/>
      <c r="B954" s="185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84"/>
      <c r="V954" s="184"/>
      <c r="W954" s="184"/>
      <c r="X954" s="184"/>
      <c r="Y954" s="184"/>
      <c r="Z954" s="184"/>
    </row>
    <row r="955" ht="12.75" customHeight="1" spans="1:26">
      <c r="A955" s="184"/>
      <c r="B955" s="185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84"/>
      <c r="V955" s="184"/>
      <c r="W955" s="184"/>
      <c r="X955" s="184"/>
      <c r="Y955" s="184"/>
      <c r="Z955" s="184"/>
    </row>
    <row r="956" ht="12.75" customHeight="1" spans="1:26">
      <c r="A956" s="184"/>
      <c r="B956" s="185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84"/>
      <c r="V956" s="184"/>
      <c r="W956" s="184"/>
      <c r="X956" s="184"/>
      <c r="Y956" s="184"/>
      <c r="Z956" s="184"/>
    </row>
    <row r="957" ht="12.75" customHeight="1" spans="1:26">
      <c r="A957" s="184"/>
      <c r="B957" s="185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84"/>
      <c r="V957" s="184"/>
      <c r="W957" s="184"/>
      <c r="X957" s="184"/>
      <c r="Y957" s="184"/>
      <c r="Z957" s="184"/>
    </row>
    <row r="958" ht="12.75" customHeight="1" spans="1:26">
      <c r="A958" s="184"/>
      <c r="B958" s="185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84"/>
      <c r="V958" s="184"/>
      <c r="W958" s="184"/>
      <c r="X958" s="184"/>
      <c r="Y958" s="184"/>
      <c r="Z958" s="184"/>
    </row>
    <row r="959" ht="12.75" customHeight="1" spans="1:26">
      <c r="A959" s="184"/>
      <c r="B959" s="185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84"/>
      <c r="V959" s="184"/>
      <c r="W959" s="184"/>
      <c r="X959" s="184"/>
      <c r="Y959" s="184"/>
      <c r="Z959" s="184"/>
    </row>
    <row r="960" ht="12.75" customHeight="1" spans="1:26">
      <c r="A960" s="184"/>
      <c r="B960" s="185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84"/>
      <c r="V960" s="184"/>
      <c r="W960" s="184"/>
      <c r="X960" s="184"/>
      <c r="Y960" s="184"/>
      <c r="Z960" s="184"/>
    </row>
    <row r="961" ht="12.75" customHeight="1" spans="1:26">
      <c r="A961" s="184"/>
      <c r="B961" s="185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84"/>
      <c r="V961" s="184"/>
      <c r="W961" s="184"/>
      <c r="X961" s="184"/>
      <c r="Y961" s="184"/>
      <c r="Z961" s="184"/>
    </row>
    <row r="962" ht="12.75" customHeight="1" spans="1:26">
      <c r="A962" s="184"/>
      <c r="B962" s="185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84"/>
      <c r="V962" s="184"/>
      <c r="W962" s="184"/>
      <c r="X962" s="184"/>
      <c r="Y962" s="184"/>
      <c r="Z962" s="184"/>
    </row>
    <row r="963" ht="12.75" customHeight="1" spans="1:26">
      <c r="A963" s="184"/>
      <c r="B963" s="185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84"/>
      <c r="V963" s="184"/>
      <c r="W963" s="184"/>
      <c r="X963" s="184"/>
      <c r="Y963" s="184"/>
      <c r="Z963" s="184"/>
    </row>
    <row r="964" ht="12.75" customHeight="1" spans="1:26">
      <c r="A964" s="184"/>
      <c r="B964" s="185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84"/>
      <c r="V964" s="184"/>
      <c r="W964" s="184"/>
      <c r="X964" s="184"/>
      <c r="Y964" s="184"/>
      <c r="Z964" s="184"/>
    </row>
    <row r="965" ht="12.75" customHeight="1" spans="1:26">
      <c r="A965" s="184"/>
      <c r="B965" s="185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84"/>
      <c r="V965" s="184"/>
      <c r="W965" s="184"/>
      <c r="X965" s="184"/>
      <c r="Y965" s="184"/>
      <c r="Z965" s="184"/>
    </row>
    <row r="966" ht="12.75" customHeight="1" spans="1:26">
      <c r="A966" s="184"/>
      <c r="B966" s="185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84"/>
      <c r="V966" s="184"/>
      <c r="W966" s="184"/>
      <c r="X966" s="184"/>
      <c r="Y966" s="184"/>
      <c r="Z966" s="184"/>
    </row>
    <row r="967" ht="12.75" customHeight="1" spans="1:26">
      <c r="A967" s="184"/>
      <c r="B967" s="185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84"/>
      <c r="V967" s="184"/>
      <c r="W967" s="184"/>
      <c r="X967" s="184"/>
      <c r="Y967" s="184"/>
      <c r="Z967" s="184"/>
    </row>
    <row r="968" ht="12.75" customHeight="1" spans="1:26">
      <c r="A968" s="184"/>
      <c r="B968" s="185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84"/>
      <c r="V968" s="184"/>
      <c r="W968" s="184"/>
      <c r="X968" s="184"/>
      <c r="Y968" s="184"/>
      <c r="Z968" s="184"/>
    </row>
    <row r="969" ht="12.75" customHeight="1" spans="1:26">
      <c r="A969" s="184"/>
      <c r="B969" s="185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84"/>
      <c r="V969" s="184"/>
      <c r="W969" s="184"/>
      <c r="X969" s="184"/>
      <c r="Y969" s="184"/>
      <c r="Z969" s="184"/>
    </row>
    <row r="970" ht="12.75" customHeight="1" spans="1:26">
      <c r="A970" s="184"/>
      <c r="B970" s="185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84"/>
      <c r="V970" s="184"/>
      <c r="W970" s="184"/>
      <c r="X970" s="184"/>
      <c r="Y970" s="184"/>
      <c r="Z970" s="184"/>
    </row>
    <row r="971" ht="12.75" customHeight="1" spans="1:26">
      <c r="A971" s="184"/>
      <c r="B971" s="185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84"/>
      <c r="V971" s="184"/>
      <c r="W971" s="184"/>
      <c r="X971" s="184"/>
      <c r="Y971" s="184"/>
      <c r="Z971" s="184"/>
    </row>
    <row r="972" ht="12.75" customHeight="1" spans="1:26">
      <c r="A972" s="184"/>
      <c r="B972" s="185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84"/>
      <c r="V972" s="184"/>
      <c r="W972" s="184"/>
      <c r="X972" s="184"/>
      <c r="Y972" s="184"/>
      <c r="Z972" s="184"/>
    </row>
    <row r="973" ht="12.75" customHeight="1" spans="1:26">
      <c r="A973" s="184"/>
      <c r="B973" s="185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84"/>
      <c r="V973" s="184"/>
      <c r="W973" s="184"/>
      <c r="X973" s="184"/>
      <c r="Y973" s="184"/>
      <c r="Z973" s="184"/>
    </row>
    <row r="974" ht="12.75" customHeight="1" spans="1:26">
      <c r="A974" s="184"/>
      <c r="B974" s="185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84"/>
      <c r="V974" s="184"/>
      <c r="W974" s="184"/>
      <c r="X974" s="184"/>
      <c r="Y974" s="184"/>
      <c r="Z974" s="184"/>
    </row>
    <row r="975" ht="12.75" customHeight="1" spans="1:26">
      <c r="A975" s="184"/>
      <c r="B975" s="185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84"/>
      <c r="V975" s="184"/>
      <c r="W975" s="184"/>
      <c r="X975" s="184"/>
      <c r="Y975" s="184"/>
      <c r="Z975" s="184"/>
    </row>
    <row r="976" ht="12.75" customHeight="1" spans="1:26">
      <c r="A976" s="184"/>
      <c r="B976" s="185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84"/>
      <c r="V976" s="184"/>
      <c r="W976" s="184"/>
      <c r="X976" s="184"/>
      <c r="Y976" s="184"/>
      <c r="Z976" s="184"/>
    </row>
    <row r="977" ht="12.75" customHeight="1" spans="1:26">
      <c r="A977" s="184"/>
      <c r="B977" s="185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84"/>
      <c r="V977" s="184"/>
      <c r="W977" s="184"/>
      <c r="X977" s="184"/>
      <c r="Y977" s="184"/>
      <c r="Z977" s="184"/>
    </row>
    <row r="978" ht="12.75" customHeight="1" spans="1:26">
      <c r="A978" s="184"/>
      <c r="B978" s="185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84"/>
      <c r="V978" s="184"/>
      <c r="W978" s="184"/>
      <c r="X978" s="184"/>
      <c r="Y978" s="184"/>
      <c r="Z978" s="184"/>
    </row>
    <row r="979" ht="12.75" customHeight="1" spans="1:26">
      <c r="A979" s="184"/>
      <c r="B979" s="185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84"/>
      <c r="V979" s="184"/>
      <c r="W979" s="184"/>
      <c r="X979" s="184"/>
      <c r="Y979" s="184"/>
      <c r="Z979" s="184"/>
    </row>
    <row r="980" ht="12.75" customHeight="1" spans="1:26">
      <c r="A980" s="184"/>
      <c r="B980" s="185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84"/>
      <c r="V980" s="184"/>
      <c r="W980" s="184"/>
      <c r="X980" s="184"/>
      <c r="Y980" s="184"/>
      <c r="Z980" s="184"/>
    </row>
    <row r="981" ht="12.75" customHeight="1" spans="1:26">
      <c r="A981" s="184"/>
      <c r="B981" s="185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84"/>
      <c r="V981" s="184"/>
      <c r="W981" s="184"/>
      <c r="X981" s="184"/>
      <c r="Y981" s="184"/>
      <c r="Z981" s="184"/>
    </row>
    <row r="982" ht="12.75" customHeight="1" spans="1:26">
      <c r="A982" s="184"/>
      <c r="B982" s="185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84"/>
      <c r="V982" s="184"/>
      <c r="W982" s="184"/>
      <c r="X982" s="184"/>
      <c r="Y982" s="184"/>
      <c r="Z982" s="184"/>
    </row>
    <row r="983" ht="12.75" customHeight="1" spans="1:26">
      <c r="A983" s="184"/>
      <c r="B983" s="185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84"/>
      <c r="V983" s="184"/>
      <c r="W983" s="184"/>
      <c r="X983" s="184"/>
      <c r="Y983" s="184"/>
      <c r="Z983" s="184"/>
    </row>
    <row r="984" ht="12.75" customHeight="1" spans="1:26">
      <c r="A984" s="184"/>
      <c r="B984" s="185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84"/>
      <c r="V984" s="184"/>
      <c r="W984" s="184"/>
      <c r="X984" s="184"/>
      <c r="Y984" s="184"/>
      <c r="Z984" s="184"/>
    </row>
    <row r="985" ht="12.75" customHeight="1" spans="1:26">
      <c r="A985" s="184"/>
      <c r="B985" s="185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84"/>
      <c r="V985" s="184"/>
      <c r="W985" s="184"/>
      <c r="X985" s="184"/>
      <c r="Y985" s="184"/>
      <c r="Z985" s="184"/>
    </row>
    <row r="986" ht="12.75" customHeight="1" spans="1:26">
      <c r="A986" s="184"/>
      <c r="B986" s="185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84"/>
      <c r="V986" s="184"/>
      <c r="W986" s="184"/>
      <c r="X986" s="184"/>
      <c r="Y986" s="184"/>
      <c r="Z986" s="184"/>
    </row>
    <row r="987" ht="12.75" customHeight="1" spans="1:26">
      <c r="A987" s="184"/>
      <c r="B987" s="185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84"/>
      <c r="V987" s="184"/>
      <c r="W987" s="184"/>
      <c r="X987" s="184"/>
      <c r="Y987" s="184"/>
      <c r="Z987" s="184"/>
    </row>
    <row r="988" ht="12.75" customHeight="1" spans="1:26">
      <c r="A988" s="184"/>
      <c r="B988" s="185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84"/>
      <c r="V988" s="184"/>
      <c r="W988" s="184"/>
      <c r="X988" s="184"/>
      <c r="Y988" s="184"/>
      <c r="Z988" s="184"/>
    </row>
    <row r="989" ht="12.75" customHeight="1" spans="1:26">
      <c r="A989" s="184"/>
      <c r="B989" s="185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84"/>
      <c r="V989" s="184"/>
      <c r="W989" s="184"/>
      <c r="X989" s="184"/>
      <c r="Y989" s="184"/>
      <c r="Z989" s="184"/>
    </row>
    <row r="990" ht="12.75" customHeight="1" spans="1:26">
      <c r="A990" s="184"/>
      <c r="B990" s="185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84"/>
      <c r="V990" s="184"/>
      <c r="W990" s="184"/>
      <c r="X990" s="184"/>
      <c r="Y990" s="184"/>
      <c r="Z990" s="184"/>
    </row>
    <row r="991" ht="12.75" customHeight="1" spans="1:26">
      <c r="A991" s="184"/>
      <c r="B991" s="185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84"/>
      <c r="V991" s="184"/>
      <c r="W991" s="184"/>
      <c r="X991" s="184"/>
      <c r="Y991" s="184"/>
      <c r="Z991" s="184"/>
    </row>
    <row r="992" ht="12.75" customHeight="1" spans="1:26">
      <c r="A992" s="184"/>
      <c r="B992" s="185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84"/>
      <c r="V992" s="184"/>
      <c r="W992" s="184"/>
      <c r="X992" s="184"/>
      <c r="Y992" s="184"/>
      <c r="Z992" s="184"/>
    </row>
    <row r="993" ht="12.75" customHeight="1" spans="1:26">
      <c r="A993" s="184"/>
      <c r="B993" s="185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84"/>
      <c r="V993" s="184"/>
      <c r="W993" s="184"/>
      <c r="X993" s="184"/>
      <c r="Y993" s="184"/>
      <c r="Z993" s="184"/>
    </row>
    <row r="994" ht="12.75" customHeight="1" spans="1:26">
      <c r="A994" s="184"/>
      <c r="B994" s="185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84"/>
      <c r="V994" s="184"/>
      <c r="W994" s="184"/>
      <c r="X994" s="184"/>
      <c r="Y994" s="184"/>
      <c r="Z994" s="184"/>
    </row>
    <row r="995" ht="12.75" customHeight="1" spans="1:26">
      <c r="A995" s="184"/>
      <c r="B995" s="185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84"/>
      <c r="V995" s="184"/>
      <c r="W995" s="184"/>
      <c r="X995" s="184"/>
      <c r="Y995" s="184"/>
      <c r="Z995" s="184"/>
    </row>
    <row r="996" ht="12.75" customHeight="1" spans="1:26">
      <c r="A996" s="184"/>
      <c r="B996" s="185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84"/>
      <c r="V996" s="184"/>
      <c r="W996" s="184"/>
      <c r="X996" s="184"/>
      <c r="Y996" s="184"/>
      <c r="Z996" s="184"/>
    </row>
    <row r="997" ht="12.75" customHeight="1" spans="1:26">
      <c r="A997" s="184"/>
      <c r="B997" s="185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84"/>
      <c r="V997" s="184"/>
      <c r="W997" s="184"/>
      <c r="X997" s="184"/>
      <c r="Y997" s="184"/>
      <c r="Z997" s="184"/>
    </row>
    <row r="998" ht="12.75" customHeight="1" spans="1:26">
      <c r="A998" s="184"/>
      <c r="B998" s="185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84"/>
      <c r="V998" s="184"/>
      <c r="W998" s="184"/>
      <c r="X998" s="184"/>
      <c r="Y998" s="184"/>
      <c r="Z998" s="184"/>
    </row>
    <row r="999" ht="12.75" customHeight="1" spans="1:26">
      <c r="A999" s="184"/>
      <c r="B999" s="185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84"/>
      <c r="V999" s="184"/>
      <c r="W999" s="184"/>
      <c r="X999" s="184"/>
      <c r="Y999" s="184"/>
      <c r="Z999" s="184"/>
    </row>
    <row r="1000" ht="12.75" customHeight="1" spans="1:26">
      <c r="A1000" s="184"/>
      <c r="B1000" s="185"/>
      <c r="C1000" s="184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84"/>
      <c r="V1000" s="184"/>
      <c r="W1000" s="184"/>
      <c r="X1000" s="184"/>
      <c r="Y1000" s="184"/>
      <c r="Z1000" s="184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7"/>
  <sheetViews>
    <sheetView tabSelected="1" zoomScale="145" zoomScaleNormal="145" workbookViewId="0">
      <selection activeCell="F17" sqref="F17"/>
    </sheetView>
  </sheetViews>
  <sheetFormatPr defaultColWidth="12.6333333333333" defaultRowHeight="15" customHeight="1"/>
  <cols>
    <col min="1" max="1" width="1.38333333333333" customWidth="1"/>
    <col min="2" max="2" width="11.6333333333333" customWidth="1"/>
    <col min="3" max="3" width="17.15" customWidth="1"/>
    <col min="4" max="4" width="17.3166666666667" customWidth="1"/>
    <col min="5" max="5" width="17.1333333333333" customWidth="1"/>
    <col min="6" max="6" width="28.1333333333333" customWidth="1"/>
    <col min="7" max="7" width="30.6333333333333" customWidth="1"/>
    <col min="8" max="27" width="10" customWidth="1"/>
  </cols>
  <sheetData>
    <row r="1" ht="24.75" customHeight="1" spans="1:27">
      <c r="A1" s="13" t="s">
        <v>18</v>
      </c>
      <c r="B1" s="162" t="s">
        <v>19</v>
      </c>
      <c r="C1" s="162"/>
      <c r="D1" s="162"/>
      <c r="E1" s="162"/>
      <c r="F1" s="162"/>
      <c r="G1" s="162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13.5" customHeight="1" spans="1:27">
      <c r="A2" s="13"/>
      <c r="B2" s="163"/>
      <c r="C2" s="163"/>
      <c r="D2" s="164"/>
      <c r="E2" s="165"/>
      <c r="F2" s="165"/>
      <c r="G2" s="164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12.75" customHeight="1" spans="1:27">
      <c r="A3" s="13"/>
      <c r="B3" s="166" t="s">
        <v>1</v>
      </c>
      <c r="C3" s="167"/>
      <c r="D3" s="154"/>
      <c r="E3" s="168" t="str">
        <f>Cover!C4</f>
        <v>Kiểm thử website quản lý thuê nhà trọ</v>
      </c>
      <c r="F3" s="154"/>
      <c r="G3" s="169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2.75" customHeight="1" spans="1:27">
      <c r="A4" s="13"/>
      <c r="B4" s="166" t="s">
        <v>4</v>
      </c>
      <c r="C4" s="167"/>
      <c r="D4" s="154"/>
      <c r="E4" s="168" t="str">
        <f>Cover!C5</f>
        <v>Nhóm 14</v>
      </c>
      <c r="F4" s="154"/>
      <c r="G4" s="169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44" customHeight="1" spans="1:27">
      <c r="A5" s="97"/>
      <c r="B5" s="170" t="s">
        <v>20</v>
      </c>
      <c r="C5" s="171"/>
      <c r="D5" s="169"/>
      <c r="E5" s="172" t="s">
        <v>21</v>
      </c>
      <c r="F5" s="154"/>
      <c r="G5" s="169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</row>
    <row r="6" ht="12.75" customHeight="1" spans="1:27">
      <c r="A6" s="13"/>
      <c r="B6" s="173"/>
      <c r="C6" s="17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12.75" customHeight="1" spans="1:27">
      <c r="A7" s="85"/>
      <c r="B7" s="174" t="s">
        <v>22</v>
      </c>
      <c r="C7" s="175" t="s">
        <v>23</v>
      </c>
      <c r="D7" s="176" t="s">
        <v>24</v>
      </c>
      <c r="E7" s="176" t="s">
        <v>25</v>
      </c>
      <c r="F7" s="176" t="s">
        <v>26</v>
      </c>
      <c r="G7" s="176" t="s">
        <v>27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 ht="13" customHeight="1" spans="1:27">
      <c r="A8" s="177"/>
      <c r="B8" s="178">
        <v>1</v>
      </c>
      <c r="C8" s="179" t="s">
        <v>28</v>
      </c>
      <c r="D8" s="180" t="s">
        <v>29</v>
      </c>
      <c r="E8" s="181" t="s">
        <v>30</v>
      </c>
      <c r="F8" s="182"/>
      <c r="G8" s="183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</row>
    <row r="9" ht="13" customHeight="1" spans="1:27">
      <c r="A9" s="13"/>
      <c r="B9" s="178">
        <v>2</v>
      </c>
      <c r="C9" s="179" t="s">
        <v>28</v>
      </c>
      <c r="D9" s="180" t="s">
        <v>31</v>
      </c>
      <c r="E9" s="181" t="s">
        <v>32</v>
      </c>
      <c r="F9" s="182" t="s">
        <v>33</v>
      </c>
      <c r="G9" s="18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3" customHeight="1" spans="1:27">
      <c r="A10" s="13"/>
      <c r="B10" s="178">
        <v>3</v>
      </c>
      <c r="C10" s="179" t="s">
        <v>34</v>
      </c>
      <c r="D10" s="180" t="s">
        <v>35</v>
      </c>
      <c r="E10" s="181" t="s">
        <v>36</v>
      </c>
      <c r="F10" s="182" t="s">
        <v>33</v>
      </c>
      <c r="G10" s="18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13" customHeight="1" spans="1:27">
      <c r="A11" s="13"/>
      <c r="B11" s="178">
        <v>4</v>
      </c>
      <c r="C11" s="179" t="s">
        <v>34</v>
      </c>
      <c r="D11" s="180" t="s">
        <v>37</v>
      </c>
      <c r="E11" s="181" t="s">
        <v>38</v>
      </c>
      <c r="F11" s="182" t="s">
        <v>33</v>
      </c>
      <c r="G11" s="18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13" customHeight="1" spans="1:27">
      <c r="A12" s="13"/>
      <c r="B12" s="178">
        <v>5</v>
      </c>
      <c r="C12" s="179" t="s">
        <v>39</v>
      </c>
      <c r="D12" s="180" t="s">
        <v>40</v>
      </c>
      <c r="E12" s="181" t="s">
        <v>41</v>
      </c>
      <c r="F12" s="182" t="s">
        <v>33</v>
      </c>
      <c r="G12" s="18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13" customHeight="1" spans="1:27">
      <c r="A13" s="13"/>
      <c r="B13" s="178">
        <v>6</v>
      </c>
      <c r="C13" s="179" t="s">
        <v>39</v>
      </c>
      <c r="D13" s="180" t="s">
        <v>42</v>
      </c>
      <c r="E13" s="181" t="s">
        <v>43</v>
      </c>
      <c r="F13" s="182" t="s">
        <v>33</v>
      </c>
      <c r="G13" s="18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3" customHeight="1" spans="1:27">
      <c r="A14" s="13"/>
      <c r="B14" s="178">
        <v>7</v>
      </c>
      <c r="C14" s="179" t="s">
        <v>44</v>
      </c>
      <c r="D14" s="180" t="s">
        <v>45</v>
      </c>
      <c r="E14" s="181" t="s">
        <v>46</v>
      </c>
      <c r="F14" s="182" t="s">
        <v>33</v>
      </c>
      <c r="G14" s="18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13" customHeight="1" spans="1:27">
      <c r="A15" s="13"/>
      <c r="B15" s="178">
        <v>8</v>
      </c>
      <c r="C15" s="179" t="s">
        <v>44</v>
      </c>
      <c r="D15" s="180" t="s">
        <v>47</v>
      </c>
      <c r="E15" s="181" t="s">
        <v>48</v>
      </c>
      <c r="F15" s="182" t="s">
        <v>33</v>
      </c>
      <c r="G15" s="18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3" customHeight="1" spans="1:27">
      <c r="A16" s="13"/>
      <c r="B16" s="178">
        <v>9</v>
      </c>
      <c r="C16" s="179" t="s">
        <v>49</v>
      </c>
      <c r="D16" s="180" t="s">
        <v>50</v>
      </c>
      <c r="E16" s="181" t="s">
        <v>51</v>
      </c>
      <c r="F16" s="182" t="s">
        <v>33</v>
      </c>
      <c r="G16" s="18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3" customHeight="1" spans="1:27">
      <c r="A17" s="13"/>
      <c r="B17" s="178">
        <v>10</v>
      </c>
      <c r="C17" s="179" t="s">
        <v>49</v>
      </c>
      <c r="D17" s="180" t="s">
        <v>52</v>
      </c>
      <c r="E17" s="181" t="s">
        <v>53</v>
      </c>
      <c r="F17" s="182"/>
      <c r="G17" s="18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="161" customFormat="1" ht="12.75" customHeight="1" spans="1:27">
      <c r="A18" s="13"/>
      <c r="B18" s="161"/>
      <c r="C18" s="161"/>
      <c r="D18" s="161"/>
      <c r="E18" s="161"/>
      <c r="F18" s="161"/>
      <c r="G18" s="161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="161" customFormat="1" ht="12.75" customHeight="1" spans="1:27">
      <c r="A19" s="13"/>
      <c r="B19" s="163"/>
      <c r="C19" s="163"/>
      <c r="D19" s="164"/>
      <c r="E19" s="164"/>
      <c r="F19" s="164"/>
      <c r="G19" s="164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2.75" customHeight="1" spans="1:27">
      <c r="A20" s="13"/>
      <c r="B20" s="163"/>
      <c r="C20" s="163"/>
      <c r="D20" s="164"/>
      <c r="E20" s="164"/>
      <c r="F20" s="164"/>
      <c r="G20" s="164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2.75" customHeight="1" spans="1:27">
      <c r="A21" s="13"/>
      <c r="B21" s="163"/>
      <c r="C21" s="163"/>
      <c r="D21" s="164"/>
      <c r="E21" s="164"/>
      <c r="F21" s="164"/>
      <c r="G21" s="164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2.75" customHeight="1" spans="1:27">
      <c r="A22" s="13"/>
      <c r="B22" s="163"/>
      <c r="C22" s="163"/>
      <c r="D22" s="164"/>
      <c r="E22" s="164"/>
      <c r="F22" s="164"/>
      <c r="G22" s="164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2.75" customHeight="1" spans="1:27">
      <c r="A23" s="13"/>
      <c r="B23" s="163"/>
      <c r="C23" s="163"/>
      <c r="D23" s="164"/>
      <c r="E23" s="164"/>
      <c r="F23" s="164"/>
      <c r="G23" s="164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2.75" customHeight="1" spans="1:27">
      <c r="A24" s="13"/>
      <c r="B24" s="163"/>
      <c r="C24" s="163"/>
      <c r="D24" s="164"/>
      <c r="E24" s="164"/>
      <c r="F24" s="164"/>
      <c r="G24" s="164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2.75" customHeight="1" spans="1:27">
      <c r="A25" s="13"/>
      <c r="B25" s="163"/>
      <c r="C25" s="163"/>
      <c r="D25" s="164"/>
      <c r="E25" s="164"/>
      <c r="F25" s="164"/>
      <c r="G25" s="164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2.75" customHeight="1" spans="1:27">
      <c r="A26" s="13"/>
      <c r="B26" s="163"/>
      <c r="C26" s="163"/>
      <c r="D26" s="164"/>
      <c r="E26" s="164"/>
      <c r="F26" s="164"/>
      <c r="G26" s="164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2.75" customHeight="1" spans="1:27">
      <c r="A27" s="13"/>
      <c r="B27" s="163"/>
      <c r="C27" s="163"/>
      <c r="D27" s="164"/>
      <c r="E27" s="164"/>
      <c r="F27" s="164"/>
      <c r="G27" s="164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2.75" customHeight="1" spans="1:27">
      <c r="A28" s="13"/>
      <c r="B28" s="163"/>
      <c r="C28" s="163"/>
      <c r="D28" s="164"/>
      <c r="E28" s="164"/>
      <c r="F28" s="164"/>
      <c r="G28" s="164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2.75" customHeight="1" spans="1:27">
      <c r="A29" s="13"/>
      <c r="B29" s="163"/>
      <c r="C29" s="163"/>
      <c r="D29" s="164"/>
      <c r="E29" s="164"/>
      <c r="F29" s="164"/>
      <c r="G29" s="164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2.75" customHeight="1" spans="1:27">
      <c r="A30" s="13"/>
      <c r="B30" s="163"/>
      <c r="C30" s="163"/>
      <c r="D30" s="164"/>
      <c r="E30" s="164"/>
      <c r="F30" s="164"/>
      <c r="G30" s="164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2.75" customHeight="1" spans="1:27">
      <c r="A31" s="13"/>
      <c r="B31" s="163"/>
      <c r="C31" s="163"/>
      <c r="D31" s="164"/>
      <c r="E31" s="164"/>
      <c r="F31" s="164"/>
      <c r="G31" s="164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2.75" customHeight="1" spans="1:27">
      <c r="A32" s="13"/>
      <c r="B32" s="163"/>
      <c r="C32" s="163"/>
      <c r="D32" s="164"/>
      <c r="E32" s="164"/>
      <c r="F32" s="164"/>
      <c r="G32" s="164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2.75" customHeight="1" spans="1:27">
      <c r="A33" s="13"/>
      <c r="B33" s="163"/>
      <c r="C33" s="163"/>
      <c r="D33" s="164"/>
      <c r="E33" s="164"/>
      <c r="F33" s="164"/>
      <c r="G33" s="164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2.75" customHeight="1" spans="1:27">
      <c r="A34" s="13"/>
      <c r="B34" s="163"/>
      <c r="C34" s="163"/>
      <c r="D34" s="164"/>
      <c r="E34" s="164"/>
      <c r="F34" s="164"/>
      <c r="G34" s="164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2.75" customHeight="1" spans="1:27">
      <c r="A35" s="13"/>
      <c r="B35" s="163"/>
      <c r="C35" s="163"/>
      <c r="D35" s="164"/>
      <c r="E35" s="164"/>
      <c r="F35" s="164"/>
      <c r="G35" s="164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2.75" customHeight="1" spans="1:27">
      <c r="A36" s="13"/>
      <c r="B36" s="163"/>
      <c r="C36" s="163"/>
      <c r="D36" s="164"/>
      <c r="E36" s="164"/>
      <c r="F36" s="164"/>
      <c r="G36" s="164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2.75" customHeight="1" spans="1:27">
      <c r="A37" s="13"/>
      <c r="B37" s="163"/>
      <c r="C37" s="163"/>
      <c r="D37" s="164"/>
      <c r="E37" s="164"/>
      <c r="F37" s="164"/>
      <c r="G37" s="164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2.75" customHeight="1" spans="1:27">
      <c r="A38" s="13"/>
      <c r="B38" s="163"/>
      <c r="C38" s="163"/>
      <c r="D38" s="164"/>
      <c r="E38" s="164"/>
      <c r="F38" s="164"/>
      <c r="G38" s="164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2.75" customHeight="1" spans="1:27">
      <c r="A39" s="13"/>
      <c r="B39" s="163"/>
      <c r="C39" s="163"/>
      <c r="D39" s="164"/>
      <c r="E39" s="164"/>
      <c r="F39" s="164"/>
      <c r="G39" s="164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2.75" customHeight="1" spans="1:27">
      <c r="A40" s="13"/>
      <c r="B40" s="163"/>
      <c r="C40" s="163"/>
      <c r="D40" s="164"/>
      <c r="E40" s="164"/>
      <c r="F40" s="164"/>
      <c r="G40" s="16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2.75" customHeight="1" spans="1:27">
      <c r="A41" s="13"/>
      <c r="B41" s="163"/>
      <c r="C41" s="163"/>
      <c r="D41" s="164"/>
      <c r="E41" s="164"/>
      <c r="F41" s="164"/>
      <c r="G41" s="16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2.75" customHeight="1" spans="1:27">
      <c r="A42" s="13"/>
      <c r="B42" s="163"/>
      <c r="C42" s="163"/>
      <c r="D42" s="164"/>
      <c r="E42" s="164"/>
      <c r="F42" s="164"/>
      <c r="G42" s="164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2.75" customHeight="1" spans="1:27">
      <c r="A43" s="13"/>
      <c r="B43" s="163"/>
      <c r="C43" s="163"/>
      <c r="D43" s="164"/>
      <c r="E43" s="164"/>
      <c r="F43" s="164"/>
      <c r="G43" s="164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2.75" customHeight="1" spans="1:27">
      <c r="A44" s="13"/>
      <c r="B44" s="163"/>
      <c r="C44" s="163"/>
      <c r="D44" s="164"/>
      <c r="E44" s="164"/>
      <c r="F44" s="164"/>
      <c r="G44" s="164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2.75" customHeight="1" spans="1:27">
      <c r="A45" s="13"/>
      <c r="B45" s="163"/>
      <c r="C45" s="163"/>
      <c r="D45" s="164"/>
      <c r="E45" s="164"/>
      <c r="F45" s="164"/>
      <c r="G45" s="164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2.75" customHeight="1" spans="1:27">
      <c r="A46" s="13"/>
      <c r="B46" s="163"/>
      <c r="C46" s="163"/>
      <c r="D46" s="164"/>
      <c r="E46" s="164"/>
      <c r="F46" s="164"/>
      <c r="G46" s="164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2.75" customHeight="1" spans="1:27">
      <c r="A47" s="13"/>
      <c r="B47" s="163"/>
      <c r="C47" s="163"/>
      <c r="D47" s="164"/>
      <c r="E47" s="164"/>
      <c r="F47" s="164"/>
      <c r="G47" s="164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2.75" customHeight="1" spans="1:27">
      <c r="A48" s="13"/>
      <c r="B48" s="163"/>
      <c r="C48" s="163"/>
      <c r="D48" s="164"/>
      <c r="E48" s="164"/>
      <c r="F48" s="164"/>
      <c r="G48" s="164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2.75" customHeight="1" spans="1:27">
      <c r="A49" s="13"/>
      <c r="B49" s="163"/>
      <c r="C49" s="163"/>
      <c r="D49" s="164"/>
      <c r="E49" s="164"/>
      <c r="F49" s="164"/>
      <c r="G49" s="164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2.75" customHeight="1" spans="1:27">
      <c r="A50" s="13"/>
      <c r="B50" s="163"/>
      <c r="C50" s="163"/>
      <c r="D50" s="164"/>
      <c r="E50" s="164"/>
      <c r="F50" s="164"/>
      <c r="G50" s="164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2.75" customHeight="1" spans="1:27">
      <c r="A51" s="13"/>
      <c r="B51" s="163"/>
      <c r="C51" s="163"/>
      <c r="D51" s="164"/>
      <c r="E51" s="164"/>
      <c r="F51" s="164"/>
      <c r="G51" s="164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2.75" customHeight="1" spans="1:27">
      <c r="A52" s="13"/>
      <c r="B52" s="163"/>
      <c r="C52" s="163"/>
      <c r="D52" s="164"/>
      <c r="E52" s="164"/>
      <c r="F52" s="164"/>
      <c r="G52" s="164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2.75" customHeight="1" spans="1:27">
      <c r="A53" s="13"/>
      <c r="B53" s="163"/>
      <c r="C53" s="163"/>
      <c r="D53" s="164"/>
      <c r="E53" s="164"/>
      <c r="F53" s="164"/>
      <c r="G53" s="164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2.75" customHeight="1" spans="1:27">
      <c r="A54" s="13"/>
      <c r="B54" s="163"/>
      <c r="C54" s="163"/>
      <c r="D54" s="164"/>
      <c r="E54" s="164"/>
      <c r="F54" s="164"/>
      <c r="G54" s="164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2.75" customHeight="1" spans="1:27">
      <c r="A55" s="13"/>
      <c r="B55" s="163"/>
      <c r="C55" s="163"/>
      <c r="D55" s="164"/>
      <c r="E55" s="164"/>
      <c r="F55" s="164"/>
      <c r="G55" s="164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2.75" customHeight="1" spans="1:27">
      <c r="A56" s="13"/>
      <c r="B56" s="163"/>
      <c r="C56" s="163"/>
      <c r="D56" s="164"/>
      <c r="E56" s="164"/>
      <c r="F56" s="164"/>
      <c r="G56" s="164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2.75" customHeight="1" spans="1:27">
      <c r="A57" s="13"/>
      <c r="B57" s="163"/>
      <c r="C57" s="163"/>
      <c r="D57" s="164"/>
      <c r="E57" s="164"/>
      <c r="F57" s="164"/>
      <c r="G57" s="164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2.75" customHeight="1" spans="1:27">
      <c r="A58" s="13"/>
      <c r="B58" s="163"/>
      <c r="C58" s="163"/>
      <c r="D58" s="164"/>
      <c r="E58" s="164"/>
      <c r="F58" s="164"/>
      <c r="G58" s="164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2.75" customHeight="1" spans="1:27">
      <c r="A59" s="13"/>
      <c r="B59" s="163"/>
      <c r="C59" s="163"/>
      <c r="D59" s="164"/>
      <c r="E59" s="164"/>
      <c r="F59" s="164"/>
      <c r="G59" s="164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2.75" customHeight="1" spans="1:27">
      <c r="A60" s="13"/>
      <c r="B60" s="163"/>
      <c r="C60" s="163"/>
      <c r="D60" s="164"/>
      <c r="E60" s="164"/>
      <c r="F60" s="164"/>
      <c r="G60" s="164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2.75" customHeight="1" spans="1:27">
      <c r="A61" s="13"/>
      <c r="B61" s="163"/>
      <c r="C61" s="163"/>
      <c r="D61" s="164"/>
      <c r="E61" s="164"/>
      <c r="F61" s="164"/>
      <c r="G61" s="164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2.75" customHeight="1" spans="1:27">
      <c r="A62" s="13"/>
      <c r="B62" s="163"/>
      <c r="C62" s="163"/>
      <c r="D62" s="164"/>
      <c r="E62" s="164"/>
      <c r="F62" s="164"/>
      <c r="G62" s="164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12.75" customHeight="1" spans="1:27">
      <c r="A63" s="13"/>
      <c r="B63" s="163"/>
      <c r="C63" s="163"/>
      <c r="D63" s="164"/>
      <c r="E63" s="164"/>
      <c r="F63" s="164"/>
      <c r="G63" s="164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2.75" customHeight="1" spans="1:27">
      <c r="A64" s="13"/>
      <c r="B64" s="163"/>
      <c r="C64" s="163"/>
      <c r="D64" s="164"/>
      <c r="E64" s="164"/>
      <c r="F64" s="164"/>
      <c r="G64" s="164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12.75" customHeight="1" spans="1:27">
      <c r="A65" s="13"/>
      <c r="B65" s="163"/>
      <c r="C65" s="163"/>
      <c r="D65" s="164"/>
      <c r="E65" s="164"/>
      <c r="F65" s="164"/>
      <c r="G65" s="164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2.75" customHeight="1" spans="1:27">
      <c r="A66" s="13"/>
      <c r="B66" s="163"/>
      <c r="C66" s="163"/>
      <c r="D66" s="164"/>
      <c r="E66" s="164"/>
      <c r="F66" s="164"/>
      <c r="G66" s="164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12.75" customHeight="1" spans="1:27">
      <c r="A67" s="13"/>
      <c r="B67" s="163"/>
      <c r="C67" s="163"/>
      <c r="D67" s="164"/>
      <c r="E67" s="164"/>
      <c r="F67" s="164"/>
      <c r="G67" s="164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2.75" customHeight="1" spans="1:27">
      <c r="A68" s="13"/>
      <c r="B68" s="163"/>
      <c r="C68" s="163"/>
      <c r="D68" s="164"/>
      <c r="E68" s="164"/>
      <c r="F68" s="164"/>
      <c r="G68" s="164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2.75" customHeight="1" spans="1:27">
      <c r="A69" s="13"/>
      <c r="B69" s="163"/>
      <c r="C69" s="163"/>
      <c r="D69" s="164"/>
      <c r="E69" s="164"/>
      <c r="F69" s="164"/>
      <c r="G69" s="164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2.75" customHeight="1" spans="1:27">
      <c r="A70" s="13"/>
      <c r="B70" s="163"/>
      <c r="C70" s="163"/>
      <c r="D70" s="164"/>
      <c r="E70" s="164"/>
      <c r="F70" s="164"/>
      <c r="G70" s="164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12.75" customHeight="1" spans="1:27">
      <c r="A71" s="13"/>
      <c r="B71" s="163"/>
      <c r="C71" s="163"/>
      <c r="D71" s="164"/>
      <c r="E71" s="164"/>
      <c r="F71" s="164"/>
      <c r="G71" s="164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2.75" customHeight="1" spans="1:27">
      <c r="A72" s="13"/>
      <c r="B72" s="163"/>
      <c r="C72" s="163"/>
      <c r="D72" s="164"/>
      <c r="E72" s="164"/>
      <c r="F72" s="164"/>
      <c r="G72" s="164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2.75" customHeight="1" spans="1:27">
      <c r="A73" s="13"/>
      <c r="B73" s="163"/>
      <c r="C73" s="163"/>
      <c r="D73" s="164"/>
      <c r="E73" s="164"/>
      <c r="F73" s="164"/>
      <c r="G73" s="164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2.75" customHeight="1" spans="1:27">
      <c r="A74" s="13"/>
      <c r="B74" s="163"/>
      <c r="C74" s="163"/>
      <c r="D74" s="164"/>
      <c r="E74" s="164"/>
      <c r="F74" s="164"/>
      <c r="G74" s="164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2.75" customHeight="1" spans="1:27">
      <c r="A75" s="13"/>
      <c r="B75" s="163"/>
      <c r="C75" s="163"/>
      <c r="D75" s="164"/>
      <c r="E75" s="164"/>
      <c r="F75" s="164"/>
      <c r="G75" s="164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2.75" customHeight="1" spans="1:27">
      <c r="A76" s="13"/>
      <c r="B76" s="163"/>
      <c r="C76" s="163"/>
      <c r="D76" s="164"/>
      <c r="E76" s="164"/>
      <c r="F76" s="164"/>
      <c r="G76" s="164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12.75" customHeight="1" spans="1:27">
      <c r="A77" s="13"/>
      <c r="B77" s="163"/>
      <c r="C77" s="163"/>
      <c r="D77" s="164"/>
      <c r="E77" s="164"/>
      <c r="F77" s="164"/>
      <c r="G77" s="164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2.75" customHeight="1" spans="1:27">
      <c r="A78" s="13"/>
      <c r="B78" s="163"/>
      <c r="C78" s="163"/>
      <c r="D78" s="164"/>
      <c r="E78" s="164"/>
      <c r="F78" s="164"/>
      <c r="G78" s="164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2.75" customHeight="1" spans="1:27">
      <c r="A79" s="13"/>
      <c r="B79" s="163"/>
      <c r="C79" s="163"/>
      <c r="D79" s="164"/>
      <c r="E79" s="164"/>
      <c r="F79" s="164"/>
      <c r="G79" s="164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2.75" customHeight="1" spans="1:27">
      <c r="A80" s="13"/>
      <c r="B80" s="163"/>
      <c r="C80" s="163"/>
      <c r="D80" s="164"/>
      <c r="E80" s="164"/>
      <c r="F80" s="164"/>
      <c r="G80" s="164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2.75" customHeight="1" spans="1:27">
      <c r="A81" s="13"/>
      <c r="B81" s="163"/>
      <c r="C81" s="163"/>
      <c r="D81" s="164"/>
      <c r="E81" s="164"/>
      <c r="F81" s="164"/>
      <c r="G81" s="164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2.75" customHeight="1" spans="1:27">
      <c r="A82" s="13"/>
      <c r="B82" s="163"/>
      <c r="C82" s="163"/>
      <c r="D82" s="164"/>
      <c r="E82" s="164"/>
      <c r="F82" s="164"/>
      <c r="G82" s="164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12.75" customHeight="1" spans="1:27">
      <c r="A83" s="13"/>
      <c r="B83" s="163"/>
      <c r="C83" s="163"/>
      <c r="D83" s="164"/>
      <c r="E83" s="164"/>
      <c r="F83" s="164"/>
      <c r="G83" s="164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2.75" customHeight="1" spans="1:27">
      <c r="A84" s="13"/>
      <c r="B84" s="163"/>
      <c r="C84" s="163"/>
      <c r="D84" s="164"/>
      <c r="E84" s="164"/>
      <c r="F84" s="164"/>
      <c r="G84" s="164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12.75" customHeight="1" spans="1:27">
      <c r="A85" s="13"/>
      <c r="B85" s="163"/>
      <c r="C85" s="163"/>
      <c r="D85" s="164"/>
      <c r="E85" s="164"/>
      <c r="F85" s="164"/>
      <c r="G85" s="164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2.75" customHeight="1" spans="1:27">
      <c r="A86" s="13"/>
      <c r="B86" s="163"/>
      <c r="C86" s="163"/>
      <c r="D86" s="164"/>
      <c r="E86" s="164"/>
      <c r="F86" s="164"/>
      <c r="G86" s="164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2.75" customHeight="1" spans="1:27">
      <c r="A87" s="13"/>
      <c r="B87" s="163"/>
      <c r="C87" s="163"/>
      <c r="D87" s="164"/>
      <c r="E87" s="164"/>
      <c r="F87" s="164"/>
      <c r="G87" s="164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2.75" customHeight="1" spans="1:27">
      <c r="A88" s="13"/>
      <c r="B88" s="163"/>
      <c r="C88" s="163"/>
      <c r="D88" s="164"/>
      <c r="E88" s="164"/>
      <c r="F88" s="164"/>
      <c r="G88" s="164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2.75" customHeight="1" spans="1:27">
      <c r="A89" s="13"/>
      <c r="B89" s="163"/>
      <c r="C89" s="163"/>
      <c r="D89" s="164"/>
      <c r="E89" s="164"/>
      <c r="F89" s="164"/>
      <c r="G89" s="164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2.75" customHeight="1" spans="1:27">
      <c r="A90" s="13"/>
      <c r="B90" s="163"/>
      <c r="C90" s="163"/>
      <c r="D90" s="164"/>
      <c r="E90" s="164"/>
      <c r="F90" s="164"/>
      <c r="G90" s="164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2.75" customHeight="1" spans="1:27">
      <c r="A91" s="13"/>
      <c r="B91" s="163"/>
      <c r="C91" s="163"/>
      <c r="D91" s="164"/>
      <c r="E91" s="164"/>
      <c r="F91" s="164"/>
      <c r="G91" s="164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2.75" customHeight="1" spans="1:27">
      <c r="A92" s="13"/>
      <c r="B92" s="163"/>
      <c r="C92" s="163"/>
      <c r="D92" s="164"/>
      <c r="E92" s="164"/>
      <c r="F92" s="164"/>
      <c r="G92" s="164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2.75" customHeight="1" spans="1:27">
      <c r="A93" s="13"/>
      <c r="B93" s="163"/>
      <c r="C93" s="163"/>
      <c r="D93" s="164"/>
      <c r="E93" s="164"/>
      <c r="F93" s="164"/>
      <c r="G93" s="164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2.75" customHeight="1" spans="1:27">
      <c r="A94" s="13"/>
      <c r="B94" s="163"/>
      <c r="C94" s="163"/>
      <c r="D94" s="164"/>
      <c r="E94" s="164"/>
      <c r="F94" s="164"/>
      <c r="G94" s="164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2.75" customHeight="1" spans="1:27">
      <c r="A95" s="13"/>
      <c r="B95" s="163"/>
      <c r="C95" s="163"/>
      <c r="D95" s="164"/>
      <c r="E95" s="164"/>
      <c r="F95" s="164"/>
      <c r="G95" s="164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2.75" customHeight="1" spans="1:27">
      <c r="A96" s="13"/>
      <c r="B96" s="163"/>
      <c r="C96" s="163"/>
      <c r="D96" s="164"/>
      <c r="E96" s="164"/>
      <c r="F96" s="164"/>
      <c r="G96" s="164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2.75" customHeight="1" spans="1:27">
      <c r="A97" s="13"/>
      <c r="B97" s="163"/>
      <c r="C97" s="163"/>
      <c r="D97" s="164"/>
      <c r="E97" s="164"/>
      <c r="F97" s="164"/>
      <c r="G97" s="164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2.75" customHeight="1" spans="1:27">
      <c r="A98" s="13"/>
      <c r="B98" s="163"/>
      <c r="C98" s="163"/>
      <c r="D98" s="164"/>
      <c r="E98" s="164"/>
      <c r="F98" s="164"/>
      <c r="G98" s="164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2.75" customHeight="1" spans="1:27">
      <c r="A99" s="13"/>
      <c r="B99" s="163"/>
      <c r="C99" s="163"/>
      <c r="D99" s="164"/>
      <c r="E99" s="164"/>
      <c r="F99" s="164"/>
      <c r="G99" s="164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2.75" customHeight="1" spans="1:27">
      <c r="A100" s="13"/>
      <c r="B100" s="163"/>
      <c r="C100" s="163"/>
      <c r="D100" s="164"/>
      <c r="E100" s="164"/>
      <c r="F100" s="164"/>
      <c r="G100" s="164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2.75" customHeight="1" spans="1:27">
      <c r="A101" s="13"/>
      <c r="B101" s="163"/>
      <c r="C101" s="163"/>
      <c r="D101" s="164"/>
      <c r="E101" s="164"/>
      <c r="F101" s="164"/>
      <c r="G101" s="164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2.75" customHeight="1" spans="1:27">
      <c r="A102" s="13"/>
      <c r="B102" s="163"/>
      <c r="C102" s="163"/>
      <c r="D102" s="164"/>
      <c r="E102" s="164"/>
      <c r="F102" s="164"/>
      <c r="G102" s="164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2.75" customHeight="1" spans="1:27">
      <c r="A103" s="13"/>
      <c r="B103" s="163"/>
      <c r="C103" s="163"/>
      <c r="D103" s="164"/>
      <c r="E103" s="164"/>
      <c r="F103" s="164"/>
      <c r="G103" s="164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2.75" customHeight="1" spans="1:27">
      <c r="A104" s="13"/>
      <c r="B104" s="163"/>
      <c r="C104" s="163"/>
      <c r="D104" s="164"/>
      <c r="E104" s="164"/>
      <c r="F104" s="164"/>
      <c r="G104" s="164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2.75" customHeight="1" spans="1:27">
      <c r="A105" s="13"/>
      <c r="B105" s="163"/>
      <c r="C105" s="163"/>
      <c r="D105" s="164"/>
      <c r="E105" s="164"/>
      <c r="F105" s="164"/>
      <c r="G105" s="164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2.75" customHeight="1" spans="1:27">
      <c r="A106" s="13"/>
      <c r="B106" s="163"/>
      <c r="C106" s="163"/>
      <c r="D106" s="164"/>
      <c r="E106" s="164"/>
      <c r="F106" s="164"/>
      <c r="G106" s="164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2.75" customHeight="1" spans="1:27">
      <c r="A107" s="13"/>
      <c r="B107" s="163"/>
      <c r="C107" s="163"/>
      <c r="D107" s="164"/>
      <c r="E107" s="164"/>
      <c r="F107" s="164"/>
      <c r="G107" s="164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2.75" customHeight="1" spans="1:27">
      <c r="A108" s="13"/>
      <c r="B108" s="163"/>
      <c r="C108" s="163"/>
      <c r="D108" s="164"/>
      <c r="E108" s="164"/>
      <c r="F108" s="164"/>
      <c r="G108" s="164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2.75" customHeight="1" spans="1:27">
      <c r="A109" s="13"/>
      <c r="B109" s="163"/>
      <c r="C109" s="163"/>
      <c r="D109" s="164"/>
      <c r="E109" s="164"/>
      <c r="F109" s="164"/>
      <c r="G109" s="164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2.75" customHeight="1" spans="1:27">
      <c r="A110" s="13"/>
      <c r="B110" s="163"/>
      <c r="C110" s="163"/>
      <c r="D110" s="164"/>
      <c r="E110" s="164"/>
      <c r="F110" s="164"/>
      <c r="G110" s="164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2.75" customHeight="1" spans="1:27">
      <c r="A111" s="13"/>
      <c r="B111" s="163"/>
      <c r="C111" s="163"/>
      <c r="D111" s="164"/>
      <c r="E111" s="164"/>
      <c r="F111" s="164"/>
      <c r="G111" s="164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2.75" customHeight="1" spans="1:27">
      <c r="A112" s="13"/>
      <c r="B112" s="163"/>
      <c r="C112" s="163"/>
      <c r="D112" s="164"/>
      <c r="E112" s="164"/>
      <c r="F112" s="164"/>
      <c r="G112" s="164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2.75" customHeight="1" spans="1:27">
      <c r="A113" s="13"/>
      <c r="B113" s="163"/>
      <c r="C113" s="163"/>
      <c r="D113" s="164"/>
      <c r="E113" s="164"/>
      <c r="F113" s="164"/>
      <c r="G113" s="164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2.75" customHeight="1" spans="1:27">
      <c r="A114" s="13"/>
      <c r="B114" s="163"/>
      <c r="C114" s="163"/>
      <c r="D114" s="164"/>
      <c r="E114" s="164"/>
      <c r="F114" s="164"/>
      <c r="G114" s="164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2.75" customHeight="1" spans="1:27">
      <c r="A115" s="13"/>
      <c r="B115" s="163"/>
      <c r="C115" s="163"/>
      <c r="D115" s="164"/>
      <c r="E115" s="164"/>
      <c r="F115" s="164"/>
      <c r="G115" s="164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2.75" customHeight="1" spans="1:27">
      <c r="A116" s="13"/>
      <c r="B116" s="163"/>
      <c r="C116" s="163"/>
      <c r="D116" s="164"/>
      <c r="E116" s="164"/>
      <c r="F116" s="164"/>
      <c r="G116" s="164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2.75" customHeight="1" spans="1:27">
      <c r="A117" s="13"/>
      <c r="B117" s="163"/>
      <c r="C117" s="163"/>
      <c r="D117" s="164"/>
      <c r="E117" s="164"/>
      <c r="F117" s="164"/>
      <c r="G117" s="164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2.75" customHeight="1" spans="1:27">
      <c r="A118" s="13"/>
      <c r="B118" s="163"/>
      <c r="C118" s="163"/>
      <c r="D118" s="164"/>
      <c r="E118" s="164"/>
      <c r="F118" s="164"/>
      <c r="G118" s="164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2.75" customHeight="1" spans="1:27">
      <c r="A119" s="13"/>
      <c r="B119" s="163"/>
      <c r="C119" s="163"/>
      <c r="D119" s="164"/>
      <c r="E119" s="164"/>
      <c r="F119" s="164"/>
      <c r="G119" s="164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2.75" customHeight="1" spans="1:27">
      <c r="A120" s="13"/>
      <c r="B120" s="163"/>
      <c r="C120" s="163"/>
      <c r="D120" s="164"/>
      <c r="E120" s="164"/>
      <c r="F120" s="164"/>
      <c r="G120" s="164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2.75" customHeight="1" spans="1:27">
      <c r="A121" s="13"/>
      <c r="B121" s="163"/>
      <c r="C121" s="163"/>
      <c r="D121" s="164"/>
      <c r="E121" s="164"/>
      <c r="F121" s="164"/>
      <c r="G121" s="164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2.75" customHeight="1" spans="1:27">
      <c r="A122" s="13"/>
      <c r="B122" s="163"/>
      <c r="C122" s="163"/>
      <c r="D122" s="164"/>
      <c r="E122" s="164"/>
      <c r="F122" s="164"/>
      <c r="G122" s="164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2.75" customHeight="1" spans="1:27">
      <c r="A123" s="13"/>
      <c r="B123" s="163"/>
      <c r="C123" s="163"/>
      <c r="D123" s="164"/>
      <c r="E123" s="164"/>
      <c r="F123" s="164"/>
      <c r="G123" s="164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2.75" customHeight="1" spans="1:27">
      <c r="A124" s="13"/>
      <c r="B124" s="163"/>
      <c r="C124" s="163"/>
      <c r="D124" s="164"/>
      <c r="E124" s="164"/>
      <c r="F124" s="164"/>
      <c r="G124" s="164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2.75" customHeight="1" spans="1:27">
      <c r="A125" s="13"/>
      <c r="B125" s="163"/>
      <c r="C125" s="163"/>
      <c r="D125" s="164"/>
      <c r="E125" s="164"/>
      <c r="F125" s="164"/>
      <c r="G125" s="164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2.75" customHeight="1" spans="1:27">
      <c r="A126" s="13"/>
      <c r="B126" s="163"/>
      <c r="C126" s="163"/>
      <c r="D126" s="164"/>
      <c r="E126" s="164"/>
      <c r="F126" s="164"/>
      <c r="G126" s="164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2.75" customHeight="1" spans="1:27">
      <c r="A127" s="13"/>
      <c r="B127" s="163"/>
      <c r="C127" s="163"/>
      <c r="D127" s="164"/>
      <c r="E127" s="164"/>
      <c r="F127" s="164"/>
      <c r="G127" s="164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2.75" customHeight="1" spans="1:27">
      <c r="A128" s="13"/>
      <c r="B128" s="163"/>
      <c r="C128" s="163"/>
      <c r="D128" s="164"/>
      <c r="E128" s="164"/>
      <c r="F128" s="164"/>
      <c r="G128" s="164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2.75" customHeight="1" spans="1:27">
      <c r="A129" s="13"/>
      <c r="B129" s="163"/>
      <c r="C129" s="163"/>
      <c r="D129" s="164"/>
      <c r="E129" s="164"/>
      <c r="F129" s="164"/>
      <c r="G129" s="164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2.75" customHeight="1" spans="1:27">
      <c r="A130" s="13"/>
      <c r="B130" s="163"/>
      <c r="C130" s="163"/>
      <c r="D130" s="164"/>
      <c r="E130" s="164"/>
      <c r="F130" s="164"/>
      <c r="G130" s="164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2.75" customHeight="1" spans="1:27">
      <c r="A131" s="13"/>
      <c r="B131" s="163"/>
      <c r="C131" s="163"/>
      <c r="D131" s="164"/>
      <c r="E131" s="164"/>
      <c r="F131" s="164"/>
      <c r="G131" s="164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2.75" customHeight="1" spans="1:27">
      <c r="A132" s="13"/>
      <c r="B132" s="163"/>
      <c r="C132" s="163"/>
      <c r="D132" s="164"/>
      <c r="E132" s="164"/>
      <c r="F132" s="164"/>
      <c r="G132" s="164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2.75" customHeight="1" spans="1:27">
      <c r="A133" s="13"/>
      <c r="B133" s="163"/>
      <c r="C133" s="163"/>
      <c r="D133" s="164"/>
      <c r="E133" s="164"/>
      <c r="F133" s="164"/>
      <c r="G133" s="164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2.75" customHeight="1" spans="1:27">
      <c r="A134" s="13"/>
      <c r="B134" s="163"/>
      <c r="C134" s="163"/>
      <c r="D134" s="164"/>
      <c r="E134" s="164"/>
      <c r="F134" s="164"/>
      <c r="G134" s="164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2.75" customHeight="1" spans="1:27">
      <c r="A135" s="13"/>
      <c r="B135" s="163"/>
      <c r="C135" s="163"/>
      <c r="D135" s="164"/>
      <c r="E135" s="164"/>
      <c r="F135" s="164"/>
      <c r="G135" s="164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2.75" customHeight="1" spans="1:27">
      <c r="A136" s="13"/>
      <c r="B136" s="163"/>
      <c r="C136" s="163"/>
      <c r="D136" s="164"/>
      <c r="E136" s="164"/>
      <c r="F136" s="164"/>
      <c r="G136" s="164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2.75" customHeight="1" spans="1:27">
      <c r="A137" s="13"/>
      <c r="B137" s="163"/>
      <c r="C137" s="163"/>
      <c r="D137" s="164"/>
      <c r="E137" s="164"/>
      <c r="F137" s="164"/>
      <c r="G137" s="164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2.75" customHeight="1" spans="1:27">
      <c r="A138" s="13"/>
      <c r="B138" s="163"/>
      <c r="C138" s="163"/>
      <c r="D138" s="164"/>
      <c r="E138" s="164"/>
      <c r="F138" s="164"/>
      <c r="G138" s="164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2.75" customHeight="1" spans="1:27">
      <c r="A139" s="13"/>
      <c r="B139" s="163"/>
      <c r="C139" s="163"/>
      <c r="D139" s="164"/>
      <c r="E139" s="164"/>
      <c r="F139" s="164"/>
      <c r="G139" s="164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2.75" customHeight="1" spans="1:27">
      <c r="A140" s="13"/>
      <c r="B140" s="163"/>
      <c r="C140" s="163"/>
      <c r="D140" s="164"/>
      <c r="E140" s="164"/>
      <c r="F140" s="164"/>
      <c r="G140" s="164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2.75" customHeight="1" spans="1:27">
      <c r="A141" s="13"/>
      <c r="B141" s="163"/>
      <c r="C141" s="163"/>
      <c r="D141" s="164"/>
      <c r="E141" s="164"/>
      <c r="F141" s="164"/>
      <c r="G141" s="164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2.75" customHeight="1" spans="1:27">
      <c r="A142" s="13"/>
      <c r="B142" s="163"/>
      <c r="C142" s="163"/>
      <c r="D142" s="164"/>
      <c r="E142" s="164"/>
      <c r="F142" s="164"/>
      <c r="G142" s="164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2.75" customHeight="1" spans="1:27">
      <c r="A143" s="13"/>
      <c r="B143" s="163"/>
      <c r="C143" s="163"/>
      <c r="D143" s="164"/>
      <c r="E143" s="164"/>
      <c r="F143" s="164"/>
      <c r="G143" s="164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2.75" customHeight="1" spans="1:27">
      <c r="A144" s="13"/>
      <c r="B144" s="163"/>
      <c r="C144" s="163"/>
      <c r="D144" s="164"/>
      <c r="E144" s="164"/>
      <c r="F144" s="164"/>
      <c r="G144" s="164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2.75" customHeight="1" spans="1:27">
      <c r="A145" s="13"/>
      <c r="B145" s="163"/>
      <c r="C145" s="163"/>
      <c r="D145" s="164"/>
      <c r="E145" s="164"/>
      <c r="F145" s="164"/>
      <c r="G145" s="164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2.75" customHeight="1" spans="1:27">
      <c r="A146" s="13"/>
      <c r="B146" s="163"/>
      <c r="C146" s="163"/>
      <c r="D146" s="164"/>
      <c r="E146" s="164"/>
      <c r="F146" s="164"/>
      <c r="G146" s="164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2.75" customHeight="1" spans="1:27">
      <c r="A147" s="13"/>
      <c r="B147" s="163"/>
      <c r="C147" s="163"/>
      <c r="D147" s="164"/>
      <c r="E147" s="164"/>
      <c r="F147" s="164"/>
      <c r="G147" s="164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2.75" customHeight="1" spans="1:27">
      <c r="A148" s="13"/>
      <c r="B148" s="163"/>
      <c r="C148" s="163"/>
      <c r="D148" s="164"/>
      <c r="E148" s="164"/>
      <c r="F148" s="164"/>
      <c r="G148" s="164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2.75" customHeight="1" spans="1:27">
      <c r="A149" s="13"/>
      <c r="B149" s="163"/>
      <c r="C149" s="163"/>
      <c r="D149" s="164"/>
      <c r="E149" s="164"/>
      <c r="F149" s="164"/>
      <c r="G149" s="164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2.75" customHeight="1" spans="1:27">
      <c r="A150" s="13"/>
      <c r="B150" s="163"/>
      <c r="C150" s="163"/>
      <c r="D150" s="164"/>
      <c r="E150" s="164"/>
      <c r="F150" s="164"/>
      <c r="G150" s="164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2.75" customHeight="1" spans="1:27">
      <c r="A151" s="13"/>
      <c r="B151" s="163"/>
      <c r="C151" s="163"/>
      <c r="D151" s="164"/>
      <c r="E151" s="164"/>
      <c r="F151" s="164"/>
      <c r="G151" s="164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2.75" customHeight="1" spans="1:27">
      <c r="A152" s="13"/>
      <c r="B152" s="163"/>
      <c r="C152" s="163"/>
      <c r="D152" s="164"/>
      <c r="E152" s="164"/>
      <c r="F152" s="164"/>
      <c r="G152" s="164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2.75" customHeight="1" spans="1:27">
      <c r="A153" s="13"/>
      <c r="B153" s="163"/>
      <c r="C153" s="163"/>
      <c r="D153" s="164"/>
      <c r="E153" s="164"/>
      <c r="F153" s="164"/>
      <c r="G153" s="164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2.75" customHeight="1" spans="1:27">
      <c r="A154" s="13"/>
      <c r="B154" s="163"/>
      <c r="C154" s="163"/>
      <c r="D154" s="164"/>
      <c r="E154" s="164"/>
      <c r="F154" s="164"/>
      <c r="G154" s="164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2.75" customHeight="1" spans="1:27">
      <c r="A155" s="13"/>
      <c r="B155" s="163"/>
      <c r="C155" s="163"/>
      <c r="D155" s="164"/>
      <c r="E155" s="164"/>
      <c r="F155" s="164"/>
      <c r="G155" s="164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2.75" customHeight="1" spans="1:27">
      <c r="A156" s="13"/>
      <c r="B156" s="163"/>
      <c r="C156" s="163"/>
      <c r="D156" s="164"/>
      <c r="E156" s="164"/>
      <c r="F156" s="164"/>
      <c r="G156" s="164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2.75" customHeight="1" spans="1:27">
      <c r="A157" s="13"/>
      <c r="B157" s="163"/>
      <c r="C157" s="163"/>
      <c r="D157" s="164"/>
      <c r="E157" s="164"/>
      <c r="F157" s="164"/>
      <c r="G157" s="164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2.75" customHeight="1" spans="1:27">
      <c r="A158" s="13"/>
      <c r="B158" s="163"/>
      <c r="C158" s="163"/>
      <c r="D158" s="164"/>
      <c r="E158" s="164"/>
      <c r="F158" s="164"/>
      <c r="G158" s="164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2.75" customHeight="1" spans="1:27">
      <c r="A159" s="13"/>
      <c r="B159" s="163"/>
      <c r="C159" s="163"/>
      <c r="D159" s="164"/>
      <c r="E159" s="164"/>
      <c r="F159" s="164"/>
      <c r="G159" s="164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2.75" customHeight="1" spans="1:27">
      <c r="A160" s="13"/>
      <c r="B160" s="163"/>
      <c r="C160" s="163"/>
      <c r="D160" s="164"/>
      <c r="E160" s="164"/>
      <c r="F160" s="164"/>
      <c r="G160" s="164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2.75" customHeight="1" spans="1:27">
      <c r="A161" s="13"/>
      <c r="B161" s="163"/>
      <c r="C161" s="163"/>
      <c r="D161" s="164"/>
      <c r="E161" s="164"/>
      <c r="F161" s="164"/>
      <c r="G161" s="164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2.75" customHeight="1" spans="1:27">
      <c r="A162" s="13"/>
      <c r="B162" s="163"/>
      <c r="C162" s="163"/>
      <c r="D162" s="164"/>
      <c r="E162" s="164"/>
      <c r="F162" s="164"/>
      <c r="G162" s="164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2.75" customHeight="1" spans="1:27">
      <c r="A163" s="13"/>
      <c r="B163" s="163"/>
      <c r="C163" s="163"/>
      <c r="D163" s="164"/>
      <c r="E163" s="164"/>
      <c r="F163" s="164"/>
      <c r="G163" s="164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2.75" customHeight="1" spans="1:27">
      <c r="A164" s="13"/>
      <c r="B164" s="163"/>
      <c r="C164" s="163"/>
      <c r="D164" s="164"/>
      <c r="E164" s="164"/>
      <c r="F164" s="164"/>
      <c r="G164" s="164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2.75" customHeight="1" spans="1:27">
      <c r="A165" s="13"/>
      <c r="B165" s="163"/>
      <c r="C165" s="163"/>
      <c r="D165" s="164"/>
      <c r="E165" s="164"/>
      <c r="F165" s="164"/>
      <c r="G165" s="164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2.75" customHeight="1" spans="1:27">
      <c r="A166" s="13"/>
      <c r="B166" s="163"/>
      <c r="C166" s="163"/>
      <c r="D166" s="164"/>
      <c r="E166" s="164"/>
      <c r="F166" s="164"/>
      <c r="G166" s="164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2.75" customHeight="1" spans="1:27">
      <c r="A167" s="13"/>
      <c r="B167" s="163"/>
      <c r="C167" s="163"/>
      <c r="D167" s="164"/>
      <c r="E167" s="164"/>
      <c r="F167" s="164"/>
      <c r="G167" s="164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2.75" customHeight="1" spans="1:27">
      <c r="A168" s="13"/>
      <c r="B168" s="163"/>
      <c r="C168" s="163"/>
      <c r="D168" s="164"/>
      <c r="E168" s="164"/>
      <c r="F168" s="164"/>
      <c r="G168" s="164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2.75" customHeight="1" spans="1:27">
      <c r="A169" s="13"/>
      <c r="B169" s="163"/>
      <c r="C169" s="163"/>
      <c r="D169" s="164"/>
      <c r="E169" s="164"/>
      <c r="F169" s="164"/>
      <c r="G169" s="164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2.75" customHeight="1" spans="1:27">
      <c r="A170" s="13"/>
      <c r="B170" s="163"/>
      <c r="C170" s="163"/>
      <c r="D170" s="164"/>
      <c r="E170" s="164"/>
      <c r="F170" s="164"/>
      <c r="G170" s="164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2.75" customHeight="1" spans="1:27">
      <c r="A171" s="13"/>
      <c r="B171" s="163"/>
      <c r="C171" s="163"/>
      <c r="D171" s="164"/>
      <c r="E171" s="164"/>
      <c r="F171" s="164"/>
      <c r="G171" s="164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2.75" customHeight="1" spans="1:27">
      <c r="A172" s="13"/>
      <c r="B172" s="163"/>
      <c r="C172" s="163"/>
      <c r="D172" s="164"/>
      <c r="E172" s="164"/>
      <c r="F172" s="164"/>
      <c r="G172" s="164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2.75" customHeight="1" spans="1:27">
      <c r="A173" s="13"/>
      <c r="B173" s="163"/>
      <c r="C173" s="163"/>
      <c r="D173" s="164"/>
      <c r="E173" s="164"/>
      <c r="F173" s="164"/>
      <c r="G173" s="164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2.75" customHeight="1" spans="1:27">
      <c r="A174" s="13"/>
      <c r="B174" s="163"/>
      <c r="C174" s="163"/>
      <c r="D174" s="164"/>
      <c r="E174" s="164"/>
      <c r="F174" s="164"/>
      <c r="G174" s="164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2.75" customHeight="1" spans="1:27">
      <c r="A175" s="13"/>
      <c r="B175" s="163"/>
      <c r="C175" s="163"/>
      <c r="D175" s="164"/>
      <c r="E175" s="164"/>
      <c r="F175" s="164"/>
      <c r="G175" s="164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2.75" customHeight="1" spans="1:27">
      <c r="A176" s="13"/>
      <c r="B176" s="163"/>
      <c r="C176" s="163"/>
      <c r="D176" s="164"/>
      <c r="E176" s="164"/>
      <c r="F176" s="164"/>
      <c r="G176" s="164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2.75" customHeight="1" spans="1:27">
      <c r="A177" s="13"/>
      <c r="B177" s="163"/>
      <c r="C177" s="163"/>
      <c r="D177" s="164"/>
      <c r="E177" s="164"/>
      <c r="F177" s="164"/>
      <c r="G177" s="164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2.75" customHeight="1" spans="1:27">
      <c r="A178" s="13"/>
      <c r="B178" s="163"/>
      <c r="C178" s="163"/>
      <c r="D178" s="164"/>
      <c r="E178" s="164"/>
      <c r="F178" s="164"/>
      <c r="G178" s="164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2.75" customHeight="1" spans="1:27">
      <c r="A179" s="13"/>
      <c r="B179" s="163"/>
      <c r="C179" s="163"/>
      <c r="D179" s="164"/>
      <c r="E179" s="164"/>
      <c r="F179" s="164"/>
      <c r="G179" s="164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2.75" customHeight="1" spans="1:27">
      <c r="A180" s="13"/>
      <c r="B180" s="163"/>
      <c r="C180" s="163"/>
      <c r="D180" s="164"/>
      <c r="E180" s="164"/>
      <c r="F180" s="164"/>
      <c r="G180" s="164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2.75" customHeight="1" spans="1:27">
      <c r="A181" s="13"/>
      <c r="B181" s="163"/>
      <c r="C181" s="163"/>
      <c r="D181" s="164"/>
      <c r="E181" s="164"/>
      <c r="F181" s="164"/>
      <c r="G181" s="164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2.75" customHeight="1" spans="1:27">
      <c r="A182" s="13"/>
      <c r="B182" s="163"/>
      <c r="C182" s="163"/>
      <c r="D182" s="164"/>
      <c r="E182" s="164"/>
      <c r="F182" s="164"/>
      <c r="G182" s="164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2.75" customHeight="1" spans="1:27">
      <c r="A183" s="13"/>
      <c r="B183" s="163"/>
      <c r="C183" s="163"/>
      <c r="D183" s="164"/>
      <c r="E183" s="164"/>
      <c r="F183" s="164"/>
      <c r="G183" s="164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2.75" customHeight="1" spans="1:27">
      <c r="A184" s="13"/>
      <c r="B184" s="163"/>
      <c r="C184" s="163"/>
      <c r="D184" s="164"/>
      <c r="E184" s="164"/>
      <c r="F184" s="164"/>
      <c r="G184" s="164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2.75" customHeight="1" spans="1:27">
      <c r="A185" s="13"/>
      <c r="B185" s="163"/>
      <c r="C185" s="163"/>
      <c r="D185" s="164"/>
      <c r="E185" s="164"/>
      <c r="F185" s="164"/>
      <c r="G185" s="164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2.75" customHeight="1" spans="1:27">
      <c r="A186" s="13"/>
      <c r="B186" s="163"/>
      <c r="C186" s="163"/>
      <c r="D186" s="164"/>
      <c r="E186" s="164"/>
      <c r="F186" s="164"/>
      <c r="G186" s="164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2.75" customHeight="1" spans="1:27">
      <c r="A187" s="13"/>
      <c r="B187" s="163"/>
      <c r="C187" s="163"/>
      <c r="D187" s="164"/>
      <c r="E187" s="164"/>
      <c r="F187" s="164"/>
      <c r="G187" s="164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2.75" customHeight="1" spans="1:27">
      <c r="A188" s="13"/>
      <c r="B188" s="163"/>
      <c r="C188" s="163"/>
      <c r="D188" s="164"/>
      <c r="E188" s="164"/>
      <c r="F188" s="164"/>
      <c r="G188" s="164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2.75" customHeight="1" spans="1:27">
      <c r="A189" s="13"/>
      <c r="B189" s="163"/>
      <c r="C189" s="163"/>
      <c r="D189" s="164"/>
      <c r="E189" s="164"/>
      <c r="F189" s="164"/>
      <c r="G189" s="164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2.75" customHeight="1" spans="1:27">
      <c r="A190" s="13"/>
      <c r="B190" s="163"/>
      <c r="C190" s="163"/>
      <c r="D190" s="164"/>
      <c r="E190" s="164"/>
      <c r="F190" s="164"/>
      <c r="G190" s="164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2.75" customHeight="1" spans="1:27">
      <c r="A191" s="13"/>
      <c r="B191" s="163"/>
      <c r="C191" s="163"/>
      <c r="D191" s="164"/>
      <c r="E191" s="164"/>
      <c r="F191" s="164"/>
      <c r="G191" s="164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2.75" customHeight="1" spans="1:27">
      <c r="A192" s="13"/>
      <c r="B192" s="163"/>
      <c r="C192" s="163"/>
      <c r="D192" s="164"/>
      <c r="E192" s="164"/>
      <c r="F192" s="164"/>
      <c r="G192" s="164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2.75" customHeight="1" spans="1:27">
      <c r="A193" s="13"/>
      <c r="B193" s="163"/>
      <c r="C193" s="163"/>
      <c r="D193" s="164"/>
      <c r="E193" s="164"/>
      <c r="F193" s="164"/>
      <c r="G193" s="164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2.75" customHeight="1" spans="1:27">
      <c r="A194" s="13"/>
      <c r="B194" s="163"/>
      <c r="C194" s="163"/>
      <c r="D194" s="164"/>
      <c r="E194" s="164"/>
      <c r="F194" s="164"/>
      <c r="G194" s="164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2.75" customHeight="1" spans="1:27">
      <c r="A195" s="13"/>
      <c r="B195" s="163"/>
      <c r="C195" s="163"/>
      <c r="D195" s="164"/>
      <c r="E195" s="164"/>
      <c r="F195" s="164"/>
      <c r="G195" s="164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2.75" customHeight="1" spans="1:27">
      <c r="A196" s="13"/>
      <c r="B196" s="163"/>
      <c r="C196" s="163"/>
      <c r="D196" s="164"/>
      <c r="E196" s="164"/>
      <c r="F196" s="164"/>
      <c r="G196" s="164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2.75" customHeight="1" spans="1:27">
      <c r="A197" s="13"/>
      <c r="B197" s="163"/>
      <c r="C197" s="163"/>
      <c r="D197" s="164"/>
      <c r="E197" s="164"/>
      <c r="F197" s="164"/>
      <c r="G197" s="164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2.75" customHeight="1" spans="1:27">
      <c r="A198" s="13"/>
      <c r="B198" s="163"/>
      <c r="C198" s="163"/>
      <c r="D198" s="164"/>
      <c r="E198" s="164"/>
      <c r="F198" s="164"/>
      <c r="G198" s="164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2.75" customHeight="1" spans="1:27">
      <c r="A199" s="13"/>
      <c r="B199" s="163"/>
      <c r="C199" s="163"/>
      <c r="D199" s="164"/>
      <c r="E199" s="164"/>
      <c r="F199" s="164"/>
      <c r="G199" s="164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2.75" customHeight="1" spans="1:27">
      <c r="A200" s="13"/>
      <c r="B200" s="163"/>
      <c r="C200" s="163"/>
      <c r="D200" s="164"/>
      <c r="E200" s="164"/>
      <c r="F200" s="164"/>
      <c r="G200" s="164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2.75" customHeight="1" spans="1:27">
      <c r="A201" s="13"/>
      <c r="B201" s="163"/>
      <c r="C201" s="163"/>
      <c r="D201" s="164"/>
      <c r="E201" s="164"/>
      <c r="F201" s="164"/>
      <c r="G201" s="164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2.75" customHeight="1" spans="1:27">
      <c r="A202" s="13"/>
      <c r="B202" s="163"/>
      <c r="C202" s="163"/>
      <c r="D202" s="164"/>
      <c r="E202" s="164"/>
      <c r="F202" s="164"/>
      <c r="G202" s="164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2.75" customHeight="1" spans="1:27">
      <c r="A203" s="13"/>
      <c r="B203" s="163"/>
      <c r="C203" s="163"/>
      <c r="D203" s="164"/>
      <c r="E203" s="164"/>
      <c r="F203" s="164"/>
      <c r="G203" s="164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2.75" customHeight="1" spans="1:27">
      <c r="A204" s="13"/>
      <c r="B204" s="163"/>
      <c r="C204" s="163"/>
      <c r="D204" s="164"/>
      <c r="E204" s="164"/>
      <c r="F204" s="164"/>
      <c r="G204" s="164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2.75" customHeight="1" spans="1:27">
      <c r="A205" s="13"/>
      <c r="B205" s="163"/>
      <c r="C205" s="163"/>
      <c r="D205" s="164"/>
      <c r="E205" s="164"/>
      <c r="F205" s="164"/>
      <c r="G205" s="164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2.75" customHeight="1" spans="1:27">
      <c r="A206" s="13"/>
      <c r="B206" s="163"/>
      <c r="C206" s="163"/>
      <c r="D206" s="164"/>
      <c r="E206" s="164"/>
      <c r="F206" s="164"/>
      <c r="G206" s="164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2.75" customHeight="1" spans="1:27">
      <c r="A207" s="13"/>
      <c r="B207" s="163"/>
      <c r="C207" s="163"/>
      <c r="D207" s="164"/>
      <c r="E207" s="164"/>
      <c r="F207" s="164"/>
      <c r="G207" s="164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2.75" customHeight="1" spans="1:27">
      <c r="A208" s="13"/>
      <c r="B208" s="163"/>
      <c r="C208" s="163"/>
      <c r="D208" s="164"/>
      <c r="E208" s="164"/>
      <c r="F208" s="164"/>
      <c r="G208" s="164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2.75" customHeight="1" spans="1:27">
      <c r="A209" s="13"/>
      <c r="B209" s="163"/>
      <c r="C209" s="163"/>
      <c r="D209" s="164"/>
      <c r="E209" s="164"/>
      <c r="F209" s="164"/>
      <c r="G209" s="164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2.75" customHeight="1" spans="1:27">
      <c r="A210" s="13"/>
      <c r="B210" s="163"/>
      <c r="C210" s="163"/>
      <c r="D210" s="164"/>
      <c r="E210" s="164"/>
      <c r="F210" s="164"/>
      <c r="G210" s="164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2.75" customHeight="1" spans="1:27">
      <c r="A211" s="13"/>
      <c r="B211" s="163"/>
      <c r="C211" s="163"/>
      <c r="D211" s="164"/>
      <c r="E211" s="164"/>
      <c r="F211" s="164"/>
      <c r="G211" s="164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2.75" customHeight="1" spans="1:27">
      <c r="A212" s="13"/>
      <c r="B212" s="163"/>
      <c r="C212" s="163"/>
      <c r="D212" s="164"/>
      <c r="E212" s="164"/>
      <c r="F212" s="164"/>
      <c r="G212" s="164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2.75" customHeight="1" spans="1:27">
      <c r="A213" s="13"/>
      <c r="B213" s="163"/>
      <c r="C213" s="163"/>
      <c r="D213" s="164"/>
      <c r="E213" s="164"/>
      <c r="F213" s="164"/>
      <c r="G213" s="164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2.75" customHeight="1" spans="1:27">
      <c r="A214" s="13"/>
      <c r="B214" s="163"/>
      <c r="C214" s="163"/>
      <c r="D214" s="164"/>
      <c r="E214" s="164"/>
      <c r="F214" s="164"/>
      <c r="G214" s="164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2.75" customHeight="1" spans="1:27">
      <c r="A215" s="13"/>
      <c r="B215" s="163"/>
      <c r="C215" s="163"/>
      <c r="D215" s="164"/>
      <c r="E215" s="164"/>
      <c r="F215" s="164"/>
      <c r="G215" s="164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2.75" customHeight="1" spans="1:27">
      <c r="A216" s="13"/>
      <c r="B216" s="163"/>
      <c r="C216" s="163"/>
      <c r="D216" s="164"/>
      <c r="E216" s="164"/>
      <c r="F216" s="164"/>
      <c r="G216" s="164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2.75" customHeight="1" spans="1:27">
      <c r="A217" s="13"/>
      <c r="B217" s="163"/>
      <c r="C217" s="163"/>
      <c r="D217" s="164"/>
      <c r="E217" s="164"/>
      <c r="F217" s="164"/>
      <c r="G217" s="164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2.75" customHeight="1" spans="1:27">
      <c r="A218" s="13"/>
      <c r="B218" s="163"/>
      <c r="C218" s="163"/>
      <c r="D218" s="164"/>
      <c r="E218" s="164"/>
      <c r="F218" s="164"/>
      <c r="G218" s="164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2.75" customHeight="1" spans="1:27">
      <c r="A219" s="13"/>
      <c r="B219" s="163"/>
      <c r="C219" s="163"/>
      <c r="D219" s="164"/>
      <c r="E219" s="164"/>
      <c r="F219" s="164"/>
      <c r="G219" s="164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2.75" customHeight="1" spans="1:27">
      <c r="A220" s="13"/>
      <c r="B220" s="163"/>
      <c r="C220" s="163"/>
      <c r="D220" s="164"/>
      <c r="E220" s="164"/>
      <c r="F220" s="164"/>
      <c r="G220" s="164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2.75" customHeight="1" spans="1:27">
      <c r="A221" s="13"/>
      <c r="B221" s="163"/>
      <c r="C221" s="163"/>
      <c r="D221" s="164"/>
      <c r="E221" s="164"/>
      <c r="F221" s="164"/>
      <c r="G221" s="164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12.75" customHeight="1" spans="1:27">
      <c r="A222" s="13"/>
      <c r="B222" s="163"/>
      <c r="C222" s="163"/>
      <c r="D222" s="164"/>
      <c r="E222" s="164"/>
      <c r="F222" s="164"/>
      <c r="G222" s="164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2.75" customHeight="1" spans="1:27">
      <c r="A223" s="13"/>
      <c r="B223" s="163"/>
      <c r="C223" s="163"/>
      <c r="D223" s="164"/>
      <c r="E223" s="164"/>
      <c r="F223" s="164"/>
      <c r="G223" s="164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12.75" customHeight="1" spans="1:27">
      <c r="A224" s="13"/>
      <c r="B224" s="163"/>
      <c r="C224" s="163"/>
      <c r="D224" s="164"/>
      <c r="E224" s="164"/>
      <c r="F224" s="164"/>
      <c r="G224" s="164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2.75" customHeight="1" spans="1:27">
      <c r="A225" s="13"/>
      <c r="B225" s="163"/>
      <c r="C225" s="163"/>
      <c r="D225" s="164"/>
      <c r="E225" s="164"/>
      <c r="F225" s="164"/>
      <c r="G225" s="164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12.75" customHeight="1" spans="1:27">
      <c r="A226" s="13"/>
      <c r="B226" s="163"/>
      <c r="C226" s="163"/>
      <c r="D226" s="164"/>
      <c r="E226" s="164"/>
      <c r="F226" s="164"/>
      <c r="G226" s="164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2.75" customHeight="1" spans="1:27">
      <c r="A227" s="13"/>
      <c r="B227" s="163"/>
      <c r="C227" s="163"/>
      <c r="D227" s="164"/>
      <c r="E227" s="164"/>
      <c r="F227" s="164"/>
      <c r="G227" s="164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12.75" customHeight="1" spans="1:27">
      <c r="A228" s="13"/>
      <c r="B228" s="163"/>
      <c r="C228" s="163"/>
      <c r="D228" s="164"/>
      <c r="E228" s="164"/>
      <c r="F228" s="164"/>
      <c r="G228" s="164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2.75" customHeight="1" spans="1:27">
      <c r="A229" s="13"/>
      <c r="B229" s="163"/>
      <c r="C229" s="163"/>
      <c r="D229" s="164"/>
      <c r="E229" s="164"/>
      <c r="F229" s="164"/>
      <c r="G229" s="164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12.75" customHeight="1" spans="1:27">
      <c r="A230" s="13"/>
      <c r="B230" s="163"/>
      <c r="C230" s="163"/>
      <c r="D230" s="164"/>
      <c r="E230" s="164"/>
      <c r="F230" s="164"/>
      <c r="G230" s="164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2.75" customHeight="1" spans="1:27">
      <c r="A231" s="13"/>
      <c r="B231" s="163"/>
      <c r="C231" s="163"/>
      <c r="D231" s="164"/>
      <c r="E231" s="164"/>
      <c r="F231" s="164"/>
      <c r="G231" s="164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12.75" customHeight="1" spans="1:27">
      <c r="A232" s="13"/>
      <c r="B232" s="163"/>
      <c r="C232" s="163"/>
      <c r="D232" s="164"/>
      <c r="E232" s="164"/>
      <c r="F232" s="164"/>
      <c r="G232" s="164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2.75" customHeight="1" spans="1:27">
      <c r="A233" s="13"/>
      <c r="B233" s="163"/>
      <c r="C233" s="163"/>
      <c r="D233" s="164"/>
      <c r="E233" s="164"/>
      <c r="F233" s="164"/>
      <c r="G233" s="164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12.75" customHeight="1" spans="1:27">
      <c r="A234" s="13"/>
      <c r="B234" s="163"/>
      <c r="C234" s="163"/>
      <c r="D234" s="164"/>
      <c r="E234" s="164"/>
      <c r="F234" s="164"/>
      <c r="G234" s="164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2.75" customHeight="1" spans="1:27">
      <c r="A235" s="13"/>
      <c r="B235" s="163"/>
      <c r="C235" s="163"/>
      <c r="D235" s="164"/>
      <c r="E235" s="164"/>
      <c r="F235" s="164"/>
      <c r="G235" s="164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12.75" customHeight="1" spans="1:27">
      <c r="A236" s="13"/>
      <c r="B236" s="163"/>
      <c r="C236" s="163"/>
      <c r="D236" s="164"/>
      <c r="E236" s="164"/>
      <c r="F236" s="164"/>
      <c r="G236" s="164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2.75" customHeight="1" spans="1:27">
      <c r="A237" s="13"/>
      <c r="B237" s="163"/>
      <c r="C237" s="163"/>
      <c r="D237" s="164"/>
      <c r="E237" s="164"/>
      <c r="F237" s="164"/>
      <c r="G237" s="164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12.75" customHeight="1" spans="1:27">
      <c r="A238" s="13"/>
      <c r="B238" s="163"/>
      <c r="C238" s="163"/>
      <c r="D238" s="164"/>
      <c r="E238" s="164"/>
      <c r="F238" s="164"/>
      <c r="G238" s="164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2.75" customHeight="1" spans="1:27">
      <c r="A239" s="13"/>
      <c r="B239" s="163"/>
      <c r="C239" s="163"/>
      <c r="D239" s="164"/>
      <c r="E239" s="164"/>
      <c r="F239" s="164"/>
      <c r="G239" s="164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12.75" customHeight="1" spans="1:27">
      <c r="A240" s="13"/>
      <c r="B240" s="163"/>
      <c r="C240" s="163"/>
      <c r="D240" s="164"/>
      <c r="E240" s="164"/>
      <c r="F240" s="164"/>
      <c r="G240" s="164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2.75" customHeight="1" spans="1:27">
      <c r="A241" s="13"/>
      <c r="B241" s="163"/>
      <c r="C241" s="163"/>
      <c r="D241" s="164"/>
      <c r="E241" s="164"/>
      <c r="F241" s="164"/>
      <c r="G241" s="164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12.75" customHeight="1" spans="1:27">
      <c r="A242" s="13"/>
      <c r="B242" s="163"/>
      <c r="C242" s="163"/>
      <c r="D242" s="164"/>
      <c r="E242" s="164"/>
      <c r="F242" s="164"/>
      <c r="G242" s="164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2.75" customHeight="1" spans="1:27">
      <c r="A243" s="13"/>
      <c r="B243" s="163"/>
      <c r="C243" s="163"/>
      <c r="D243" s="164"/>
      <c r="E243" s="164"/>
      <c r="F243" s="164"/>
      <c r="G243" s="164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12.75" customHeight="1" spans="1:27">
      <c r="A244" s="13"/>
      <c r="B244" s="163"/>
      <c r="C244" s="163"/>
      <c r="D244" s="164"/>
      <c r="E244" s="164"/>
      <c r="F244" s="164"/>
      <c r="G244" s="164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2.75" customHeight="1" spans="1:27">
      <c r="A245" s="13"/>
      <c r="B245" s="163"/>
      <c r="C245" s="163"/>
      <c r="D245" s="164"/>
      <c r="E245" s="164"/>
      <c r="F245" s="164"/>
      <c r="G245" s="164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12.75" customHeight="1" spans="1:27">
      <c r="A246" s="13"/>
      <c r="B246" s="163"/>
      <c r="C246" s="163"/>
      <c r="D246" s="164"/>
      <c r="E246" s="164"/>
      <c r="F246" s="164"/>
      <c r="G246" s="164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2.75" customHeight="1" spans="1:27">
      <c r="A247" s="13"/>
      <c r="B247" s="163"/>
      <c r="C247" s="163"/>
      <c r="D247" s="164"/>
      <c r="E247" s="164"/>
      <c r="F247" s="164"/>
      <c r="G247" s="164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12.75" customHeight="1" spans="1:27">
      <c r="A248" s="13"/>
      <c r="B248" s="163"/>
      <c r="C248" s="163"/>
      <c r="D248" s="164"/>
      <c r="E248" s="164"/>
      <c r="F248" s="164"/>
      <c r="G248" s="164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2.75" customHeight="1" spans="1:27">
      <c r="A249" s="13"/>
      <c r="B249" s="163"/>
      <c r="C249" s="163"/>
      <c r="D249" s="164"/>
      <c r="E249" s="164"/>
      <c r="F249" s="164"/>
      <c r="G249" s="164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12.75" customHeight="1" spans="1:27">
      <c r="A250" s="13"/>
      <c r="B250" s="163"/>
      <c r="C250" s="163"/>
      <c r="D250" s="164"/>
      <c r="E250" s="164"/>
      <c r="F250" s="164"/>
      <c r="G250" s="164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2.75" customHeight="1" spans="1:27">
      <c r="A251" s="13"/>
      <c r="B251" s="163"/>
      <c r="C251" s="163"/>
      <c r="D251" s="164"/>
      <c r="E251" s="164"/>
      <c r="F251" s="164"/>
      <c r="G251" s="164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12.75" customHeight="1" spans="1:27">
      <c r="A252" s="13"/>
      <c r="B252" s="163"/>
      <c r="C252" s="163"/>
      <c r="D252" s="164"/>
      <c r="E252" s="164"/>
      <c r="F252" s="164"/>
      <c r="G252" s="164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2.75" customHeight="1" spans="1:27">
      <c r="A253" s="13"/>
      <c r="B253" s="163"/>
      <c r="C253" s="163"/>
      <c r="D253" s="164"/>
      <c r="E253" s="164"/>
      <c r="F253" s="164"/>
      <c r="G253" s="164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12.75" customHeight="1" spans="1:27">
      <c r="A254" s="13"/>
      <c r="B254" s="163"/>
      <c r="C254" s="163"/>
      <c r="D254" s="164"/>
      <c r="E254" s="164"/>
      <c r="F254" s="164"/>
      <c r="G254" s="164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12.75" customHeight="1" spans="1:27">
      <c r="A255" s="13"/>
      <c r="B255" s="163"/>
      <c r="C255" s="163"/>
      <c r="D255" s="164"/>
      <c r="E255" s="164"/>
      <c r="F255" s="164"/>
      <c r="G255" s="164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12.75" customHeight="1" spans="1:27">
      <c r="A256" s="13"/>
      <c r="B256" s="163"/>
      <c r="C256" s="163"/>
      <c r="D256" s="164"/>
      <c r="E256" s="164"/>
      <c r="F256" s="164"/>
      <c r="G256" s="164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12.75" customHeight="1" spans="1:27">
      <c r="A257" s="13"/>
      <c r="B257" s="163"/>
      <c r="C257" s="163"/>
      <c r="D257" s="164"/>
      <c r="E257" s="164"/>
      <c r="F257" s="164"/>
      <c r="G257" s="164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12.75" customHeight="1" spans="1:27">
      <c r="A258" s="13"/>
      <c r="B258" s="163"/>
      <c r="C258" s="163"/>
      <c r="D258" s="164"/>
      <c r="E258" s="164"/>
      <c r="F258" s="164"/>
      <c r="G258" s="164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12.75" customHeight="1" spans="1:27">
      <c r="A259" s="13"/>
      <c r="B259" s="163"/>
      <c r="C259" s="163"/>
      <c r="D259" s="164"/>
      <c r="E259" s="164"/>
      <c r="F259" s="164"/>
      <c r="G259" s="164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12.75" customHeight="1" spans="1:27">
      <c r="A260" s="13"/>
      <c r="B260" s="163"/>
      <c r="C260" s="163"/>
      <c r="D260" s="164"/>
      <c r="E260" s="164"/>
      <c r="F260" s="164"/>
      <c r="G260" s="164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12.75" customHeight="1" spans="1:27">
      <c r="A261" s="13"/>
      <c r="B261" s="163"/>
      <c r="C261" s="163"/>
      <c r="D261" s="164"/>
      <c r="E261" s="164"/>
      <c r="F261" s="164"/>
      <c r="G261" s="164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12.75" customHeight="1" spans="1:27">
      <c r="A262" s="13"/>
      <c r="B262" s="163"/>
      <c r="C262" s="163"/>
      <c r="D262" s="164"/>
      <c r="E262" s="164"/>
      <c r="F262" s="164"/>
      <c r="G262" s="164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12.75" customHeight="1" spans="1:27">
      <c r="A263" s="13"/>
      <c r="B263" s="163"/>
      <c r="C263" s="163"/>
      <c r="D263" s="164"/>
      <c r="E263" s="164"/>
      <c r="F263" s="164"/>
      <c r="G263" s="164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12.75" customHeight="1" spans="1:27">
      <c r="A264" s="13"/>
      <c r="B264" s="163"/>
      <c r="C264" s="163"/>
      <c r="D264" s="164"/>
      <c r="E264" s="164"/>
      <c r="F264" s="164"/>
      <c r="G264" s="164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12.75" customHeight="1" spans="1:27">
      <c r="A265" s="13"/>
      <c r="B265" s="163"/>
      <c r="C265" s="163"/>
      <c r="D265" s="164"/>
      <c r="E265" s="164"/>
      <c r="F265" s="164"/>
      <c r="G265" s="164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12.75" customHeight="1" spans="1:27">
      <c r="A266" s="13"/>
      <c r="B266" s="163"/>
      <c r="C266" s="163"/>
      <c r="D266" s="164"/>
      <c r="E266" s="164"/>
      <c r="F266" s="164"/>
      <c r="G266" s="164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12.75" customHeight="1" spans="1:27">
      <c r="A267" s="13"/>
      <c r="B267" s="163"/>
      <c r="C267" s="163"/>
      <c r="D267" s="164"/>
      <c r="E267" s="164"/>
      <c r="F267" s="164"/>
      <c r="G267" s="164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12.75" customHeight="1" spans="1:27">
      <c r="A268" s="13"/>
      <c r="B268" s="163"/>
      <c r="C268" s="163"/>
      <c r="D268" s="164"/>
      <c r="E268" s="164"/>
      <c r="F268" s="164"/>
      <c r="G268" s="164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12.75" customHeight="1" spans="1:27">
      <c r="A269" s="13"/>
      <c r="B269" s="163"/>
      <c r="C269" s="163"/>
      <c r="D269" s="164"/>
      <c r="E269" s="164"/>
      <c r="F269" s="164"/>
      <c r="G269" s="164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12.75" customHeight="1" spans="1:27">
      <c r="A270" s="13"/>
      <c r="B270" s="163"/>
      <c r="C270" s="163"/>
      <c r="D270" s="164"/>
      <c r="E270" s="164"/>
      <c r="F270" s="164"/>
      <c r="G270" s="164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12.75" customHeight="1" spans="1:27">
      <c r="A271" s="13"/>
      <c r="B271" s="163"/>
      <c r="C271" s="163"/>
      <c r="D271" s="164"/>
      <c r="E271" s="164"/>
      <c r="F271" s="164"/>
      <c r="G271" s="164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12.75" customHeight="1" spans="1:27">
      <c r="A272" s="13"/>
      <c r="B272" s="163"/>
      <c r="C272" s="163"/>
      <c r="D272" s="164"/>
      <c r="E272" s="164"/>
      <c r="F272" s="164"/>
      <c r="G272" s="164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12.75" customHeight="1" spans="1:27">
      <c r="A273" s="13"/>
      <c r="B273" s="163"/>
      <c r="C273" s="163"/>
      <c r="D273" s="164"/>
      <c r="E273" s="164"/>
      <c r="F273" s="164"/>
      <c r="G273" s="164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12.75" customHeight="1" spans="1:27">
      <c r="A274" s="13"/>
      <c r="B274" s="163"/>
      <c r="C274" s="163"/>
      <c r="D274" s="164"/>
      <c r="E274" s="164"/>
      <c r="F274" s="164"/>
      <c r="G274" s="164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12.75" customHeight="1" spans="1:27">
      <c r="A275" s="13"/>
      <c r="B275" s="163"/>
      <c r="C275" s="163"/>
      <c r="D275" s="164"/>
      <c r="E275" s="164"/>
      <c r="F275" s="164"/>
      <c r="G275" s="164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12.75" customHeight="1" spans="1:27">
      <c r="A276" s="13"/>
      <c r="B276" s="163"/>
      <c r="C276" s="163"/>
      <c r="D276" s="164"/>
      <c r="E276" s="164"/>
      <c r="F276" s="164"/>
      <c r="G276" s="164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12.75" customHeight="1" spans="1:27">
      <c r="A277" s="13"/>
      <c r="B277" s="163"/>
      <c r="C277" s="163"/>
      <c r="D277" s="164"/>
      <c r="E277" s="164"/>
      <c r="F277" s="164"/>
      <c r="G277" s="164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12.75" customHeight="1" spans="1:27">
      <c r="A278" s="13"/>
      <c r="B278" s="163"/>
      <c r="C278" s="163"/>
      <c r="D278" s="164"/>
      <c r="E278" s="164"/>
      <c r="F278" s="164"/>
      <c r="G278" s="164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12.75" customHeight="1" spans="1:27">
      <c r="A279" s="13"/>
      <c r="B279" s="163"/>
      <c r="C279" s="163"/>
      <c r="D279" s="164"/>
      <c r="E279" s="164"/>
      <c r="F279" s="164"/>
      <c r="G279" s="164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12.75" customHeight="1" spans="1:27">
      <c r="A280" s="13"/>
      <c r="B280" s="163"/>
      <c r="C280" s="163"/>
      <c r="D280" s="164"/>
      <c r="E280" s="164"/>
      <c r="F280" s="164"/>
      <c r="G280" s="164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12.75" customHeight="1" spans="1:27">
      <c r="A281" s="13"/>
      <c r="B281" s="163"/>
      <c r="C281" s="163"/>
      <c r="D281" s="164"/>
      <c r="E281" s="164"/>
      <c r="F281" s="164"/>
      <c r="G281" s="164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12.75" customHeight="1" spans="1:27">
      <c r="A282" s="13"/>
      <c r="B282" s="163"/>
      <c r="C282" s="163"/>
      <c r="D282" s="164"/>
      <c r="E282" s="164"/>
      <c r="F282" s="164"/>
      <c r="G282" s="164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12.75" customHeight="1" spans="1:27">
      <c r="A283" s="13"/>
      <c r="B283" s="163"/>
      <c r="C283" s="163"/>
      <c r="D283" s="164"/>
      <c r="E283" s="164"/>
      <c r="F283" s="164"/>
      <c r="G283" s="164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12.75" customHeight="1" spans="1:27">
      <c r="A284" s="13"/>
      <c r="B284" s="163"/>
      <c r="C284" s="163"/>
      <c r="D284" s="164"/>
      <c r="E284" s="164"/>
      <c r="F284" s="164"/>
      <c r="G284" s="164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12.75" customHeight="1" spans="1:27">
      <c r="A285" s="13"/>
      <c r="B285" s="163"/>
      <c r="C285" s="163"/>
      <c r="D285" s="164"/>
      <c r="E285" s="164"/>
      <c r="F285" s="164"/>
      <c r="G285" s="164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ht="12.75" customHeight="1" spans="1:27">
      <c r="A286" s="13"/>
      <c r="B286" s="163"/>
      <c r="C286" s="163"/>
      <c r="D286" s="164"/>
      <c r="E286" s="164"/>
      <c r="F286" s="164"/>
      <c r="G286" s="164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12.75" customHeight="1" spans="1:27">
      <c r="A287" s="13"/>
      <c r="B287" s="163"/>
      <c r="C287" s="163"/>
      <c r="D287" s="164"/>
      <c r="E287" s="164"/>
      <c r="F287" s="164"/>
      <c r="G287" s="164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ht="12.75" customHeight="1" spans="1:27">
      <c r="A288" s="13"/>
      <c r="B288" s="163"/>
      <c r="C288" s="163"/>
      <c r="D288" s="164"/>
      <c r="E288" s="164"/>
      <c r="F288" s="164"/>
      <c r="G288" s="164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12.75" customHeight="1" spans="1:27">
      <c r="A289" s="13"/>
      <c r="B289" s="163"/>
      <c r="C289" s="163"/>
      <c r="D289" s="164"/>
      <c r="E289" s="164"/>
      <c r="F289" s="164"/>
      <c r="G289" s="164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ht="12.75" customHeight="1" spans="1:27">
      <c r="A290" s="13"/>
      <c r="B290" s="163"/>
      <c r="C290" s="163"/>
      <c r="D290" s="164"/>
      <c r="E290" s="164"/>
      <c r="F290" s="164"/>
      <c r="G290" s="164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12.75" customHeight="1" spans="1:27">
      <c r="A291" s="13"/>
      <c r="B291" s="163"/>
      <c r="C291" s="163"/>
      <c r="D291" s="164"/>
      <c r="E291" s="164"/>
      <c r="F291" s="164"/>
      <c r="G291" s="164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ht="12.75" customHeight="1" spans="1:27">
      <c r="A292" s="13"/>
      <c r="B292" s="163"/>
      <c r="C292" s="163"/>
      <c r="D292" s="164"/>
      <c r="E292" s="164"/>
      <c r="F292" s="164"/>
      <c r="G292" s="164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12.75" customHeight="1" spans="1:27">
      <c r="A293" s="13"/>
      <c r="B293" s="163"/>
      <c r="C293" s="163"/>
      <c r="D293" s="164"/>
      <c r="E293" s="164"/>
      <c r="F293" s="164"/>
      <c r="G293" s="164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ht="12.75" customHeight="1" spans="1:27">
      <c r="A294" s="13"/>
      <c r="B294" s="163"/>
      <c r="C294" s="163"/>
      <c r="D294" s="164"/>
      <c r="E294" s="164"/>
      <c r="F294" s="164"/>
      <c r="G294" s="164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12.75" customHeight="1" spans="1:27">
      <c r="A295" s="13"/>
      <c r="B295" s="163"/>
      <c r="C295" s="163"/>
      <c r="D295" s="164"/>
      <c r="E295" s="164"/>
      <c r="F295" s="164"/>
      <c r="G295" s="164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ht="12.75" customHeight="1" spans="1:27">
      <c r="A296" s="13"/>
      <c r="B296" s="163"/>
      <c r="C296" s="163"/>
      <c r="D296" s="164"/>
      <c r="E296" s="164"/>
      <c r="F296" s="164"/>
      <c r="G296" s="164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12.75" customHeight="1" spans="1:27">
      <c r="A297" s="13"/>
      <c r="B297" s="163"/>
      <c r="C297" s="163"/>
      <c r="D297" s="164"/>
      <c r="E297" s="164"/>
      <c r="F297" s="164"/>
      <c r="G297" s="164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ht="12.75" customHeight="1" spans="1:27">
      <c r="A298" s="13"/>
      <c r="B298" s="163"/>
      <c r="C298" s="163"/>
      <c r="D298" s="164"/>
      <c r="E298" s="164"/>
      <c r="F298" s="164"/>
      <c r="G298" s="164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12.75" customHeight="1" spans="1:27">
      <c r="A299" s="13"/>
      <c r="B299" s="163"/>
      <c r="C299" s="163"/>
      <c r="D299" s="164"/>
      <c r="E299" s="164"/>
      <c r="F299" s="164"/>
      <c r="G299" s="164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ht="12.75" customHeight="1" spans="1:27">
      <c r="A300" s="13"/>
      <c r="B300" s="163"/>
      <c r="C300" s="163"/>
      <c r="D300" s="164"/>
      <c r="E300" s="164"/>
      <c r="F300" s="164"/>
      <c r="G300" s="164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12.75" customHeight="1" spans="1:27">
      <c r="A301" s="13"/>
      <c r="B301" s="163"/>
      <c r="C301" s="163"/>
      <c r="D301" s="164"/>
      <c r="E301" s="164"/>
      <c r="F301" s="164"/>
      <c r="G301" s="164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ht="12.75" customHeight="1" spans="1:27">
      <c r="A302" s="13"/>
      <c r="B302" s="163"/>
      <c r="C302" s="163"/>
      <c r="D302" s="164"/>
      <c r="E302" s="164"/>
      <c r="F302" s="164"/>
      <c r="G302" s="164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12.75" customHeight="1" spans="1:27">
      <c r="A303" s="13"/>
      <c r="B303" s="163"/>
      <c r="C303" s="163"/>
      <c r="D303" s="164"/>
      <c r="E303" s="164"/>
      <c r="F303" s="164"/>
      <c r="G303" s="164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ht="12.75" customHeight="1" spans="1:27">
      <c r="A304" s="13"/>
      <c r="B304" s="163"/>
      <c r="C304" s="163"/>
      <c r="D304" s="164"/>
      <c r="E304" s="164"/>
      <c r="F304" s="164"/>
      <c r="G304" s="164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12.75" customHeight="1" spans="1:27">
      <c r="A305" s="13"/>
      <c r="B305" s="163"/>
      <c r="C305" s="163"/>
      <c r="D305" s="164"/>
      <c r="E305" s="164"/>
      <c r="F305" s="164"/>
      <c r="G305" s="164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ht="12.75" customHeight="1" spans="1:27">
      <c r="A306" s="13"/>
      <c r="B306" s="163"/>
      <c r="C306" s="163"/>
      <c r="D306" s="164"/>
      <c r="E306" s="164"/>
      <c r="F306" s="164"/>
      <c r="G306" s="164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12.75" customHeight="1" spans="1:27">
      <c r="A307" s="13"/>
      <c r="B307" s="163"/>
      <c r="C307" s="163"/>
      <c r="D307" s="164"/>
      <c r="E307" s="164"/>
      <c r="F307" s="164"/>
      <c r="G307" s="164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ht="12.75" customHeight="1" spans="1:27">
      <c r="A308" s="13"/>
      <c r="B308" s="163"/>
      <c r="C308" s="163"/>
      <c r="D308" s="164"/>
      <c r="E308" s="164"/>
      <c r="F308" s="164"/>
      <c r="G308" s="164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12.75" customHeight="1" spans="1:27">
      <c r="A309" s="13"/>
      <c r="B309" s="163"/>
      <c r="C309" s="163"/>
      <c r="D309" s="164"/>
      <c r="E309" s="164"/>
      <c r="F309" s="164"/>
      <c r="G309" s="164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ht="12.75" customHeight="1" spans="1:27">
      <c r="A310" s="13"/>
      <c r="B310" s="163"/>
      <c r="C310" s="163"/>
      <c r="D310" s="164"/>
      <c r="E310" s="164"/>
      <c r="F310" s="164"/>
      <c r="G310" s="164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12.75" customHeight="1" spans="1:27">
      <c r="A311" s="13"/>
      <c r="B311" s="163"/>
      <c r="C311" s="163"/>
      <c r="D311" s="164"/>
      <c r="E311" s="164"/>
      <c r="F311" s="164"/>
      <c r="G311" s="164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ht="12.75" customHeight="1" spans="1:27">
      <c r="A312" s="13"/>
      <c r="B312" s="163"/>
      <c r="C312" s="163"/>
      <c r="D312" s="164"/>
      <c r="E312" s="164"/>
      <c r="F312" s="164"/>
      <c r="G312" s="164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12.75" customHeight="1" spans="1:27">
      <c r="A313" s="13"/>
      <c r="B313" s="163"/>
      <c r="C313" s="163"/>
      <c r="D313" s="164"/>
      <c r="E313" s="164"/>
      <c r="F313" s="164"/>
      <c r="G313" s="164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ht="12.75" customHeight="1" spans="1:27">
      <c r="A314" s="13"/>
      <c r="B314" s="163"/>
      <c r="C314" s="163"/>
      <c r="D314" s="164"/>
      <c r="E314" s="164"/>
      <c r="F314" s="164"/>
      <c r="G314" s="164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ht="12.75" customHeight="1" spans="1:27">
      <c r="A315" s="13"/>
      <c r="B315" s="163"/>
      <c r="C315" s="163"/>
      <c r="D315" s="164"/>
      <c r="E315" s="164"/>
      <c r="F315" s="164"/>
      <c r="G315" s="164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ht="12.75" customHeight="1" spans="1:27">
      <c r="A316" s="13"/>
      <c r="B316" s="163"/>
      <c r="C316" s="163"/>
      <c r="D316" s="164"/>
      <c r="E316" s="164"/>
      <c r="F316" s="164"/>
      <c r="G316" s="164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ht="12.75" customHeight="1" spans="1:27">
      <c r="A317" s="13"/>
      <c r="B317" s="163"/>
      <c r="C317" s="163"/>
      <c r="D317" s="164"/>
      <c r="E317" s="164"/>
      <c r="F317" s="164"/>
      <c r="G317" s="164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ht="12.75" customHeight="1" spans="1:27">
      <c r="A318" s="13"/>
      <c r="B318" s="163"/>
      <c r="C318" s="163"/>
      <c r="D318" s="164"/>
      <c r="E318" s="164"/>
      <c r="F318" s="164"/>
      <c r="G318" s="164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ht="12.75" customHeight="1" spans="1:27">
      <c r="A319" s="13"/>
      <c r="B319" s="163"/>
      <c r="C319" s="163"/>
      <c r="D319" s="164"/>
      <c r="E319" s="164"/>
      <c r="F319" s="164"/>
      <c r="G319" s="164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ht="12.75" customHeight="1" spans="1:27">
      <c r="A320" s="13"/>
      <c r="B320" s="163"/>
      <c r="C320" s="163"/>
      <c r="D320" s="164"/>
      <c r="E320" s="164"/>
      <c r="F320" s="164"/>
      <c r="G320" s="164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ht="12.75" customHeight="1" spans="1:27">
      <c r="A321" s="13"/>
      <c r="B321" s="163"/>
      <c r="C321" s="163"/>
      <c r="D321" s="164"/>
      <c r="E321" s="164"/>
      <c r="F321" s="164"/>
      <c r="G321" s="164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ht="12.75" customHeight="1" spans="1:27">
      <c r="A322" s="13"/>
      <c r="B322" s="163"/>
      <c r="C322" s="163"/>
      <c r="D322" s="164"/>
      <c r="E322" s="164"/>
      <c r="F322" s="164"/>
      <c r="G322" s="164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ht="12.75" customHeight="1" spans="1:27">
      <c r="A323" s="13"/>
      <c r="B323" s="163"/>
      <c r="C323" s="163"/>
      <c r="D323" s="164"/>
      <c r="E323" s="164"/>
      <c r="F323" s="164"/>
      <c r="G323" s="164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ht="12.75" customHeight="1" spans="1:27">
      <c r="A324" s="13"/>
      <c r="B324" s="163"/>
      <c r="C324" s="163"/>
      <c r="D324" s="164"/>
      <c r="E324" s="164"/>
      <c r="F324" s="164"/>
      <c r="G324" s="164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ht="12.75" customHeight="1" spans="1:27">
      <c r="A325" s="13"/>
      <c r="B325" s="163"/>
      <c r="C325" s="163"/>
      <c r="D325" s="164"/>
      <c r="E325" s="164"/>
      <c r="F325" s="164"/>
      <c r="G325" s="164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ht="12.75" customHeight="1" spans="1:27">
      <c r="A326" s="13"/>
      <c r="B326" s="163"/>
      <c r="C326" s="163"/>
      <c r="D326" s="164"/>
      <c r="E326" s="164"/>
      <c r="F326" s="164"/>
      <c r="G326" s="164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ht="12.75" customHeight="1" spans="1:27">
      <c r="A327" s="13"/>
      <c r="B327" s="163"/>
      <c r="C327" s="163"/>
      <c r="D327" s="164"/>
      <c r="E327" s="164"/>
      <c r="F327" s="164"/>
      <c r="G327" s="164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ht="12.75" customHeight="1" spans="1:27">
      <c r="A328" s="13"/>
      <c r="B328" s="163"/>
      <c r="C328" s="163"/>
      <c r="D328" s="164"/>
      <c r="E328" s="164"/>
      <c r="F328" s="164"/>
      <c r="G328" s="164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ht="12.75" customHeight="1" spans="1:27">
      <c r="A329" s="13"/>
      <c r="B329" s="163"/>
      <c r="C329" s="163"/>
      <c r="D329" s="164"/>
      <c r="E329" s="164"/>
      <c r="F329" s="164"/>
      <c r="G329" s="164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ht="12.75" customHeight="1" spans="1:27">
      <c r="A330" s="13"/>
      <c r="B330" s="163"/>
      <c r="C330" s="163"/>
      <c r="D330" s="164"/>
      <c r="E330" s="164"/>
      <c r="F330" s="164"/>
      <c r="G330" s="164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ht="12.75" customHeight="1" spans="1:27">
      <c r="A331" s="13"/>
      <c r="B331" s="163"/>
      <c r="C331" s="163"/>
      <c r="D331" s="164"/>
      <c r="E331" s="164"/>
      <c r="F331" s="164"/>
      <c r="G331" s="164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ht="12.75" customHeight="1" spans="1:27">
      <c r="A332" s="13"/>
      <c r="B332" s="163"/>
      <c r="C332" s="163"/>
      <c r="D332" s="164"/>
      <c r="E332" s="164"/>
      <c r="F332" s="164"/>
      <c r="G332" s="164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ht="12.75" customHeight="1" spans="1:27">
      <c r="A333" s="13"/>
      <c r="B333" s="163"/>
      <c r="C333" s="163"/>
      <c r="D333" s="164"/>
      <c r="E333" s="164"/>
      <c r="F333" s="164"/>
      <c r="G333" s="164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ht="12.75" customHeight="1" spans="1:27">
      <c r="A334" s="13"/>
      <c r="B334" s="163"/>
      <c r="C334" s="163"/>
      <c r="D334" s="164"/>
      <c r="E334" s="164"/>
      <c r="F334" s="164"/>
      <c r="G334" s="164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ht="12.75" customHeight="1" spans="1:27">
      <c r="A335" s="13"/>
      <c r="B335" s="163"/>
      <c r="C335" s="163"/>
      <c r="D335" s="164"/>
      <c r="E335" s="164"/>
      <c r="F335" s="164"/>
      <c r="G335" s="164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ht="12.75" customHeight="1" spans="1:27">
      <c r="A336" s="13"/>
      <c r="B336" s="163"/>
      <c r="C336" s="163"/>
      <c r="D336" s="164"/>
      <c r="E336" s="164"/>
      <c r="F336" s="164"/>
      <c r="G336" s="164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ht="12.75" customHeight="1" spans="1:27">
      <c r="A337" s="13"/>
      <c r="B337" s="163"/>
      <c r="C337" s="163"/>
      <c r="D337" s="164"/>
      <c r="E337" s="164"/>
      <c r="F337" s="164"/>
      <c r="G337" s="164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ht="12.75" customHeight="1" spans="1:27">
      <c r="A338" s="13"/>
      <c r="B338" s="163"/>
      <c r="C338" s="163"/>
      <c r="D338" s="164"/>
      <c r="E338" s="164"/>
      <c r="F338" s="164"/>
      <c r="G338" s="164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ht="12.75" customHeight="1" spans="1:27">
      <c r="A339" s="13"/>
      <c r="B339" s="163"/>
      <c r="C339" s="163"/>
      <c r="D339" s="164"/>
      <c r="E339" s="164"/>
      <c r="F339" s="164"/>
      <c r="G339" s="164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ht="12.75" customHeight="1" spans="1:27">
      <c r="A340" s="13"/>
      <c r="B340" s="163"/>
      <c r="C340" s="163"/>
      <c r="D340" s="164"/>
      <c r="E340" s="164"/>
      <c r="F340" s="164"/>
      <c r="G340" s="164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ht="12.75" customHeight="1" spans="1:27">
      <c r="A341" s="13"/>
      <c r="B341" s="163"/>
      <c r="C341" s="163"/>
      <c r="D341" s="164"/>
      <c r="E341" s="164"/>
      <c r="F341" s="164"/>
      <c r="G341" s="164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ht="12.75" customHeight="1" spans="1:27">
      <c r="A342" s="13"/>
      <c r="B342" s="163"/>
      <c r="C342" s="163"/>
      <c r="D342" s="164"/>
      <c r="E342" s="164"/>
      <c r="F342" s="164"/>
      <c r="G342" s="164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ht="12.75" customHeight="1" spans="1:27">
      <c r="A343" s="13"/>
      <c r="B343" s="163"/>
      <c r="C343" s="163"/>
      <c r="D343" s="164"/>
      <c r="E343" s="164"/>
      <c r="F343" s="164"/>
      <c r="G343" s="164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ht="12.75" customHeight="1" spans="1:27">
      <c r="A344" s="13"/>
      <c r="B344" s="163"/>
      <c r="C344" s="163"/>
      <c r="D344" s="164"/>
      <c r="E344" s="164"/>
      <c r="F344" s="164"/>
      <c r="G344" s="164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ht="12.75" customHeight="1" spans="1:27">
      <c r="A345" s="13"/>
      <c r="B345" s="163"/>
      <c r="C345" s="163"/>
      <c r="D345" s="164"/>
      <c r="E345" s="164"/>
      <c r="F345" s="164"/>
      <c r="G345" s="164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ht="12.75" customHeight="1" spans="1:27">
      <c r="A346" s="13"/>
      <c r="B346" s="163"/>
      <c r="C346" s="163"/>
      <c r="D346" s="164"/>
      <c r="E346" s="164"/>
      <c r="F346" s="164"/>
      <c r="G346" s="164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ht="12.75" customHeight="1" spans="1:27">
      <c r="A347" s="13"/>
      <c r="B347" s="163"/>
      <c r="C347" s="163"/>
      <c r="D347" s="164"/>
      <c r="E347" s="164"/>
      <c r="F347" s="164"/>
      <c r="G347" s="164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ht="12.75" customHeight="1" spans="1:27">
      <c r="A348" s="13"/>
      <c r="B348" s="163"/>
      <c r="C348" s="163"/>
      <c r="D348" s="164"/>
      <c r="E348" s="164"/>
      <c r="F348" s="164"/>
      <c r="G348" s="164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ht="12.75" customHeight="1" spans="1:27">
      <c r="A349" s="13"/>
      <c r="B349" s="163"/>
      <c r="C349" s="163"/>
      <c r="D349" s="164"/>
      <c r="E349" s="164"/>
      <c r="F349" s="164"/>
      <c r="G349" s="164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ht="12.75" customHeight="1" spans="1:27">
      <c r="A350" s="13"/>
      <c r="B350" s="163"/>
      <c r="C350" s="163"/>
      <c r="D350" s="164"/>
      <c r="E350" s="164"/>
      <c r="F350" s="164"/>
      <c r="G350" s="164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ht="12.75" customHeight="1" spans="1:27">
      <c r="A351" s="13"/>
      <c r="B351" s="163"/>
      <c r="C351" s="163"/>
      <c r="D351" s="164"/>
      <c r="E351" s="164"/>
      <c r="F351" s="164"/>
      <c r="G351" s="164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ht="12.75" customHeight="1" spans="1:27">
      <c r="A352" s="13"/>
      <c r="B352" s="163"/>
      <c r="C352" s="163"/>
      <c r="D352" s="164"/>
      <c r="E352" s="164"/>
      <c r="F352" s="164"/>
      <c r="G352" s="164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ht="12.75" customHeight="1" spans="1:27">
      <c r="A353" s="13"/>
      <c r="B353" s="163"/>
      <c r="C353" s="163"/>
      <c r="D353" s="164"/>
      <c r="E353" s="164"/>
      <c r="F353" s="164"/>
      <c r="G353" s="164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ht="12.75" customHeight="1" spans="1:27">
      <c r="A354" s="13"/>
      <c r="B354" s="163"/>
      <c r="C354" s="163"/>
      <c r="D354" s="164"/>
      <c r="E354" s="164"/>
      <c r="F354" s="164"/>
      <c r="G354" s="164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ht="12.75" customHeight="1" spans="1:27">
      <c r="A355" s="13"/>
      <c r="B355" s="163"/>
      <c r="C355" s="163"/>
      <c r="D355" s="164"/>
      <c r="E355" s="164"/>
      <c r="F355" s="164"/>
      <c r="G355" s="164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ht="12.75" customHeight="1" spans="1:27">
      <c r="A356" s="13"/>
      <c r="B356" s="163"/>
      <c r="C356" s="163"/>
      <c r="D356" s="164"/>
      <c r="E356" s="164"/>
      <c r="F356" s="164"/>
      <c r="G356" s="164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ht="12.75" customHeight="1" spans="1:27">
      <c r="A357" s="13"/>
      <c r="B357" s="163"/>
      <c r="C357" s="163"/>
      <c r="D357" s="164"/>
      <c r="E357" s="164"/>
      <c r="F357" s="164"/>
      <c r="G357" s="164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ht="12.75" customHeight="1" spans="1:27">
      <c r="A358" s="13"/>
      <c r="B358" s="163"/>
      <c r="C358" s="163"/>
      <c r="D358" s="164"/>
      <c r="E358" s="164"/>
      <c r="F358" s="164"/>
      <c r="G358" s="164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ht="12.75" customHeight="1" spans="1:27">
      <c r="A359" s="13"/>
      <c r="B359" s="163"/>
      <c r="C359" s="163"/>
      <c r="D359" s="164"/>
      <c r="E359" s="164"/>
      <c r="F359" s="164"/>
      <c r="G359" s="164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ht="12.75" customHeight="1" spans="1:27">
      <c r="A360" s="13"/>
      <c r="B360" s="163"/>
      <c r="C360" s="163"/>
      <c r="D360" s="164"/>
      <c r="E360" s="164"/>
      <c r="F360" s="164"/>
      <c r="G360" s="164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ht="12.75" customHeight="1" spans="1:27">
      <c r="A361" s="13"/>
      <c r="B361" s="163"/>
      <c r="C361" s="163"/>
      <c r="D361" s="164"/>
      <c r="E361" s="164"/>
      <c r="F361" s="164"/>
      <c r="G361" s="164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ht="12.75" customHeight="1" spans="1:27">
      <c r="A362" s="13"/>
      <c r="B362" s="163"/>
      <c r="C362" s="163"/>
      <c r="D362" s="164"/>
      <c r="E362" s="164"/>
      <c r="F362" s="164"/>
      <c r="G362" s="164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ht="12.75" customHeight="1" spans="1:27">
      <c r="A363" s="13"/>
      <c r="B363" s="163"/>
      <c r="C363" s="163"/>
      <c r="D363" s="164"/>
      <c r="E363" s="164"/>
      <c r="F363" s="164"/>
      <c r="G363" s="164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ht="12.75" customHeight="1" spans="1:27">
      <c r="A364" s="13"/>
      <c r="B364" s="163"/>
      <c r="C364" s="163"/>
      <c r="D364" s="164"/>
      <c r="E364" s="164"/>
      <c r="F364" s="164"/>
      <c r="G364" s="164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ht="12.75" customHeight="1" spans="1:27">
      <c r="A365" s="13"/>
      <c r="B365" s="163"/>
      <c r="C365" s="163"/>
      <c r="D365" s="164"/>
      <c r="E365" s="164"/>
      <c r="F365" s="164"/>
      <c r="G365" s="164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ht="12.75" customHeight="1" spans="1:27">
      <c r="A366" s="13"/>
      <c r="B366" s="163"/>
      <c r="C366" s="163"/>
      <c r="D366" s="164"/>
      <c r="E366" s="164"/>
      <c r="F366" s="164"/>
      <c r="G366" s="164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ht="12.75" customHeight="1" spans="1:27">
      <c r="A367" s="13"/>
      <c r="B367" s="163"/>
      <c r="C367" s="163"/>
      <c r="D367" s="164"/>
      <c r="E367" s="164"/>
      <c r="F367" s="164"/>
      <c r="G367" s="164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ht="12.75" customHeight="1" spans="1:27">
      <c r="A368" s="13"/>
      <c r="B368" s="163"/>
      <c r="C368" s="163"/>
      <c r="D368" s="164"/>
      <c r="E368" s="164"/>
      <c r="F368" s="164"/>
      <c r="G368" s="164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ht="12.75" customHeight="1" spans="1:27">
      <c r="A369" s="13"/>
      <c r="B369" s="163"/>
      <c r="C369" s="163"/>
      <c r="D369" s="164"/>
      <c r="E369" s="164"/>
      <c r="F369" s="164"/>
      <c r="G369" s="164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ht="12.75" customHeight="1" spans="1:27">
      <c r="A370" s="13"/>
      <c r="B370" s="163"/>
      <c r="C370" s="163"/>
      <c r="D370" s="164"/>
      <c r="E370" s="164"/>
      <c r="F370" s="164"/>
      <c r="G370" s="164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ht="12.75" customHeight="1" spans="1:27">
      <c r="A371" s="13"/>
      <c r="B371" s="163"/>
      <c r="C371" s="163"/>
      <c r="D371" s="164"/>
      <c r="E371" s="164"/>
      <c r="F371" s="164"/>
      <c r="G371" s="164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ht="12.75" customHeight="1" spans="1:27">
      <c r="A372" s="13"/>
      <c r="B372" s="163"/>
      <c r="C372" s="163"/>
      <c r="D372" s="164"/>
      <c r="E372" s="164"/>
      <c r="F372" s="164"/>
      <c r="G372" s="164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ht="12.75" customHeight="1" spans="1:27">
      <c r="A373" s="13"/>
      <c r="B373" s="163"/>
      <c r="C373" s="163"/>
      <c r="D373" s="164"/>
      <c r="E373" s="164"/>
      <c r="F373" s="164"/>
      <c r="G373" s="164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ht="12.75" customHeight="1" spans="1:27">
      <c r="A374" s="13"/>
      <c r="B374" s="163"/>
      <c r="C374" s="163"/>
      <c r="D374" s="164"/>
      <c r="E374" s="164"/>
      <c r="F374" s="164"/>
      <c r="G374" s="164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ht="12.75" customHeight="1" spans="1:27">
      <c r="A375" s="13"/>
      <c r="B375" s="163"/>
      <c r="C375" s="163"/>
      <c r="D375" s="164"/>
      <c r="E375" s="164"/>
      <c r="F375" s="164"/>
      <c r="G375" s="164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ht="12.75" customHeight="1" spans="1:27">
      <c r="A376" s="13"/>
      <c r="B376" s="163"/>
      <c r="C376" s="163"/>
      <c r="D376" s="164"/>
      <c r="E376" s="164"/>
      <c r="F376" s="164"/>
      <c r="G376" s="164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ht="12.75" customHeight="1" spans="1:27">
      <c r="A377" s="13"/>
      <c r="B377" s="163"/>
      <c r="C377" s="163"/>
      <c r="D377" s="164"/>
      <c r="E377" s="164"/>
      <c r="F377" s="164"/>
      <c r="G377" s="164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ht="12.75" customHeight="1" spans="1:27">
      <c r="A378" s="13"/>
      <c r="B378" s="163"/>
      <c r="C378" s="163"/>
      <c r="D378" s="164"/>
      <c r="E378" s="164"/>
      <c r="F378" s="164"/>
      <c r="G378" s="164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ht="12.75" customHeight="1" spans="1:27">
      <c r="A379" s="13"/>
      <c r="B379" s="163"/>
      <c r="C379" s="163"/>
      <c r="D379" s="164"/>
      <c r="E379" s="164"/>
      <c r="F379" s="164"/>
      <c r="G379" s="164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ht="12.75" customHeight="1" spans="1:27">
      <c r="A380" s="13"/>
      <c r="B380" s="163"/>
      <c r="C380" s="163"/>
      <c r="D380" s="164"/>
      <c r="E380" s="164"/>
      <c r="F380" s="164"/>
      <c r="G380" s="164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ht="12.75" customHeight="1" spans="1:27">
      <c r="A381" s="13"/>
      <c r="B381" s="163"/>
      <c r="C381" s="163"/>
      <c r="D381" s="164"/>
      <c r="E381" s="164"/>
      <c r="F381" s="164"/>
      <c r="G381" s="164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ht="12.75" customHeight="1" spans="1:27">
      <c r="A382" s="13"/>
      <c r="B382" s="163"/>
      <c r="C382" s="163"/>
      <c r="D382" s="164"/>
      <c r="E382" s="164"/>
      <c r="F382" s="164"/>
      <c r="G382" s="164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ht="12.75" customHeight="1" spans="1:27">
      <c r="A383" s="13"/>
      <c r="B383" s="163"/>
      <c r="C383" s="163"/>
      <c r="D383" s="164"/>
      <c r="E383" s="164"/>
      <c r="F383" s="164"/>
      <c r="G383" s="164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ht="12.75" customHeight="1" spans="1:27">
      <c r="A384" s="13"/>
      <c r="B384" s="163"/>
      <c r="C384" s="163"/>
      <c r="D384" s="164"/>
      <c r="E384" s="164"/>
      <c r="F384" s="164"/>
      <c r="G384" s="164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ht="12.75" customHeight="1" spans="1:27">
      <c r="A385" s="13"/>
      <c r="B385" s="163"/>
      <c r="C385" s="163"/>
      <c r="D385" s="164"/>
      <c r="E385" s="164"/>
      <c r="F385" s="164"/>
      <c r="G385" s="164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ht="12.75" customHeight="1" spans="1:27">
      <c r="A386" s="13"/>
      <c r="B386" s="163"/>
      <c r="C386" s="163"/>
      <c r="D386" s="164"/>
      <c r="E386" s="164"/>
      <c r="F386" s="164"/>
      <c r="G386" s="164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ht="12.75" customHeight="1" spans="1:27">
      <c r="A387" s="13"/>
      <c r="B387" s="163"/>
      <c r="C387" s="163"/>
      <c r="D387" s="164"/>
      <c r="E387" s="164"/>
      <c r="F387" s="164"/>
      <c r="G387" s="164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ht="12.75" customHeight="1" spans="1:27">
      <c r="A388" s="13"/>
      <c r="B388" s="163"/>
      <c r="C388" s="163"/>
      <c r="D388" s="164"/>
      <c r="E388" s="164"/>
      <c r="F388" s="164"/>
      <c r="G388" s="164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ht="12.75" customHeight="1" spans="1:27">
      <c r="A389" s="13"/>
      <c r="B389" s="163"/>
      <c r="C389" s="163"/>
      <c r="D389" s="164"/>
      <c r="E389" s="164"/>
      <c r="F389" s="164"/>
      <c r="G389" s="164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ht="12.75" customHeight="1" spans="1:27">
      <c r="A390" s="13"/>
      <c r="B390" s="163"/>
      <c r="C390" s="163"/>
      <c r="D390" s="164"/>
      <c r="E390" s="164"/>
      <c r="F390" s="164"/>
      <c r="G390" s="164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ht="12.75" customHeight="1" spans="1:27">
      <c r="A391" s="13"/>
      <c r="B391" s="163"/>
      <c r="C391" s="163"/>
      <c r="D391" s="164"/>
      <c r="E391" s="164"/>
      <c r="F391" s="164"/>
      <c r="G391" s="164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ht="12.75" customHeight="1" spans="1:27">
      <c r="A392" s="13"/>
      <c r="B392" s="163"/>
      <c r="C392" s="163"/>
      <c r="D392" s="164"/>
      <c r="E392" s="164"/>
      <c r="F392" s="164"/>
      <c r="G392" s="164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ht="12.75" customHeight="1" spans="1:27">
      <c r="A393" s="13"/>
      <c r="B393" s="163"/>
      <c r="C393" s="163"/>
      <c r="D393" s="164"/>
      <c r="E393" s="164"/>
      <c r="F393" s="164"/>
      <c r="G393" s="164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ht="12.75" customHeight="1" spans="1:27">
      <c r="A394" s="13"/>
      <c r="B394" s="163"/>
      <c r="C394" s="163"/>
      <c r="D394" s="164"/>
      <c r="E394" s="164"/>
      <c r="F394" s="164"/>
      <c r="G394" s="164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ht="12.75" customHeight="1" spans="1:27">
      <c r="A395" s="13"/>
      <c r="B395" s="163"/>
      <c r="C395" s="163"/>
      <c r="D395" s="164"/>
      <c r="E395" s="164"/>
      <c r="F395" s="164"/>
      <c r="G395" s="164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ht="12.75" customHeight="1" spans="1:27">
      <c r="A396" s="13"/>
      <c r="B396" s="163"/>
      <c r="C396" s="163"/>
      <c r="D396" s="164"/>
      <c r="E396" s="164"/>
      <c r="F396" s="164"/>
      <c r="G396" s="164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ht="12.75" customHeight="1" spans="1:27">
      <c r="A397" s="13"/>
      <c r="B397" s="163"/>
      <c r="C397" s="163"/>
      <c r="D397" s="164"/>
      <c r="E397" s="164"/>
      <c r="F397" s="164"/>
      <c r="G397" s="164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ht="12.75" customHeight="1" spans="1:27">
      <c r="A398" s="13"/>
      <c r="B398" s="163"/>
      <c r="C398" s="163"/>
      <c r="D398" s="164"/>
      <c r="E398" s="164"/>
      <c r="F398" s="164"/>
      <c r="G398" s="164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ht="12.75" customHeight="1" spans="1:27">
      <c r="A399" s="13"/>
      <c r="B399" s="163"/>
      <c r="C399" s="163"/>
      <c r="D399" s="164"/>
      <c r="E399" s="164"/>
      <c r="F399" s="164"/>
      <c r="G399" s="164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ht="12.75" customHeight="1" spans="1:27">
      <c r="A400" s="13"/>
      <c r="B400" s="163"/>
      <c r="C400" s="163"/>
      <c r="D400" s="164"/>
      <c r="E400" s="164"/>
      <c r="F400" s="164"/>
      <c r="G400" s="164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ht="12.75" customHeight="1" spans="1:27">
      <c r="A401" s="13"/>
      <c r="B401" s="163"/>
      <c r="C401" s="163"/>
      <c r="D401" s="164"/>
      <c r="E401" s="164"/>
      <c r="F401" s="164"/>
      <c r="G401" s="164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ht="12.75" customHeight="1" spans="1:27">
      <c r="A402" s="13"/>
      <c r="B402" s="163"/>
      <c r="C402" s="163"/>
      <c r="D402" s="164"/>
      <c r="E402" s="164"/>
      <c r="F402" s="164"/>
      <c r="G402" s="164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ht="12.75" customHeight="1" spans="1:27">
      <c r="A403" s="13"/>
      <c r="B403" s="163"/>
      <c r="C403" s="163"/>
      <c r="D403" s="164"/>
      <c r="E403" s="164"/>
      <c r="F403" s="164"/>
      <c r="G403" s="164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ht="12.75" customHeight="1" spans="1:27">
      <c r="A404" s="13"/>
      <c r="B404" s="163"/>
      <c r="C404" s="163"/>
      <c r="D404" s="164"/>
      <c r="E404" s="164"/>
      <c r="F404" s="164"/>
      <c r="G404" s="164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ht="12.75" customHeight="1" spans="1:27">
      <c r="A405" s="13"/>
      <c r="B405" s="163"/>
      <c r="C405" s="163"/>
      <c r="D405" s="164"/>
      <c r="E405" s="164"/>
      <c r="F405" s="164"/>
      <c r="G405" s="164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ht="12.75" customHeight="1" spans="1:27">
      <c r="A406" s="13"/>
      <c r="B406" s="163"/>
      <c r="C406" s="163"/>
      <c r="D406" s="164"/>
      <c r="E406" s="164"/>
      <c r="F406" s="164"/>
      <c r="G406" s="164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ht="12.75" customHeight="1" spans="1:27">
      <c r="A407" s="13"/>
      <c r="B407" s="163"/>
      <c r="C407" s="163"/>
      <c r="D407" s="164"/>
      <c r="E407" s="164"/>
      <c r="F407" s="164"/>
      <c r="G407" s="164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ht="12.75" customHeight="1" spans="1:27">
      <c r="A408" s="13"/>
      <c r="B408" s="163"/>
      <c r="C408" s="163"/>
      <c r="D408" s="164"/>
      <c r="E408" s="164"/>
      <c r="F408" s="164"/>
      <c r="G408" s="164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ht="12.75" customHeight="1" spans="1:27">
      <c r="A409" s="13"/>
      <c r="B409" s="163"/>
      <c r="C409" s="163"/>
      <c r="D409" s="164"/>
      <c r="E409" s="164"/>
      <c r="F409" s="164"/>
      <c r="G409" s="164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ht="12.75" customHeight="1" spans="1:27">
      <c r="A410" s="13"/>
      <c r="B410" s="163"/>
      <c r="C410" s="163"/>
      <c r="D410" s="164"/>
      <c r="E410" s="164"/>
      <c r="F410" s="164"/>
      <c r="G410" s="164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ht="12.75" customHeight="1" spans="1:27">
      <c r="A411" s="13"/>
      <c r="B411" s="163"/>
      <c r="C411" s="163"/>
      <c r="D411" s="164"/>
      <c r="E411" s="164"/>
      <c r="F411" s="164"/>
      <c r="G411" s="164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ht="12.75" customHeight="1" spans="1:27">
      <c r="A412" s="13"/>
      <c r="B412" s="163"/>
      <c r="C412" s="163"/>
      <c r="D412" s="164"/>
      <c r="E412" s="164"/>
      <c r="F412" s="164"/>
      <c r="G412" s="164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ht="12.75" customHeight="1" spans="1:27">
      <c r="A413" s="13"/>
      <c r="B413" s="163"/>
      <c r="C413" s="163"/>
      <c r="D413" s="164"/>
      <c r="E413" s="164"/>
      <c r="F413" s="164"/>
      <c r="G413" s="164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ht="12.75" customHeight="1" spans="1:27">
      <c r="A414" s="13"/>
      <c r="B414" s="163"/>
      <c r="C414" s="163"/>
      <c r="D414" s="164"/>
      <c r="E414" s="164"/>
      <c r="F414" s="164"/>
      <c r="G414" s="164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ht="12.75" customHeight="1" spans="1:27">
      <c r="A415" s="13"/>
      <c r="B415" s="163"/>
      <c r="C415" s="163"/>
      <c r="D415" s="164"/>
      <c r="E415" s="164"/>
      <c r="F415" s="164"/>
      <c r="G415" s="164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ht="12.75" customHeight="1" spans="1:27">
      <c r="A416" s="13"/>
      <c r="B416" s="163"/>
      <c r="C416" s="163"/>
      <c r="D416" s="164"/>
      <c r="E416" s="164"/>
      <c r="F416" s="164"/>
      <c r="G416" s="164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ht="12.75" customHeight="1" spans="1:27">
      <c r="A417" s="13"/>
      <c r="B417" s="163"/>
      <c r="C417" s="163"/>
      <c r="D417" s="164"/>
      <c r="E417" s="164"/>
      <c r="F417" s="164"/>
      <c r="G417" s="164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ht="12.75" customHeight="1" spans="1:27">
      <c r="A418" s="13"/>
      <c r="B418" s="163"/>
      <c r="C418" s="163"/>
      <c r="D418" s="164"/>
      <c r="E418" s="164"/>
      <c r="F418" s="164"/>
      <c r="G418" s="164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ht="12.75" customHeight="1" spans="1:27">
      <c r="A419" s="13"/>
      <c r="B419" s="163"/>
      <c r="C419" s="163"/>
      <c r="D419" s="164"/>
      <c r="E419" s="164"/>
      <c r="F419" s="164"/>
      <c r="G419" s="164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ht="12.75" customHeight="1" spans="1:27">
      <c r="A420" s="13"/>
      <c r="B420" s="163"/>
      <c r="C420" s="163"/>
      <c r="D420" s="164"/>
      <c r="E420" s="164"/>
      <c r="F420" s="164"/>
      <c r="G420" s="164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ht="12.75" customHeight="1" spans="1:27">
      <c r="A421" s="13"/>
      <c r="B421" s="163"/>
      <c r="C421" s="163"/>
      <c r="D421" s="164"/>
      <c r="E421" s="164"/>
      <c r="F421" s="164"/>
      <c r="G421" s="164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ht="12.75" customHeight="1" spans="1:27">
      <c r="A422" s="13"/>
      <c r="B422" s="163"/>
      <c r="C422" s="163"/>
      <c r="D422" s="164"/>
      <c r="E422" s="164"/>
      <c r="F422" s="164"/>
      <c r="G422" s="164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ht="12.75" customHeight="1" spans="1:27">
      <c r="A423" s="13"/>
      <c r="B423" s="163"/>
      <c r="C423" s="163"/>
      <c r="D423" s="164"/>
      <c r="E423" s="164"/>
      <c r="F423" s="164"/>
      <c r="G423" s="164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ht="12.75" customHeight="1" spans="1:27">
      <c r="A424" s="13"/>
      <c r="B424" s="163"/>
      <c r="C424" s="163"/>
      <c r="D424" s="164"/>
      <c r="E424" s="164"/>
      <c r="F424" s="164"/>
      <c r="G424" s="164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ht="12.75" customHeight="1" spans="1:27">
      <c r="A425" s="13"/>
      <c r="B425" s="163"/>
      <c r="C425" s="163"/>
      <c r="D425" s="164"/>
      <c r="E425" s="164"/>
      <c r="F425" s="164"/>
      <c r="G425" s="164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ht="12.75" customHeight="1" spans="1:27">
      <c r="A426" s="13"/>
      <c r="B426" s="163"/>
      <c r="C426" s="163"/>
      <c r="D426" s="164"/>
      <c r="E426" s="164"/>
      <c r="F426" s="164"/>
      <c r="G426" s="164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ht="12.75" customHeight="1" spans="1:27">
      <c r="A427" s="13"/>
      <c r="B427" s="163"/>
      <c r="C427" s="163"/>
      <c r="D427" s="164"/>
      <c r="E427" s="164"/>
      <c r="F427" s="164"/>
      <c r="G427" s="164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ht="12.75" customHeight="1" spans="1:27">
      <c r="A428" s="13"/>
      <c r="B428" s="163"/>
      <c r="C428" s="163"/>
      <c r="D428" s="164"/>
      <c r="E428" s="164"/>
      <c r="F428" s="164"/>
      <c r="G428" s="164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ht="12.75" customHeight="1" spans="1:27">
      <c r="A429" s="13"/>
      <c r="B429" s="163"/>
      <c r="C429" s="163"/>
      <c r="D429" s="164"/>
      <c r="E429" s="164"/>
      <c r="F429" s="164"/>
      <c r="G429" s="164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ht="12.75" customHeight="1" spans="1:27">
      <c r="A430" s="13"/>
      <c r="B430" s="163"/>
      <c r="C430" s="163"/>
      <c r="D430" s="164"/>
      <c r="E430" s="164"/>
      <c r="F430" s="164"/>
      <c r="G430" s="164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ht="12.75" customHeight="1" spans="1:27">
      <c r="A431" s="13"/>
      <c r="B431" s="163"/>
      <c r="C431" s="163"/>
      <c r="D431" s="164"/>
      <c r="E431" s="164"/>
      <c r="F431" s="164"/>
      <c r="G431" s="164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ht="12.75" customHeight="1" spans="1:27">
      <c r="A432" s="13"/>
      <c r="B432" s="163"/>
      <c r="C432" s="163"/>
      <c r="D432" s="164"/>
      <c r="E432" s="164"/>
      <c r="F432" s="164"/>
      <c r="G432" s="164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ht="12.75" customHeight="1" spans="1:27">
      <c r="A433" s="13"/>
      <c r="B433" s="163"/>
      <c r="C433" s="163"/>
      <c r="D433" s="164"/>
      <c r="E433" s="164"/>
      <c r="F433" s="164"/>
      <c r="G433" s="164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ht="12.75" customHeight="1" spans="1:27">
      <c r="A434" s="13"/>
      <c r="B434" s="163"/>
      <c r="C434" s="163"/>
      <c r="D434" s="164"/>
      <c r="E434" s="164"/>
      <c r="F434" s="164"/>
      <c r="G434" s="164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ht="12.75" customHeight="1" spans="1:27">
      <c r="A435" s="13"/>
      <c r="B435" s="163"/>
      <c r="C435" s="163"/>
      <c r="D435" s="164"/>
      <c r="E435" s="164"/>
      <c r="F435" s="164"/>
      <c r="G435" s="164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ht="12.75" customHeight="1" spans="1:27">
      <c r="A436" s="13"/>
      <c r="B436" s="163"/>
      <c r="C436" s="163"/>
      <c r="D436" s="164"/>
      <c r="E436" s="164"/>
      <c r="F436" s="164"/>
      <c r="G436" s="164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ht="12.75" customHeight="1" spans="1:27">
      <c r="A437" s="13"/>
      <c r="B437" s="163"/>
      <c r="C437" s="163"/>
      <c r="D437" s="164"/>
      <c r="E437" s="164"/>
      <c r="F437" s="164"/>
      <c r="G437" s="164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ht="12.75" customHeight="1" spans="1:27">
      <c r="A438" s="13"/>
      <c r="B438" s="163"/>
      <c r="C438" s="163"/>
      <c r="D438" s="164"/>
      <c r="E438" s="164"/>
      <c r="F438" s="164"/>
      <c r="G438" s="164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ht="12.75" customHeight="1" spans="1:27">
      <c r="A439" s="13"/>
      <c r="B439" s="163"/>
      <c r="C439" s="163"/>
      <c r="D439" s="164"/>
      <c r="E439" s="164"/>
      <c r="F439" s="164"/>
      <c r="G439" s="164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ht="12.75" customHeight="1" spans="1:27">
      <c r="A440" s="13"/>
      <c r="B440" s="163"/>
      <c r="C440" s="163"/>
      <c r="D440" s="164"/>
      <c r="E440" s="164"/>
      <c r="F440" s="164"/>
      <c r="G440" s="164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ht="12.75" customHeight="1" spans="1:27">
      <c r="A441" s="13"/>
      <c r="B441" s="163"/>
      <c r="C441" s="163"/>
      <c r="D441" s="164"/>
      <c r="E441" s="164"/>
      <c r="F441" s="164"/>
      <c r="G441" s="164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ht="12.75" customHeight="1" spans="1:27">
      <c r="A442" s="13"/>
      <c r="B442" s="163"/>
      <c r="C442" s="163"/>
      <c r="D442" s="164"/>
      <c r="E442" s="164"/>
      <c r="F442" s="164"/>
      <c r="G442" s="164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ht="12.75" customHeight="1" spans="1:27">
      <c r="A443" s="13"/>
      <c r="B443" s="163"/>
      <c r="C443" s="163"/>
      <c r="D443" s="164"/>
      <c r="E443" s="164"/>
      <c r="F443" s="164"/>
      <c r="G443" s="164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ht="12.75" customHeight="1" spans="1:27">
      <c r="A444" s="13"/>
      <c r="B444" s="163"/>
      <c r="C444" s="163"/>
      <c r="D444" s="164"/>
      <c r="E444" s="164"/>
      <c r="F444" s="164"/>
      <c r="G444" s="164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ht="12.75" customHeight="1" spans="1:27">
      <c r="A445" s="13"/>
      <c r="B445" s="163"/>
      <c r="C445" s="163"/>
      <c r="D445" s="164"/>
      <c r="E445" s="164"/>
      <c r="F445" s="164"/>
      <c r="G445" s="164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ht="12.75" customHeight="1" spans="1:27">
      <c r="A446" s="13"/>
      <c r="B446" s="163"/>
      <c r="C446" s="163"/>
      <c r="D446" s="164"/>
      <c r="E446" s="164"/>
      <c r="F446" s="164"/>
      <c r="G446" s="164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ht="12.75" customHeight="1" spans="1:27">
      <c r="A447" s="13"/>
      <c r="B447" s="163"/>
      <c r="C447" s="163"/>
      <c r="D447" s="164"/>
      <c r="E447" s="164"/>
      <c r="F447" s="164"/>
      <c r="G447" s="164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ht="12.75" customHeight="1" spans="1:27">
      <c r="A448" s="13"/>
      <c r="B448" s="163"/>
      <c r="C448" s="163"/>
      <c r="D448" s="164"/>
      <c r="E448" s="164"/>
      <c r="F448" s="164"/>
      <c r="G448" s="164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ht="12.75" customHeight="1" spans="1:27">
      <c r="A449" s="13"/>
      <c r="B449" s="163"/>
      <c r="C449" s="163"/>
      <c r="D449" s="164"/>
      <c r="E449" s="164"/>
      <c r="F449" s="164"/>
      <c r="G449" s="164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ht="12.75" customHeight="1" spans="1:27">
      <c r="A450" s="13"/>
      <c r="B450" s="163"/>
      <c r="C450" s="163"/>
      <c r="D450" s="164"/>
      <c r="E450" s="164"/>
      <c r="F450" s="164"/>
      <c r="G450" s="164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ht="12.75" customHeight="1" spans="1:27">
      <c r="A451" s="13"/>
      <c r="B451" s="163"/>
      <c r="C451" s="163"/>
      <c r="D451" s="164"/>
      <c r="E451" s="164"/>
      <c r="F451" s="164"/>
      <c r="G451" s="164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ht="12.75" customHeight="1" spans="1:27">
      <c r="A452" s="13"/>
      <c r="B452" s="163"/>
      <c r="C452" s="163"/>
      <c r="D452" s="164"/>
      <c r="E452" s="164"/>
      <c r="F452" s="164"/>
      <c r="G452" s="164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ht="12.75" customHeight="1" spans="1:27">
      <c r="A453" s="13"/>
      <c r="B453" s="163"/>
      <c r="C453" s="163"/>
      <c r="D453" s="164"/>
      <c r="E453" s="164"/>
      <c r="F453" s="164"/>
      <c r="G453" s="164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ht="12.75" customHeight="1" spans="1:27">
      <c r="A454" s="13"/>
      <c r="B454" s="163"/>
      <c r="C454" s="163"/>
      <c r="D454" s="164"/>
      <c r="E454" s="164"/>
      <c r="F454" s="164"/>
      <c r="G454" s="164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ht="12.75" customHeight="1" spans="1:27">
      <c r="A455" s="13"/>
      <c r="B455" s="163"/>
      <c r="C455" s="163"/>
      <c r="D455" s="164"/>
      <c r="E455" s="164"/>
      <c r="F455" s="164"/>
      <c r="G455" s="164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ht="12.75" customHeight="1" spans="1:27">
      <c r="A456" s="13"/>
      <c r="B456" s="163"/>
      <c r="C456" s="163"/>
      <c r="D456" s="164"/>
      <c r="E456" s="164"/>
      <c r="F456" s="164"/>
      <c r="G456" s="164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ht="12.75" customHeight="1" spans="1:27">
      <c r="A457" s="13"/>
      <c r="B457" s="163"/>
      <c r="C457" s="163"/>
      <c r="D457" s="164"/>
      <c r="E457" s="164"/>
      <c r="F457" s="164"/>
      <c r="G457" s="164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ht="12.75" customHeight="1" spans="1:27">
      <c r="A458" s="13"/>
      <c r="B458" s="163"/>
      <c r="C458" s="163"/>
      <c r="D458" s="164"/>
      <c r="E458" s="164"/>
      <c r="F458" s="164"/>
      <c r="G458" s="164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ht="12.75" customHeight="1" spans="1:27">
      <c r="A459" s="13"/>
      <c r="B459" s="163"/>
      <c r="C459" s="163"/>
      <c r="D459" s="164"/>
      <c r="E459" s="164"/>
      <c r="F459" s="164"/>
      <c r="G459" s="164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ht="12.75" customHeight="1" spans="1:27">
      <c r="A460" s="13"/>
      <c r="B460" s="163"/>
      <c r="C460" s="163"/>
      <c r="D460" s="164"/>
      <c r="E460" s="164"/>
      <c r="F460" s="164"/>
      <c r="G460" s="164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ht="12.75" customHeight="1" spans="1:27">
      <c r="A461" s="13"/>
      <c r="B461" s="163"/>
      <c r="C461" s="163"/>
      <c r="D461" s="164"/>
      <c r="E461" s="164"/>
      <c r="F461" s="164"/>
      <c r="G461" s="164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ht="12.75" customHeight="1" spans="1:27">
      <c r="A462" s="13"/>
      <c r="B462" s="163"/>
      <c r="C462" s="163"/>
      <c r="D462" s="164"/>
      <c r="E462" s="164"/>
      <c r="F462" s="164"/>
      <c r="G462" s="164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ht="12.75" customHeight="1" spans="1:27">
      <c r="A463" s="13"/>
      <c r="B463" s="163"/>
      <c r="C463" s="163"/>
      <c r="D463" s="164"/>
      <c r="E463" s="164"/>
      <c r="F463" s="164"/>
      <c r="G463" s="164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ht="12.75" customHeight="1" spans="1:27">
      <c r="A464" s="13"/>
      <c r="B464" s="163"/>
      <c r="C464" s="163"/>
      <c r="D464" s="164"/>
      <c r="E464" s="164"/>
      <c r="F464" s="164"/>
      <c r="G464" s="164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ht="12.75" customHeight="1" spans="1:27">
      <c r="A465" s="13"/>
      <c r="B465" s="163"/>
      <c r="C465" s="163"/>
      <c r="D465" s="164"/>
      <c r="E465" s="164"/>
      <c r="F465" s="164"/>
      <c r="G465" s="164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ht="12.75" customHeight="1" spans="1:27">
      <c r="A466" s="13"/>
      <c r="B466" s="163"/>
      <c r="C466" s="163"/>
      <c r="D466" s="164"/>
      <c r="E466" s="164"/>
      <c r="F466" s="164"/>
      <c r="G466" s="164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ht="12.75" customHeight="1" spans="1:27">
      <c r="A467" s="13"/>
      <c r="B467" s="163"/>
      <c r="C467" s="163"/>
      <c r="D467" s="164"/>
      <c r="E467" s="164"/>
      <c r="F467" s="164"/>
      <c r="G467" s="164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ht="12.75" customHeight="1" spans="1:27">
      <c r="A468" s="13"/>
      <c r="B468" s="163"/>
      <c r="C468" s="163"/>
      <c r="D468" s="164"/>
      <c r="E468" s="164"/>
      <c r="F468" s="164"/>
      <c r="G468" s="164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ht="12.75" customHeight="1" spans="1:27">
      <c r="A469" s="13"/>
      <c r="B469" s="163"/>
      <c r="C469" s="163"/>
      <c r="D469" s="164"/>
      <c r="E469" s="164"/>
      <c r="F469" s="164"/>
      <c r="G469" s="164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ht="12.75" customHeight="1" spans="1:27">
      <c r="A470" s="13"/>
      <c r="B470" s="163"/>
      <c r="C470" s="163"/>
      <c r="D470" s="164"/>
      <c r="E470" s="164"/>
      <c r="F470" s="164"/>
      <c r="G470" s="164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ht="12.75" customHeight="1" spans="1:27">
      <c r="A471" s="13"/>
      <c r="B471" s="163"/>
      <c r="C471" s="163"/>
      <c r="D471" s="164"/>
      <c r="E471" s="164"/>
      <c r="F471" s="164"/>
      <c r="G471" s="164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ht="12.75" customHeight="1" spans="1:27">
      <c r="A472" s="13"/>
      <c r="B472" s="163"/>
      <c r="C472" s="163"/>
      <c r="D472" s="164"/>
      <c r="E472" s="164"/>
      <c r="F472" s="164"/>
      <c r="G472" s="164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ht="12.75" customHeight="1" spans="1:27">
      <c r="A473" s="13"/>
      <c r="B473" s="163"/>
      <c r="C473" s="163"/>
      <c r="D473" s="164"/>
      <c r="E473" s="164"/>
      <c r="F473" s="164"/>
      <c r="G473" s="164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ht="12.75" customHeight="1" spans="1:27">
      <c r="A474" s="13"/>
      <c r="B474" s="163"/>
      <c r="C474" s="163"/>
      <c r="D474" s="164"/>
      <c r="E474" s="164"/>
      <c r="F474" s="164"/>
      <c r="G474" s="164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ht="12.75" customHeight="1" spans="1:27">
      <c r="A475" s="13"/>
      <c r="B475" s="163"/>
      <c r="C475" s="163"/>
      <c r="D475" s="164"/>
      <c r="E475" s="164"/>
      <c r="F475" s="164"/>
      <c r="G475" s="164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ht="12.75" customHeight="1" spans="1:27">
      <c r="A476" s="13"/>
      <c r="B476" s="163"/>
      <c r="C476" s="163"/>
      <c r="D476" s="164"/>
      <c r="E476" s="164"/>
      <c r="F476" s="164"/>
      <c r="G476" s="164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ht="12.75" customHeight="1" spans="1:27">
      <c r="A477" s="13"/>
      <c r="B477" s="163"/>
      <c r="C477" s="163"/>
      <c r="D477" s="164"/>
      <c r="E477" s="164"/>
      <c r="F477" s="164"/>
      <c r="G477" s="164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ht="12.75" customHeight="1" spans="1:27">
      <c r="A478" s="13"/>
      <c r="B478" s="163"/>
      <c r="C478" s="163"/>
      <c r="D478" s="164"/>
      <c r="E478" s="164"/>
      <c r="F478" s="164"/>
      <c r="G478" s="164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ht="12.75" customHeight="1" spans="1:27">
      <c r="A479" s="13"/>
      <c r="B479" s="163"/>
      <c r="C479" s="163"/>
      <c r="D479" s="164"/>
      <c r="E479" s="164"/>
      <c r="F479" s="164"/>
      <c r="G479" s="164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ht="12.75" customHeight="1" spans="1:27">
      <c r="A480" s="13"/>
      <c r="B480" s="163"/>
      <c r="C480" s="163"/>
      <c r="D480" s="164"/>
      <c r="E480" s="164"/>
      <c r="F480" s="164"/>
      <c r="G480" s="164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ht="12.75" customHeight="1" spans="1:27">
      <c r="A481" s="13"/>
      <c r="B481" s="163"/>
      <c r="C481" s="163"/>
      <c r="D481" s="164"/>
      <c r="E481" s="164"/>
      <c r="F481" s="164"/>
      <c r="G481" s="164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ht="12.75" customHeight="1" spans="1:27">
      <c r="A482" s="13"/>
      <c r="B482" s="163"/>
      <c r="C482" s="163"/>
      <c r="D482" s="164"/>
      <c r="E482" s="164"/>
      <c r="F482" s="164"/>
      <c r="G482" s="164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ht="12.75" customHeight="1" spans="1:27">
      <c r="A483" s="13"/>
      <c r="B483" s="163"/>
      <c r="C483" s="163"/>
      <c r="D483" s="164"/>
      <c r="E483" s="164"/>
      <c r="F483" s="164"/>
      <c r="G483" s="164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ht="12.75" customHeight="1" spans="1:27">
      <c r="A484" s="13"/>
      <c r="B484" s="163"/>
      <c r="C484" s="163"/>
      <c r="D484" s="164"/>
      <c r="E484" s="164"/>
      <c r="F484" s="164"/>
      <c r="G484" s="164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ht="12.75" customHeight="1" spans="1:27">
      <c r="A485" s="13"/>
      <c r="B485" s="163"/>
      <c r="C485" s="163"/>
      <c r="D485" s="164"/>
      <c r="E485" s="164"/>
      <c r="F485" s="164"/>
      <c r="G485" s="164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ht="12.75" customHeight="1" spans="1:27">
      <c r="A486" s="13"/>
      <c r="B486" s="163"/>
      <c r="C486" s="163"/>
      <c r="D486" s="164"/>
      <c r="E486" s="164"/>
      <c r="F486" s="164"/>
      <c r="G486" s="164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ht="12.75" customHeight="1" spans="1:27">
      <c r="A487" s="13"/>
      <c r="B487" s="163"/>
      <c r="C487" s="163"/>
      <c r="D487" s="164"/>
      <c r="E487" s="164"/>
      <c r="F487" s="164"/>
      <c r="G487" s="164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ht="12.75" customHeight="1" spans="1:27">
      <c r="A488" s="13"/>
      <c r="B488" s="163"/>
      <c r="C488" s="163"/>
      <c r="D488" s="164"/>
      <c r="E488" s="164"/>
      <c r="F488" s="164"/>
      <c r="G488" s="164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ht="12.75" customHeight="1" spans="1:27">
      <c r="A489" s="13"/>
      <c r="B489" s="163"/>
      <c r="C489" s="163"/>
      <c r="D489" s="164"/>
      <c r="E489" s="164"/>
      <c r="F489" s="164"/>
      <c r="G489" s="164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ht="12.75" customHeight="1" spans="1:27">
      <c r="A490" s="13"/>
      <c r="B490" s="163"/>
      <c r="C490" s="163"/>
      <c r="D490" s="164"/>
      <c r="E490" s="164"/>
      <c r="F490" s="164"/>
      <c r="G490" s="164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ht="12.75" customHeight="1" spans="1:27">
      <c r="A491" s="13"/>
      <c r="B491" s="163"/>
      <c r="C491" s="163"/>
      <c r="D491" s="164"/>
      <c r="E491" s="164"/>
      <c r="F491" s="164"/>
      <c r="G491" s="164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ht="12.75" customHeight="1" spans="1:27">
      <c r="A492" s="13"/>
      <c r="B492" s="163"/>
      <c r="C492" s="163"/>
      <c r="D492" s="164"/>
      <c r="E492" s="164"/>
      <c r="F492" s="164"/>
      <c r="G492" s="164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ht="12.75" customHeight="1" spans="1:27">
      <c r="A493" s="13"/>
      <c r="B493" s="163"/>
      <c r="C493" s="163"/>
      <c r="D493" s="164"/>
      <c r="E493" s="164"/>
      <c r="F493" s="164"/>
      <c r="G493" s="164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ht="12.75" customHeight="1" spans="1:27">
      <c r="A494" s="13"/>
      <c r="B494" s="163"/>
      <c r="C494" s="163"/>
      <c r="D494" s="164"/>
      <c r="E494" s="164"/>
      <c r="F494" s="164"/>
      <c r="G494" s="164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ht="12.75" customHeight="1" spans="1:27">
      <c r="A495" s="13"/>
      <c r="B495" s="163"/>
      <c r="C495" s="163"/>
      <c r="D495" s="164"/>
      <c r="E495" s="164"/>
      <c r="F495" s="164"/>
      <c r="G495" s="164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ht="12.75" customHeight="1" spans="1:27">
      <c r="A496" s="13"/>
      <c r="B496" s="163"/>
      <c r="C496" s="163"/>
      <c r="D496" s="164"/>
      <c r="E496" s="164"/>
      <c r="F496" s="164"/>
      <c r="G496" s="164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ht="12.75" customHeight="1" spans="1:27">
      <c r="A497" s="13"/>
      <c r="B497" s="163"/>
      <c r="C497" s="163"/>
      <c r="D497" s="164"/>
      <c r="E497" s="164"/>
      <c r="F497" s="164"/>
      <c r="G497" s="164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ht="12.75" customHeight="1" spans="1:27">
      <c r="A498" s="13"/>
      <c r="B498" s="163"/>
      <c r="C498" s="163"/>
      <c r="D498" s="164"/>
      <c r="E498" s="164"/>
      <c r="F498" s="164"/>
      <c r="G498" s="164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ht="12.75" customHeight="1" spans="1:27">
      <c r="A499" s="13"/>
      <c r="B499" s="163"/>
      <c r="C499" s="163"/>
      <c r="D499" s="164"/>
      <c r="E499" s="164"/>
      <c r="F499" s="164"/>
      <c r="G499" s="164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ht="12.75" customHeight="1" spans="1:27">
      <c r="A500" s="13"/>
      <c r="B500" s="163"/>
      <c r="C500" s="163"/>
      <c r="D500" s="164"/>
      <c r="E500" s="164"/>
      <c r="F500" s="164"/>
      <c r="G500" s="164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ht="12.75" customHeight="1" spans="1:27">
      <c r="A501" s="13"/>
      <c r="B501" s="163"/>
      <c r="C501" s="163"/>
      <c r="D501" s="164"/>
      <c r="E501" s="164"/>
      <c r="F501" s="164"/>
      <c r="G501" s="164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ht="12.75" customHeight="1" spans="1:27">
      <c r="A502" s="13"/>
      <c r="B502" s="163"/>
      <c r="C502" s="163"/>
      <c r="D502" s="164"/>
      <c r="E502" s="164"/>
      <c r="F502" s="164"/>
      <c r="G502" s="164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ht="12.75" customHeight="1" spans="1:27">
      <c r="A503" s="13"/>
      <c r="B503" s="163"/>
      <c r="C503" s="163"/>
      <c r="D503" s="164"/>
      <c r="E503" s="164"/>
      <c r="F503" s="164"/>
      <c r="G503" s="164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ht="12.75" customHeight="1" spans="1:27">
      <c r="A504" s="13"/>
      <c r="B504" s="163"/>
      <c r="C504" s="163"/>
      <c r="D504" s="164"/>
      <c r="E504" s="164"/>
      <c r="F504" s="164"/>
      <c r="G504" s="164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ht="12.75" customHeight="1" spans="1:27">
      <c r="A505" s="13"/>
      <c r="B505" s="163"/>
      <c r="C505" s="163"/>
      <c r="D505" s="164"/>
      <c r="E505" s="164"/>
      <c r="F505" s="164"/>
      <c r="G505" s="164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ht="12.75" customHeight="1" spans="1:27">
      <c r="A506" s="13"/>
      <c r="B506" s="163"/>
      <c r="C506" s="163"/>
      <c r="D506" s="164"/>
      <c r="E506" s="164"/>
      <c r="F506" s="164"/>
      <c r="G506" s="164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ht="12.75" customHeight="1" spans="1:27">
      <c r="A507" s="13"/>
      <c r="B507" s="163"/>
      <c r="C507" s="163"/>
      <c r="D507" s="164"/>
      <c r="E507" s="164"/>
      <c r="F507" s="164"/>
      <c r="G507" s="164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ht="12.75" customHeight="1" spans="1:27">
      <c r="A508" s="13"/>
      <c r="B508" s="163"/>
      <c r="C508" s="163"/>
      <c r="D508" s="164"/>
      <c r="E508" s="164"/>
      <c r="F508" s="164"/>
      <c r="G508" s="164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ht="12.75" customHeight="1" spans="1:27">
      <c r="A509" s="13"/>
      <c r="B509" s="163"/>
      <c r="C509" s="163"/>
      <c r="D509" s="164"/>
      <c r="E509" s="164"/>
      <c r="F509" s="164"/>
      <c r="G509" s="164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ht="12.75" customHeight="1" spans="1:27">
      <c r="A510" s="13"/>
      <c r="B510" s="163"/>
      <c r="C510" s="163"/>
      <c r="D510" s="164"/>
      <c r="E510" s="164"/>
      <c r="F510" s="164"/>
      <c r="G510" s="164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ht="12.75" customHeight="1" spans="1:27">
      <c r="A511" s="13"/>
      <c r="B511" s="163"/>
      <c r="C511" s="163"/>
      <c r="D511" s="164"/>
      <c r="E511" s="164"/>
      <c r="F511" s="164"/>
      <c r="G511" s="164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ht="12.75" customHeight="1" spans="1:27">
      <c r="A512" s="13"/>
      <c r="B512" s="163"/>
      <c r="C512" s="163"/>
      <c r="D512" s="164"/>
      <c r="E512" s="164"/>
      <c r="F512" s="164"/>
      <c r="G512" s="164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ht="12.75" customHeight="1" spans="1:27">
      <c r="A513" s="13"/>
      <c r="B513" s="163"/>
      <c r="C513" s="163"/>
      <c r="D513" s="164"/>
      <c r="E513" s="164"/>
      <c r="F513" s="164"/>
      <c r="G513" s="164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ht="12.75" customHeight="1" spans="1:27">
      <c r="A514" s="13"/>
      <c r="B514" s="163"/>
      <c r="C514" s="163"/>
      <c r="D514" s="164"/>
      <c r="E514" s="164"/>
      <c r="F514" s="164"/>
      <c r="G514" s="164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ht="12.75" customHeight="1" spans="1:27">
      <c r="A515" s="13"/>
      <c r="B515" s="163"/>
      <c r="C515" s="163"/>
      <c r="D515" s="164"/>
      <c r="E515" s="164"/>
      <c r="F515" s="164"/>
      <c r="G515" s="164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ht="12.75" customHeight="1" spans="1:27">
      <c r="A516" s="13"/>
      <c r="B516" s="163"/>
      <c r="C516" s="163"/>
      <c r="D516" s="164"/>
      <c r="E516" s="164"/>
      <c r="F516" s="164"/>
      <c r="G516" s="164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ht="12.75" customHeight="1" spans="1:27">
      <c r="A517" s="13"/>
      <c r="B517" s="163"/>
      <c r="C517" s="163"/>
      <c r="D517" s="164"/>
      <c r="E517" s="164"/>
      <c r="F517" s="164"/>
      <c r="G517" s="164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ht="12.75" customHeight="1" spans="1:27">
      <c r="A518" s="13"/>
      <c r="B518" s="163"/>
      <c r="C518" s="163"/>
      <c r="D518" s="164"/>
      <c r="E518" s="164"/>
      <c r="F518" s="164"/>
      <c r="G518" s="164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ht="12.75" customHeight="1" spans="1:27">
      <c r="A519" s="13"/>
      <c r="B519" s="163"/>
      <c r="C519" s="163"/>
      <c r="D519" s="164"/>
      <c r="E519" s="164"/>
      <c r="F519" s="164"/>
      <c r="G519" s="164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ht="12.75" customHeight="1" spans="1:27">
      <c r="A520" s="13"/>
      <c r="B520" s="163"/>
      <c r="C520" s="163"/>
      <c r="D520" s="164"/>
      <c r="E520" s="164"/>
      <c r="F520" s="164"/>
      <c r="G520" s="164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ht="12.75" customHeight="1" spans="1:27">
      <c r="A521" s="13"/>
      <c r="B521" s="163"/>
      <c r="C521" s="163"/>
      <c r="D521" s="164"/>
      <c r="E521" s="164"/>
      <c r="F521" s="164"/>
      <c r="G521" s="164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ht="12.75" customHeight="1" spans="1:27">
      <c r="A522" s="13"/>
      <c r="B522" s="163"/>
      <c r="C522" s="163"/>
      <c r="D522" s="164"/>
      <c r="E522" s="164"/>
      <c r="F522" s="164"/>
      <c r="G522" s="164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ht="12.75" customHeight="1" spans="1:27">
      <c r="A523" s="13"/>
      <c r="B523" s="163"/>
      <c r="C523" s="163"/>
      <c r="D523" s="164"/>
      <c r="E523" s="164"/>
      <c r="F523" s="164"/>
      <c r="G523" s="164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ht="12.75" customHeight="1" spans="1:27">
      <c r="A524" s="13"/>
      <c r="B524" s="163"/>
      <c r="C524" s="163"/>
      <c r="D524" s="164"/>
      <c r="E524" s="164"/>
      <c r="F524" s="164"/>
      <c r="G524" s="164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ht="12.75" customHeight="1" spans="1:27">
      <c r="A525" s="13"/>
      <c r="B525" s="163"/>
      <c r="C525" s="163"/>
      <c r="D525" s="164"/>
      <c r="E525" s="164"/>
      <c r="F525" s="164"/>
      <c r="G525" s="164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ht="12.75" customHeight="1" spans="1:27">
      <c r="A526" s="13"/>
      <c r="B526" s="163"/>
      <c r="C526" s="163"/>
      <c r="D526" s="164"/>
      <c r="E526" s="164"/>
      <c r="F526" s="164"/>
      <c r="G526" s="164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ht="12.75" customHeight="1" spans="1:27">
      <c r="A527" s="13"/>
      <c r="B527" s="163"/>
      <c r="C527" s="163"/>
      <c r="D527" s="164"/>
      <c r="E527" s="164"/>
      <c r="F527" s="164"/>
      <c r="G527" s="164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ht="12.75" customHeight="1" spans="1:27">
      <c r="A528" s="13"/>
      <c r="B528" s="163"/>
      <c r="C528" s="163"/>
      <c r="D528" s="164"/>
      <c r="E528" s="164"/>
      <c r="F528" s="164"/>
      <c r="G528" s="164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ht="12.75" customHeight="1" spans="1:27">
      <c r="A529" s="13"/>
      <c r="B529" s="163"/>
      <c r="C529" s="163"/>
      <c r="D529" s="164"/>
      <c r="E529" s="164"/>
      <c r="F529" s="164"/>
      <c r="G529" s="164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ht="12.75" customHeight="1" spans="1:27">
      <c r="A530" s="13"/>
      <c r="B530" s="163"/>
      <c r="C530" s="163"/>
      <c r="D530" s="164"/>
      <c r="E530" s="164"/>
      <c r="F530" s="164"/>
      <c r="G530" s="164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ht="12.75" customHeight="1" spans="1:27">
      <c r="A531" s="13"/>
      <c r="B531" s="163"/>
      <c r="C531" s="163"/>
      <c r="D531" s="164"/>
      <c r="E531" s="164"/>
      <c r="F531" s="164"/>
      <c r="G531" s="164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ht="12.75" customHeight="1" spans="1:27">
      <c r="A532" s="13"/>
      <c r="B532" s="163"/>
      <c r="C532" s="163"/>
      <c r="D532" s="164"/>
      <c r="E532" s="164"/>
      <c r="F532" s="164"/>
      <c r="G532" s="164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ht="12.75" customHeight="1" spans="1:27">
      <c r="A533" s="13"/>
      <c r="B533" s="163"/>
      <c r="C533" s="163"/>
      <c r="D533" s="164"/>
      <c r="E533" s="164"/>
      <c r="F533" s="164"/>
      <c r="G533" s="164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ht="12.75" customHeight="1" spans="1:27">
      <c r="A534" s="13"/>
      <c r="B534" s="163"/>
      <c r="C534" s="163"/>
      <c r="D534" s="164"/>
      <c r="E534" s="164"/>
      <c r="F534" s="164"/>
      <c r="G534" s="164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ht="12.75" customHeight="1" spans="1:27">
      <c r="A535" s="13"/>
      <c r="B535" s="163"/>
      <c r="C535" s="163"/>
      <c r="D535" s="164"/>
      <c r="E535" s="164"/>
      <c r="F535" s="164"/>
      <c r="G535" s="164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ht="12.75" customHeight="1" spans="1:27">
      <c r="A536" s="13"/>
      <c r="B536" s="163"/>
      <c r="C536" s="163"/>
      <c r="D536" s="164"/>
      <c r="E536" s="164"/>
      <c r="F536" s="164"/>
      <c r="G536" s="164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ht="12.75" customHeight="1" spans="1:27">
      <c r="A537" s="13"/>
      <c r="B537" s="163"/>
      <c r="C537" s="163"/>
      <c r="D537" s="164"/>
      <c r="E537" s="164"/>
      <c r="F537" s="164"/>
      <c r="G537" s="164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ht="12.75" customHeight="1" spans="1:27">
      <c r="A538" s="13"/>
      <c r="B538" s="163"/>
      <c r="C538" s="163"/>
      <c r="D538" s="164"/>
      <c r="E538" s="164"/>
      <c r="F538" s="164"/>
      <c r="G538" s="164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ht="12.75" customHeight="1" spans="1:27">
      <c r="A539" s="13"/>
      <c r="B539" s="163"/>
      <c r="C539" s="163"/>
      <c r="D539" s="164"/>
      <c r="E539" s="164"/>
      <c r="F539" s="164"/>
      <c r="G539" s="164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ht="12.75" customHeight="1" spans="1:27">
      <c r="A540" s="13"/>
      <c r="B540" s="163"/>
      <c r="C540" s="163"/>
      <c r="D540" s="164"/>
      <c r="E540" s="164"/>
      <c r="F540" s="164"/>
      <c r="G540" s="164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ht="12.75" customHeight="1" spans="1:27">
      <c r="A541" s="13"/>
      <c r="B541" s="163"/>
      <c r="C541" s="163"/>
      <c r="D541" s="164"/>
      <c r="E541" s="164"/>
      <c r="F541" s="164"/>
      <c r="G541" s="164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ht="12.75" customHeight="1" spans="1:27">
      <c r="A542" s="13"/>
      <c r="B542" s="163"/>
      <c r="C542" s="163"/>
      <c r="D542" s="164"/>
      <c r="E542" s="164"/>
      <c r="F542" s="164"/>
      <c r="G542" s="164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ht="12.75" customHeight="1" spans="1:27">
      <c r="A543" s="13"/>
      <c r="B543" s="163"/>
      <c r="C543" s="163"/>
      <c r="D543" s="164"/>
      <c r="E543" s="164"/>
      <c r="F543" s="164"/>
      <c r="G543" s="164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ht="12.75" customHeight="1" spans="1:27">
      <c r="A544" s="13"/>
      <c r="B544" s="163"/>
      <c r="C544" s="163"/>
      <c r="D544" s="164"/>
      <c r="E544" s="164"/>
      <c r="F544" s="164"/>
      <c r="G544" s="164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ht="12.75" customHeight="1" spans="1:27">
      <c r="A545" s="13"/>
      <c r="B545" s="163"/>
      <c r="C545" s="163"/>
      <c r="D545" s="164"/>
      <c r="E545" s="164"/>
      <c r="F545" s="164"/>
      <c r="G545" s="164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ht="12.75" customHeight="1" spans="1:27">
      <c r="A546" s="13"/>
      <c r="B546" s="163"/>
      <c r="C546" s="163"/>
      <c r="D546" s="164"/>
      <c r="E546" s="164"/>
      <c r="F546" s="164"/>
      <c r="G546" s="164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ht="12.75" customHeight="1" spans="1:27">
      <c r="A547" s="13"/>
      <c r="B547" s="163"/>
      <c r="C547" s="163"/>
      <c r="D547" s="164"/>
      <c r="E547" s="164"/>
      <c r="F547" s="164"/>
      <c r="G547" s="164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ht="12.75" customHeight="1" spans="1:27">
      <c r="A548" s="13"/>
      <c r="B548" s="163"/>
      <c r="C548" s="163"/>
      <c r="D548" s="164"/>
      <c r="E548" s="164"/>
      <c r="F548" s="164"/>
      <c r="G548" s="164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ht="12.75" customHeight="1" spans="1:27">
      <c r="A549" s="13"/>
      <c r="B549" s="163"/>
      <c r="C549" s="163"/>
      <c r="D549" s="164"/>
      <c r="E549" s="164"/>
      <c r="F549" s="164"/>
      <c r="G549" s="164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ht="12.75" customHeight="1" spans="1:27">
      <c r="A550" s="13"/>
      <c r="B550" s="163"/>
      <c r="C550" s="163"/>
      <c r="D550" s="164"/>
      <c r="E550" s="164"/>
      <c r="F550" s="164"/>
      <c r="G550" s="164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ht="12.75" customHeight="1" spans="1:27">
      <c r="A551" s="13"/>
      <c r="B551" s="163"/>
      <c r="C551" s="163"/>
      <c r="D551" s="164"/>
      <c r="E551" s="164"/>
      <c r="F551" s="164"/>
      <c r="G551" s="164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ht="12.75" customHeight="1" spans="1:27">
      <c r="A552" s="13"/>
      <c r="B552" s="163"/>
      <c r="C552" s="163"/>
      <c r="D552" s="164"/>
      <c r="E552" s="164"/>
      <c r="F552" s="164"/>
      <c r="G552" s="164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ht="12.75" customHeight="1" spans="1:27">
      <c r="A553" s="13"/>
      <c r="B553" s="163"/>
      <c r="C553" s="163"/>
      <c r="D553" s="164"/>
      <c r="E553" s="164"/>
      <c r="F553" s="164"/>
      <c r="G553" s="164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ht="12.75" customHeight="1" spans="1:27">
      <c r="A554" s="13"/>
      <c r="B554" s="163"/>
      <c r="C554" s="163"/>
      <c r="D554" s="164"/>
      <c r="E554" s="164"/>
      <c r="F554" s="164"/>
      <c r="G554" s="164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ht="12.75" customHeight="1" spans="1:27">
      <c r="A555" s="13"/>
      <c r="B555" s="163"/>
      <c r="C555" s="163"/>
      <c r="D555" s="164"/>
      <c r="E555" s="164"/>
      <c r="F555" s="164"/>
      <c r="G555" s="164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ht="12.75" customHeight="1" spans="1:27">
      <c r="A556" s="13"/>
      <c r="B556" s="163"/>
      <c r="C556" s="163"/>
      <c r="D556" s="164"/>
      <c r="E556" s="164"/>
      <c r="F556" s="164"/>
      <c r="G556" s="164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ht="12.75" customHeight="1" spans="1:27">
      <c r="A557" s="13"/>
      <c r="B557" s="163"/>
      <c r="C557" s="163"/>
      <c r="D557" s="164"/>
      <c r="E557" s="164"/>
      <c r="F557" s="164"/>
      <c r="G557" s="164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ht="12.75" customHeight="1" spans="1:27">
      <c r="A558" s="13"/>
      <c r="B558" s="163"/>
      <c r="C558" s="163"/>
      <c r="D558" s="164"/>
      <c r="E558" s="164"/>
      <c r="F558" s="164"/>
      <c r="G558" s="164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ht="12.75" customHeight="1" spans="1:27">
      <c r="A559" s="13"/>
      <c r="B559" s="163"/>
      <c r="C559" s="163"/>
      <c r="D559" s="164"/>
      <c r="E559" s="164"/>
      <c r="F559" s="164"/>
      <c r="G559" s="164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ht="12.75" customHeight="1" spans="1:27">
      <c r="A560" s="13"/>
      <c r="B560" s="163"/>
      <c r="C560" s="163"/>
      <c r="D560" s="164"/>
      <c r="E560" s="164"/>
      <c r="F560" s="164"/>
      <c r="G560" s="164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ht="12.75" customHeight="1" spans="1:27">
      <c r="A561" s="13"/>
      <c r="B561" s="163"/>
      <c r="C561" s="163"/>
      <c r="D561" s="164"/>
      <c r="E561" s="164"/>
      <c r="F561" s="164"/>
      <c r="G561" s="164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ht="12.75" customHeight="1" spans="1:27">
      <c r="A562" s="13"/>
      <c r="B562" s="163"/>
      <c r="C562" s="163"/>
      <c r="D562" s="164"/>
      <c r="E562" s="164"/>
      <c r="F562" s="164"/>
      <c r="G562" s="164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ht="12.75" customHeight="1" spans="1:27">
      <c r="A563" s="13"/>
      <c r="B563" s="163"/>
      <c r="C563" s="163"/>
      <c r="D563" s="164"/>
      <c r="E563" s="164"/>
      <c r="F563" s="164"/>
      <c r="G563" s="164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ht="12.75" customHeight="1" spans="1:27">
      <c r="A564" s="13"/>
      <c r="B564" s="163"/>
      <c r="C564" s="163"/>
      <c r="D564" s="164"/>
      <c r="E564" s="164"/>
      <c r="F564" s="164"/>
      <c r="G564" s="164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ht="12.75" customHeight="1" spans="1:27">
      <c r="A565" s="13"/>
      <c r="B565" s="163"/>
      <c r="C565" s="163"/>
      <c r="D565" s="164"/>
      <c r="E565" s="164"/>
      <c r="F565" s="164"/>
      <c r="G565" s="164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ht="12.75" customHeight="1" spans="1:27">
      <c r="A566" s="13"/>
      <c r="B566" s="163"/>
      <c r="C566" s="163"/>
      <c r="D566" s="164"/>
      <c r="E566" s="164"/>
      <c r="F566" s="164"/>
      <c r="G566" s="164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ht="12.75" customHeight="1" spans="1:27">
      <c r="A567" s="13"/>
      <c r="B567" s="163"/>
      <c r="C567" s="163"/>
      <c r="D567" s="164"/>
      <c r="E567" s="164"/>
      <c r="F567" s="164"/>
      <c r="G567" s="164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ht="12.75" customHeight="1" spans="1:27">
      <c r="A568" s="13"/>
      <c r="B568" s="163"/>
      <c r="C568" s="163"/>
      <c r="D568" s="164"/>
      <c r="E568" s="164"/>
      <c r="F568" s="164"/>
      <c r="G568" s="164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ht="12.75" customHeight="1" spans="1:27">
      <c r="A569" s="13"/>
      <c r="B569" s="163"/>
      <c r="C569" s="163"/>
      <c r="D569" s="164"/>
      <c r="E569" s="164"/>
      <c r="F569" s="164"/>
      <c r="G569" s="164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ht="12.75" customHeight="1" spans="1:27">
      <c r="A570" s="13"/>
      <c r="B570" s="163"/>
      <c r="C570" s="163"/>
      <c r="D570" s="164"/>
      <c r="E570" s="164"/>
      <c r="F570" s="164"/>
      <c r="G570" s="164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ht="12.75" customHeight="1" spans="1:27">
      <c r="A571" s="13"/>
      <c r="B571" s="163"/>
      <c r="C571" s="163"/>
      <c r="D571" s="164"/>
      <c r="E571" s="164"/>
      <c r="F571" s="164"/>
      <c r="G571" s="164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ht="12.75" customHeight="1" spans="1:27">
      <c r="A572" s="13"/>
      <c r="B572" s="163"/>
      <c r="C572" s="163"/>
      <c r="D572" s="164"/>
      <c r="E572" s="164"/>
      <c r="F572" s="164"/>
      <c r="G572" s="164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ht="12.75" customHeight="1" spans="1:27">
      <c r="A573" s="13"/>
      <c r="B573" s="163"/>
      <c r="C573" s="163"/>
      <c r="D573" s="164"/>
      <c r="E573" s="164"/>
      <c r="F573" s="164"/>
      <c r="G573" s="164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ht="12.75" customHeight="1" spans="1:27">
      <c r="A574" s="13"/>
      <c r="B574" s="163"/>
      <c r="C574" s="163"/>
      <c r="D574" s="164"/>
      <c r="E574" s="164"/>
      <c r="F574" s="164"/>
      <c r="G574" s="164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ht="12.75" customHeight="1" spans="1:27">
      <c r="A575" s="13"/>
      <c r="B575" s="163"/>
      <c r="C575" s="163"/>
      <c r="D575" s="164"/>
      <c r="E575" s="164"/>
      <c r="F575" s="164"/>
      <c r="G575" s="164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ht="12.75" customHeight="1" spans="1:27">
      <c r="A576" s="13"/>
      <c r="B576" s="163"/>
      <c r="C576" s="163"/>
      <c r="D576" s="164"/>
      <c r="E576" s="164"/>
      <c r="F576" s="164"/>
      <c r="G576" s="164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ht="12.75" customHeight="1" spans="1:27">
      <c r="A577" s="13"/>
      <c r="B577" s="163"/>
      <c r="C577" s="163"/>
      <c r="D577" s="164"/>
      <c r="E577" s="164"/>
      <c r="F577" s="164"/>
      <c r="G577" s="164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ht="12.75" customHeight="1" spans="1:27">
      <c r="A578" s="13"/>
      <c r="B578" s="163"/>
      <c r="C578" s="163"/>
      <c r="D578" s="164"/>
      <c r="E578" s="164"/>
      <c r="F578" s="164"/>
      <c r="G578" s="164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ht="12.75" customHeight="1" spans="1:27">
      <c r="A579" s="13"/>
      <c r="B579" s="163"/>
      <c r="C579" s="163"/>
      <c r="D579" s="164"/>
      <c r="E579" s="164"/>
      <c r="F579" s="164"/>
      <c r="G579" s="164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ht="12.75" customHeight="1" spans="1:27">
      <c r="A580" s="13"/>
      <c r="B580" s="163"/>
      <c r="C580" s="163"/>
      <c r="D580" s="164"/>
      <c r="E580" s="164"/>
      <c r="F580" s="164"/>
      <c r="G580" s="164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ht="12.75" customHeight="1" spans="1:27">
      <c r="A581" s="13"/>
      <c r="B581" s="163"/>
      <c r="C581" s="163"/>
      <c r="D581" s="164"/>
      <c r="E581" s="164"/>
      <c r="F581" s="164"/>
      <c r="G581" s="164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ht="12.75" customHeight="1" spans="1:27">
      <c r="A582" s="13"/>
      <c r="B582" s="163"/>
      <c r="C582" s="163"/>
      <c r="D582" s="164"/>
      <c r="E582" s="164"/>
      <c r="F582" s="164"/>
      <c r="G582" s="164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ht="12.75" customHeight="1" spans="1:27">
      <c r="A583" s="13"/>
      <c r="B583" s="163"/>
      <c r="C583" s="163"/>
      <c r="D583" s="164"/>
      <c r="E583" s="164"/>
      <c r="F583" s="164"/>
      <c r="G583" s="164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ht="12.75" customHeight="1" spans="1:27">
      <c r="A584" s="13"/>
      <c r="B584" s="163"/>
      <c r="C584" s="163"/>
      <c r="D584" s="164"/>
      <c r="E584" s="164"/>
      <c r="F584" s="164"/>
      <c r="G584" s="164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ht="12.75" customHeight="1" spans="1:27">
      <c r="A585" s="13"/>
      <c r="B585" s="163"/>
      <c r="C585" s="163"/>
      <c r="D585" s="164"/>
      <c r="E585" s="164"/>
      <c r="F585" s="164"/>
      <c r="G585" s="164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ht="12.75" customHeight="1" spans="1:27">
      <c r="A586" s="13"/>
      <c r="B586" s="163"/>
      <c r="C586" s="163"/>
      <c r="D586" s="164"/>
      <c r="E586" s="164"/>
      <c r="F586" s="164"/>
      <c r="G586" s="164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ht="12.75" customHeight="1" spans="1:27">
      <c r="A587" s="13"/>
      <c r="B587" s="163"/>
      <c r="C587" s="163"/>
      <c r="D587" s="164"/>
      <c r="E587" s="164"/>
      <c r="F587" s="164"/>
      <c r="G587" s="164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ht="12.75" customHeight="1" spans="1:27">
      <c r="A588" s="13"/>
      <c r="B588" s="163"/>
      <c r="C588" s="163"/>
      <c r="D588" s="164"/>
      <c r="E588" s="164"/>
      <c r="F588" s="164"/>
      <c r="G588" s="164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ht="12.75" customHeight="1" spans="1:27">
      <c r="A589" s="13"/>
      <c r="B589" s="163"/>
      <c r="C589" s="163"/>
      <c r="D589" s="164"/>
      <c r="E589" s="164"/>
      <c r="F589" s="164"/>
      <c r="G589" s="164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ht="12.75" customHeight="1" spans="1:27">
      <c r="A590" s="13"/>
      <c r="B590" s="163"/>
      <c r="C590" s="163"/>
      <c r="D590" s="164"/>
      <c r="E590" s="164"/>
      <c r="F590" s="164"/>
      <c r="G590" s="164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ht="12.75" customHeight="1" spans="1:27">
      <c r="A591" s="13"/>
      <c r="B591" s="163"/>
      <c r="C591" s="163"/>
      <c r="D591" s="164"/>
      <c r="E591" s="164"/>
      <c r="F591" s="164"/>
      <c r="G591" s="164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ht="12.75" customHeight="1" spans="1:27">
      <c r="A592" s="13"/>
      <c r="B592" s="163"/>
      <c r="C592" s="163"/>
      <c r="D592" s="164"/>
      <c r="E592" s="164"/>
      <c r="F592" s="164"/>
      <c r="G592" s="164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ht="12.75" customHeight="1" spans="1:27">
      <c r="A593" s="13"/>
      <c r="B593" s="163"/>
      <c r="C593" s="163"/>
      <c r="D593" s="164"/>
      <c r="E593" s="164"/>
      <c r="F593" s="164"/>
      <c r="G593" s="164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ht="12.75" customHeight="1" spans="1:27">
      <c r="A594" s="13"/>
      <c r="B594" s="163"/>
      <c r="C594" s="163"/>
      <c r="D594" s="164"/>
      <c r="E594" s="164"/>
      <c r="F594" s="164"/>
      <c r="G594" s="164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ht="12.75" customHeight="1" spans="1:27">
      <c r="A595" s="13"/>
      <c r="B595" s="163"/>
      <c r="C595" s="163"/>
      <c r="D595" s="164"/>
      <c r="E595" s="164"/>
      <c r="F595" s="164"/>
      <c r="G595" s="164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ht="12.75" customHeight="1" spans="1:27">
      <c r="A596" s="13"/>
      <c r="B596" s="163"/>
      <c r="C596" s="163"/>
      <c r="D596" s="164"/>
      <c r="E596" s="164"/>
      <c r="F596" s="164"/>
      <c r="G596" s="164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ht="12.75" customHeight="1" spans="1:27">
      <c r="A597" s="13"/>
      <c r="B597" s="163"/>
      <c r="C597" s="163"/>
      <c r="D597" s="164"/>
      <c r="E597" s="164"/>
      <c r="F597" s="164"/>
      <c r="G597" s="164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ht="12.75" customHeight="1" spans="1:27">
      <c r="A598" s="13"/>
      <c r="B598" s="163"/>
      <c r="C598" s="163"/>
      <c r="D598" s="164"/>
      <c r="E598" s="164"/>
      <c r="F598" s="164"/>
      <c r="G598" s="164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ht="12.75" customHeight="1" spans="1:27">
      <c r="A599" s="13"/>
      <c r="B599" s="163"/>
      <c r="C599" s="163"/>
      <c r="D599" s="164"/>
      <c r="E599" s="164"/>
      <c r="F599" s="164"/>
      <c r="G599" s="164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ht="12.75" customHeight="1" spans="1:27">
      <c r="A600" s="13"/>
      <c r="B600" s="163"/>
      <c r="C600" s="163"/>
      <c r="D600" s="164"/>
      <c r="E600" s="164"/>
      <c r="F600" s="164"/>
      <c r="G600" s="164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ht="12.75" customHeight="1" spans="1:27">
      <c r="A601" s="13"/>
      <c r="B601" s="163"/>
      <c r="C601" s="163"/>
      <c r="D601" s="164"/>
      <c r="E601" s="164"/>
      <c r="F601" s="164"/>
      <c r="G601" s="164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ht="12.75" customHeight="1" spans="1:27">
      <c r="A602" s="13"/>
      <c r="B602" s="163"/>
      <c r="C602" s="163"/>
      <c r="D602" s="164"/>
      <c r="E602" s="164"/>
      <c r="F602" s="164"/>
      <c r="G602" s="164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ht="12.75" customHeight="1" spans="1:27">
      <c r="A603" s="13"/>
      <c r="B603" s="163"/>
      <c r="C603" s="163"/>
      <c r="D603" s="164"/>
      <c r="E603" s="164"/>
      <c r="F603" s="164"/>
      <c r="G603" s="164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ht="12.75" customHeight="1" spans="1:27">
      <c r="A604" s="13"/>
      <c r="B604" s="163"/>
      <c r="C604" s="163"/>
      <c r="D604" s="164"/>
      <c r="E604" s="164"/>
      <c r="F604" s="164"/>
      <c r="G604" s="164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ht="12.75" customHeight="1" spans="1:27">
      <c r="A605" s="13"/>
      <c r="B605" s="163"/>
      <c r="C605" s="163"/>
      <c r="D605" s="164"/>
      <c r="E605" s="164"/>
      <c r="F605" s="164"/>
      <c r="G605" s="164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ht="12.75" customHeight="1" spans="1:27">
      <c r="A606" s="13"/>
      <c r="B606" s="163"/>
      <c r="C606" s="163"/>
      <c r="D606" s="164"/>
      <c r="E606" s="164"/>
      <c r="F606" s="164"/>
      <c r="G606" s="164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ht="12.75" customHeight="1" spans="1:27">
      <c r="A607" s="13"/>
      <c r="B607" s="163"/>
      <c r="C607" s="163"/>
      <c r="D607" s="164"/>
      <c r="E607" s="164"/>
      <c r="F607" s="164"/>
      <c r="G607" s="164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ht="12.75" customHeight="1" spans="1:27">
      <c r="A608" s="13"/>
      <c r="B608" s="163"/>
      <c r="C608" s="163"/>
      <c r="D608" s="164"/>
      <c r="E608" s="164"/>
      <c r="F608" s="164"/>
      <c r="G608" s="164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ht="12.75" customHeight="1" spans="1:27">
      <c r="A609" s="13"/>
      <c r="B609" s="163"/>
      <c r="C609" s="163"/>
      <c r="D609" s="164"/>
      <c r="E609" s="164"/>
      <c r="F609" s="164"/>
      <c r="G609" s="164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ht="12.75" customHeight="1" spans="1:27">
      <c r="A610" s="13"/>
      <c r="B610" s="163"/>
      <c r="C610" s="163"/>
      <c r="D610" s="164"/>
      <c r="E610" s="164"/>
      <c r="F610" s="164"/>
      <c r="G610" s="164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ht="12.75" customHeight="1" spans="1:27">
      <c r="A611" s="13"/>
      <c r="B611" s="163"/>
      <c r="C611" s="163"/>
      <c r="D611" s="164"/>
      <c r="E611" s="164"/>
      <c r="F611" s="164"/>
      <c r="G611" s="164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ht="12.75" customHeight="1" spans="1:27">
      <c r="A612" s="13"/>
      <c r="B612" s="163"/>
      <c r="C612" s="163"/>
      <c r="D612" s="164"/>
      <c r="E612" s="164"/>
      <c r="F612" s="164"/>
      <c r="G612" s="164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ht="12.75" customHeight="1" spans="1:27">
      <c r="A613" s="13"/>
      <c r="B613" s="163"/>
      <c r="C613" s="163"/>
      <c r="D613" s="164"/>
      <c r="E613" s="164"/>
      <c r="F613" s="164"/>
      <c r="G613" s="164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ht="12.75" customHeight="1" spans="1:27">
      <c r="A614" s="13"/>
      <c r="B614" s="163"/>
      <c r="C614" s="163"/>
      <c r="D614" s="164"/>
      <c r="E614" s="164"/>
      <c r="F614" s="164"/>
      <c r="G614" s="164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ht="12.75" customHeight="1" spans="1:27">
      <c r="A615" s="13"/>
      <c r="B615" s="163"/>
      <c r="C615" s="163"/>
      <c r="D615" s="164"/>
      <c r="E615" s="164"/>
      <c r="F615" s="164"/>
      <c r="G615" s="164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ht="12.75" customHeight="1" spans="1:27">
      <c r="A616" s="13"/>
      <c r="B616" s="163"/>
      <c r="C616" s="163"/>
      <c r="D616" s="164"/>
      <c r="E616" s="164"/>
      <c r="F616" s="164"/>
      <c r="G616" s="164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ht="12.75" customHeight="1" spans="1:27">
      <c r="A617" s="13"/>
      <c r="B617" s="163"/>
      <c r="C617" s="163"/>
      <c r="D617" s="164"/>
      <c r="E617" s="164"/>
      <c r="F617" s="164"/>
      <c r="G617" s="164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ht="12.75" customHeight="1" spans="1:27">
      <c r="A618" s="13"/>
      <c r="B618" s="163"/>
      <c r="C618" s="163"/>
      <c r="D618" s="164"/>
      <c r="E618" s="164"/>
      <c r="F618" s="164"/>
      <c r="G618" s="164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ht="12.75" customHeight="1" spans="1:27">
      <c r="A619" s="13"/>
      <c r="B619" s="163"/>
      <c r="C619" s="163"/>
      <c r="D619" s="164"/>
      <c r="E619" s="164"/>
      <c r="F619" s="164"/>
      <c r="G619" s="164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ht="12.75" customHeight="1" spans="1:27">
      <c r="A620" s="13"/>
      <c r="B620" s="163"/>
      <c r="C620" s="163"/>
      <c r="D620" s="164"/>
      <c r="E620" s="164"/>
      <c r="F620" s="164"/>
      <c r="G620" s="164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ht="12.75" customHeight="1" spans="1:27">
      <c r="A621" s="13"/>
      <c r="B621" s="163"/>
      <c r="C621" s="163"/>
      <c r="D621" s="164"/>
      <c r="E621" s="164"/>
      <c r="F621" s="164"/>
      <c r="G621" s="164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ht="12.75" customHeight="1" spans="1:27">
      <c r="A622" s="13"/>
      <c r="B622" s="163"/>
      <c r="C622" s="163"/>
      <c r="D622" s="164"/>
      <c r="E622" s="164"/>
      <c r="F622" s="164"/>
      <c r="G622" s="164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ht="12.75" customHeight="1" spans="1:27">
      <c r="A623" s="13"/>
      <c r="B623" s="163"/>
      <c r="C623" s="163"/>
      <c r="D623" s="164"/>
      <c r="E623" s="164"/>
      <c r="F623" s="164"/>
      <c r="G623" s="164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ht="12.75" customHeight="1" spans="1:27">
      <c r="A624" s="13"/>
      <c r="B624" s="163"/>
      <c r="C624" s="163"/>
      <c r="D624" s="164"/>
      <c r="E624" s="164"/>
      <c r="F624" s="164"/>
      <c r="G624" s="164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ht="12.75" customHeight="1" spans="1:27">
      <c r="A625" s="13"/>
      <c r="B625" s="163"/>
      <c r="C625" s="163"/>
      <c r="D625" s="164"/>
      <c r="E625" s="164"/>
      <c r="F625" s="164"/>
      <c r="G625" s="164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ht="12.75" customHeight="1" spans="1:27">
      <c r="A626" s="13"/>
      <c r="B626" s="163"/>
      <c r="C626" s="163"/>
      <c r="D626" s="164"/>
      <c r="E626" s="164"/>
      <c r="F626" s="164"/>
      <c r="G626" s="164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ht="12.75" customHeight="1" spans="1:27">
      <c r="A627" s="13"/>
      <c r="B627" s="163"/>
      <c r="C627" s="163"/>
      <c r="D627" s="164"/>
      <c r="E627" s="164"/>
      <c r="F627" s="164"/>
      <c r="G627" s="164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ht="12.75" customHeight="1" spans="1:27">
      <c r="A628" s="13"/>
      <c r="B628" s="163"/>
      <c r="C628" s="163"/>
      <c r="D628" s="164"/>
      <c r="E628" s="164"/>
      <c r="F628" s="164"/>
      <c r="G628" s="164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ht="12.75" customHeight="1" spans="1:27">
      <c r="A629" s="13"/>
      <c r="B629" s="163"/>
      <c r="C629" s="163"/>
      <c r="D629" s="164"/>
      <c r="E629" s="164"/>
      <c r="F629" s="164"/>
      <c r="G629" s="164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ht="12.75" customHeight="1" spans="1:27">
      <c r="A630" s="13"/>
      <c r="B630" s="163"/>
      <c r="C630" s="163"/>
      <c r="D630" s="164"/>
      <c r="E630" s="164"/>
      <c r="F630" s="164"/>
      <c r="G630" s="164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ht="12.75" customHeight="1" spans="1:27">
      <c r="A631" s="13"/>
      <c r="B631" s="163"/>
      <c r="C631" s="163"/>
      <c r="D631" s="164"/>
      <c r="E631" s="164"/>
      <c r="F631" s="164"/>
      <c r="G631" s="164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ht="12.75" customHeight="1" spans="1:27">
      <c r="A632" s="13"/>
      <c r="B632" s="163"/>
      <c r="C632" s="163"/>
      <c r="D632" s="164"/>
      <c r="E632" s="164"/>
      <c r="F632" s="164"/>
      <c r="G632" s="164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ht="12.75" customHeight="1" spans="1:27">
      <c r="A633" s="13"/>
      <c r="B633" s="163"/>
      <c r="C633" s="163"/>
      <c r="D633" s="164"/>
      <c r="E633" s="164"/>
      <c r="F633" s="164"/>
      <c r="G633" s="164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ht="12.75" customHeight="1" spans="1:27">
      <c r="A634" s="13"/>
      <c r="B634" s="163"/>
      <c r="C634" s="163"/>
      <c r="D634" s="164"/>
      <c r="E634" s="164"/>
      <c r="F634" s="164"/>
      <c r="G634" s="164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ht="12.75" customHeight="1" spans="1:27">
      <c r="A635" s="13"/>
      <c r="B635" s="163"/>
      <c r="C635" s="163"/>
      <c r="D635" s="164"/>
      <c r="E635" s="164"/>
      <c r="F635" s="164"/>
      <c r="G635" s="164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ht="12.75" customHeight="1" spans="1:27">
      <c r="A636" s="13"/>
      <c r="B636" s="163"/>
      <c r="C636" s="163"/>
      <c r="D636" s="164"/>
      <c r="E636" s="164"/>
      <c r="F636" s="164"/>
      <c r="G636" s="164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ht="12.75" customHeight="1" spans="1:27">
      <c r="A637" s="13"/>
      <c r="B637" s="163"/>
      <c r="C637" s="163"/>
      <c r="D637" s="164"/>
      <c r="E637" s="164"/>
      <c r="F637" s="164"/>
      <c r="G637" s="164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ht="12.75" customHeight="1" spans="1:27">
      <c r="A638" s="13"/>
      <c r="B638" s="163"/>
      <c r="C638" s="163"/>
      <c r="D638" s="164"/>
      <c r="E638" s="164"/>
      <c r="F638" s="164"/>
      <c r="G638" s="164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ht="12.75" customHeight="1" spans="1:27">
      <c r="A639" s="13"/>
      <c r="B639" s="163"/>
      <c r="C639" s="163"/>
      <c r="D639" s="164"/>
      <c r="E639" s="164"/>
      <c r="F639" s="164"/>
      <c r="G639" s="164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ht="12.75" customHeight="1" spans="1:27">
      <c r="A640" s="13"/>
      <c r="B640" s="163"/>
      <c r="C640" s="163"/>
      <c r="D640" s="164"/>
      <c r="E640" s="164"/>
      <c r="F640" s="164"/>
      <c r="G640" s="164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ht="12.75" customHeight="1" spans="1:27">
      <c r="A641" s="13"/>
      <c r="B641" s="163"/>
      <c r="C641" s="163"/>
      <c r="D641" s="164"/>
      <c r="E641" s="164"/>
      <c r="F641" s="164"/>
      <c r="G641" s="164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ht="12.75" customHeight="1" spans="1:27">
      <c r="A642" s="13"/>
      <c r="B642" s="163"/>
      <c r="C642" s="163"/>
      <c r="D642" s="164"/>
      <c r="E642" s="164"/>
      <c r="F642" s="164"/>
      <c r="G642" s="164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ht="12.75" customHeight="1" spans="1:27">
      <c r="A643" s="13"/>
      <c r="B643" s="163"/>
      <c r="C643" s="163"/>
      <c r="D643" s="164"/>
      <c r="E643" s="164"/>
      <c r="F643" s="164"/>
      <c r="G643" s="164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ht="12.75" customHeight="1" spans="1:27">
      <c r="A644" s="13"/>
      <c r="B644" s="163"/>
      <c r="C644" s="163"/>
      <c r="D644" s="164"/>
      <c r="E644" s="164"/>
      <c r="F644" s="164"/>
      <c r="G644" s="164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ht="12.75" customHeight="1" spans="1:27">
      <c r="A645" s="13"/>
      <c r="B645" s="163"/>
      <c r="C645" s="163"/>
      <c r="D645" s="164"/>
      <c r="E645" s="164"/>
      <c r="F645" s="164"/>
      <c r="G645" s="164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ht="12.75" customHeight="1" spans="1:27">
      <c r="A646" s="13"/>
      <c r="B646" s="163"/>
      <c r="C646" s="163"/>
      <c r="D646" s="164"/>
      <c r="E646" s="164"/>
      <c r="F646" s="164"/>
      <c r="G646" s="164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ht="12.75" customHeight="1" spans="1:27">
      <c r="A647" s="13"/>
      <c r="B647" s="163"/>
      <c r="C647" s="163"/>
      <c r="D647" s="164"/>
      <c r="E647" s="164"/>
      <c r="F647" s="164"/>
      <c r="G647" s="164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ht="12.75" customHeight="1" spans="1:27">
      <c r="A648" s="13"/>
      <c r="B648" s="163"/>
      <c r="C648" s="163"/>
      <c r="D648" s="164"/>
      <c r="E648" s="164"/>
      <c r="F648" s="164"/>
      <c r="G648" s="164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ht="12.75" customHeight="1" spans="1:27">
      <c r="A649" s="13"/>
      <c r="B649" s="163"/>
      <c r="C649" s="163"/>
      <c r="D649" s="164"/>
      <c r="E649" s="164"/>
      <c r="F649" s="164"/>
      <c r="G649" s="164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ht="12.75" customHeight="1" spans="1:27">
      <c r="A650" s="13"/>
      <c r="B650" s="163"/>
      <c r="C650" s="163"/>
      <c r="D650" s="164"/>
      <c r="E650" s="164"/>
      <c r="F650" s="164"/>
      <c r="G650" s="164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ht="12.75" customHeight="1" spans="1:27">
      <c r="A651" s="13"/>
      <c r="B651" s="163"/>
      <c r="C651" s="163"/>
      <c r="D651" s="164"/>
      <c r="E651" s="164"/>
      <c r="F651" s="164"/>
      <c r="G651" s="164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ht="12.75" customHeight="1" spans="1:27">
      <c r="A652" s="13"/>
      <c r="B652" s="163"/>
      <c r="C652" s="163"/>
      <c r="D652" s="164"/>
      <c r="E652" s="164"/>
      <c r="F652" s="164"/>
      <c r="G652" s="164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ht="12.75" customHeight="1" spans="1:27">
      <c r="A653" s="13"/>
      <c r="B653" s="163"/>
      <c r="C653" s="163"/>
      <c r="D653" s="164"/>
      <c r="E653" s="164"/>
      <c r="F653" s="164"/>
      <c r="G653" s="164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ht="12.75" customHeight="1" spans="1:27">
      <c r="A654" s="13"/>
      <c r="B654" s="163"/>
      <c r="C654" s="163"/>
      <c r="D654" s="164"/>
      <c r="E654" s="164"/>
      <c r="F654" s="164"/>
      <c r="G654" s="164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ht="12.75" customHeight="1" spans="1:27">
      <c r="A655" s="13"/>
      <c r="B655" s="163"/>
      <c r="C655" s="163"/>
      <c r="D655" s="164"/>
      <c r="E655" s="164"/>
      <c r="F655" s="164"/>
      <c r="G655" s="164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ht="12.75" customHeight="1" spans="1:27">
      <c r="A656" s="13"/>
      <c r="B656" s="163"/>
      <c r="C656" s="163"/>
      <c r="D656" s="164"/>
      <c r="E656" s="164"/>
      <c r="F656" s="164"/>
      <c r="G656" s="164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ht="12.75" customHeight="1" spans="1:27">
      <c r="A657" s="13"/>
      <c r="B657" s="163"/>
      <c r="C657" s="163"/>
      <c r="D657" s="164"/>
      <c r="E657" s="164"/>
      <c r="F657" s="164"/>
      <c r="G657" s="164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ht="12.75" customHeight="1" spans="1:27">
      <c r="A658" s="13"/>
      <c r="B658" s="163"/>
      <c r="C658" s="163"/>
      <c r="D658" s="164"/>
      <c r="E658" s="164"/>
      <c r="F658" s="164"/>
      <c r="G658" s="164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ht="12.75" customHeight="1" spans="1:27">
      <c r="A659" s="13"/>
      <c r="B659" s="163"/>
      <c r="C659" s="163"/>
      <c r="D659" s="164"/>
      <c r="E659" s="164"/>
      <c r="F659" s="164"/>
      <c r="G659" s="164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ht="12.75" customHeight="1" spans="1:27">
      <c r="A660" s="13"/>
      <c r="B660" s="163"/>
      <c r="C660" s="163"/>
      <c r="D660" s="164"/>
      <c r="E660" s="164"/>
      <c r="F660" s="164"/>
      <c r="G660" s="164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ht="12.75" customHeight="1" spans="1:27">
      <c r="A661" s="13"/>
      <c r="B661" s="163"/>
      <c r="C661" s="163"/>
      <c r="D661" s="164"/>
      <c r="E661" s="164"/>
      <c r="F661" s="164"/>
      <c r="G661" s="164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ht="12.75" customHeight="1" spans="1:27">
      <c r="A662" s="13"/>
      <c r="B662" s="163"/>
      <c r="C662" s="163"/>
      <c r="D662" s="164"/>
      <c r="E662" s="164"/>
      <c r="F662" s="164"/>
      <c r="G662" s="164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ht="12.75" customHeight="1" spans="1:27">
      <c r="A663" s="13"/>
      <c r="B663" s="163"/>
      <c r="C663" s="163"/>
      <c r="D663" s="164"/>
      <c r="E663" s="164"/>
      <c r="F663" s="164"/>
      <c r="G663" s="164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ht="12.75" customHeight="1" spans="1:27">
      <c r="A664" s="13"/>
      <c r="B664" s="163"/>
      <c r="C664" s="163"/>
      <c r="D664" s="164"/>
      <c r="E664" s="164"/>
      <c r="F664" s="164"/>
      <c r="G664" s="164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ht="12.75" customHeight="1" spans="1:27">
      <c r="A665" s="13"/>
      <c r="B665" s="163"/>
      <c r="C665" s="163"/>
      <c r="D665" s="164"/>
      <c r="E665" s="164"/>
      <c r="F665" s="164"/>
      <c r="G665" s="164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ht="12.75" customHeight="1" spans="1:27">
      <c r="A666" s="13"/>
      <c r="B666" s="163"/>
      <c r="C666" s="163"/>
      <c r="D666" s="164"/>
      <c r="E666" s="164"/>
      <c r="F666" s="164"/>
      <c r="G666" s="164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ht="12.75" customHeight="1" spans="1:27">
      <c r="A667" s="13"/>
      <c r="B667" s="163"/>
      <c r="C667" s="163"/>
      <c r="D667" s="164"/>
      <c r="E667" s="164"/>
      <c r="F667" s="164"/>
      <c r="G667" s="164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ht="12.75" customHeight="1" spans="1:27">
      <c r="A668" s="13"/>
      <c r="B668" s="163"/>
      <c r="C668" s="163"/>
      <c r="D668" s="164"/>
      <c r="E668" s="164"/>
      <c r="F668" s="164"/>
      <c r="G668" s="164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ht="12.75" customHeight="1" spans="1:27">
      <c r="A669" s="13"/>
      <c r="B669" s="163"/>
      <c r="C669" s="163"/>
      <c r="D669" s="164"/>
      <c r="E669" s="164"/>
      <c r="F669" s="164"/>
      <c r="G669" s="164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ht="12.75" customHeight="1" spans="1:27">
      <c r="A670" s="13"/>
      <c r="B670" s="163"/>
      <c r="C670" s="163"/>
      <c r="D670" s="164"/>
      <c r="E670" s="164"/>
      <c r="F670" s="164"/>
      <c r="G670" s="164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ht="12.75" customHeight="1" spans="1:27">
      <c r="A671" s="13"/>
      <c r="B671" s="163"/>
      <c r="C671" s="163"/>
      <c r="D671" s="164"/>
      <c r="E671" s="164"/>
      <c r="F671" s="164"/>
      <c r="G671" s="164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ht="12.75" customHeight="1" spans="1:27">
      <c r="A672" s="13"/>
      <c r="B672" s="163"/>
      <c r="C672" s="163"/>
      <c r="D672" s="164"/>
      <c r="E672" s="164"/>
      <c r="F672" s="164"/>
      <c r="G672" s="164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ht="12.75" customHeight="1" spans="1:27">
      <c r="A673" s="13"/>
      <c r="B673" s="163"/>
      <c r="C673" s="163"/>
      <c r="D673" s="164"/>
      <c r="E673" s="164"/>
      <c r="F673" s="164"/>
      <c r="G673" s="164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ht="12.75" customHeight="1" spans="1:27">
      <c r="A674" s="13"/>
      <c r="B674" s="163"/>
      <c r="C674" s="163"/>
      <c r="D674" s="164"/>
      <c r="E674" s="164"/>
      <c r="F674" s="164"/>
      <c r="G674" s="164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ht="12.75" customHeight="1" spans="1:27">
      <c r="A675" s="13"/>
      <c r="B675" s="163"/>
      <c r="C675" s="163"/>
      <c r="D675" s="164"/>
      <c r="E675" s="164"/>
      <c r="F675" s="164"/>
      <c r="G675" s="164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ht="12.75" customHeight="1" spans="1:27">
      <c r="A676" s="13"/>
      <c r="B676" s="163"/>
      <c r="C676" s="163"/>
      <c r="D676" s="164"/>
      <c r="E676" s="164"/>
      <c r="F676" s="164"/>
      <c r="G676" s="164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ht="12.75" customHeight="1" spans="1:27">
      <c r="A677" s="13"/>
      <c r="B677" s="163"/>
      <c r="C677" s="163"/>
      <c r="D677" s="164"/>
      <c r="E677" s="164"/>
      <c r="F677" s="164"/>
      <c r="G677" s="164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ht="12.75" customHeight="1" spans="1:27">
      <c r="A678" s="13"/>
      <c r="B678" s="163"/>
      <c r="C678" s="163"/>
      <c r="D678" s="164"/>
      <c r="E678" s="164"/>
      <c r="F678" s="164"/>
      <c r="G678" s="164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ht="12.75" customHeight="1" spans="1:27">
      <c r="A679" s="13"/>
      <c r="B679" s="163"/>
      <c r="C679" s="163"/>
      <c r="D679" s="164"/>
      <c r="E679" s="164"/>
      <c r="F679" s="164"/>
      <c r="G679" s="164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ht="12.75" customHeight="1" spans="1:27">
      <c r="A680" s="13"/>
      <c r="B680" s="163"/>
      <c r="C680" s="163"/>
      <c r="D680" s="164"/>
      <c r="E680" s="164"/>
      <c r="F680" s="164"/>
      <c r="G680" s="164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ht="12.75" customHeight="1" spans="1:27">
      <c r="A681" s="13"/>
      <c r="B681" s="163"/>
      <c r="C681" s="163"/>
      <c r="D681" s="164"/>
      <c r="E681" s="164"/>
      <c r="F681" s="164"/>
      <c r="G681" s="164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ht="12.75" customHeight="1" spans="1:27">
      <c r="A682" s="13"/>
      <c r="B682" s="163"/>
      <c r="C682" s="163"/>
      <c r="D682" s="164"/>
      <c r="E682" s="164"/>
      <c r="F682" s="164"/>
      <c r="G682" s="164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ht="12.75" customHeight="1" spans="1:27">
      <c r="A683" s="13"/>
      <c r="B683" s="163"/>
      <c r="C683" s="163"/>
      <c r="D683" s="164"/>
      <c r="E683" s="164"/>
      <c r="F683" s="164"/>
      <c r="G683" s="164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ht="12.75" customHeight="1" spans="1:27">
      <c r="A684" s="13"/>
      <c r="B684" s="163"/>
      <c r="C684" s="163"/>
      <c r="D684" s="164"/>
      <c r="E684" s="164"/>
      <c r="F684" s="164"/>
      <c r="G684" s="164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ht="12.75" customHeight="1" spans="1:27">
      <c r="A685" s="13"/>
      <c r="B685" s="163"/>
      <c r="C685" s="163"/>
      <c r="D685" s="164"/>
      <c r="E685" s="164"/>
      <c r="F685" s="164"/>
      <c r="G685" s="164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ht="12.75" customHeight="1" spans="1:27">
      <c r="A686" s="13"/>
      <c r="B686" s="163"/>
      <c r="C686" s="163"/>
      <c r="D686" s="164"/>
      <c r="E686" s="164"/>
      <c r="F686" s="164"/>
      <c r="G686" s="164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ht="12.75" customHeight="1" spans="1:27">
      <c r="A687" s="13"/>
      <c r="B687" s="163"/>
      <c r="C687" s="163"/>
      <c r="D687" s="164"/>
      <c r="E687" s="164"/>
      <c r="F687" s="164"/>
      <c r="G687" s="164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ht="12.75" customHeight="1" spans="1:27">
      <c r="A688" s="13"/>
      <c r="B688" s="163"/>
      <c r="C688" s="163"/>
      <c r="D688" s="164"/>
      <c r="E688" s="164"/>
      <c r="F688" s="164"/>
      <c r="G688" s="164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ht="12.75" customHeight="1" spans="1:27">
      <c r="A689" s="13"/>
      <c r="B689" s="163"/>
      <c r="C689" s="163"/>
      <c r="D689" s="164"/>
      <c r="E689" s="164"/>
      <c r="F689" s="164"/>
      <c r="G689" s="164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ht="12.75" customHeight="1" spans="1:27">
      <c r="A690" s="13"/>
      <c r="B690" s="163"/>
      <c r="C690" s="163"/>
      <c r="D690" s="164"/>
      <c r="E690" s="164"/>
      <c r="F690" s="164"/>
      <c r="G690" s="164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ht="12.75" customHeight="1" spans="1:27">
      <c r="A691" s="13"/>
      <c r="B691" s="163"/>
      <c r="C691" s="163"/>
      <c r="D691" s="164"/>
      <c r="E691" s="164"/>
      <c r="F691" s="164"/>
      <c r="G691" s="164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ht="12.75" customHeight="1" spans="1:27">
      <c r="A692" s="13"/>
      <c r="B692" s="163"/>
      <c r="C692" s="163"/>
      <c r="D692" s="164"/>
      <c r="E692" s="164"/>
      <c r="F692" s="164"/>
      <c r="G692" s="164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ht="12.75" customHeight="1" spans="1:27">
      <c r="A693" s="13"/>
      <c r="B693" s="163"/>
      <c r="C693" s="163"/>
      <c r="D693" s="164"/>
      <c r="E693" s="164"/>
      <c r="F693" s="164"/>
      <c r="G693" s="164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ht="12.75" customHeight="1" spans="1:27">
      <c r="A694" s="13"/>
      <c r="B694" s="163"/>
      <c r="C694" s="163"/>
      <c r="D694" s="164"/>
      <c r="E694" s="164"/>
      <c r="F694" s="164"/>
      <c r="G694" s="164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ht="12.75" customHeight="1" spans="1:27">
      <c r="A695" s="13"/>
      <c r="B695" s="163"/>
      <c r="C695" s="163"/>
      <c r="D695" s="164"/>
      <c r="E695" s="164"/>
      <c r="F695" s="164"/>
      <c r="G695" s="164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ht="12.75" customHeight="1" spans="1:27">
      <c r="A696" s="13"/>
      <c r="B696" s="163"/>
      <c r="C696" s="163"/>
      <c r="D696" s="164"/>
      <c r="E696" s="164"/>
      <c r="F696" s="164"/>
      <c r="G696" s="164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ht="12.75" customHeight="1" spans="1:27">
      <c r="A697" s="13"/>
      <c r="B697" s="163"/>
      <c r="C697" s="163"/>
      <c r="D697" s="164"/>
      <c r="E697" s="164"/>
      <c r="F697" s="164"/>
      <c r="G697" s="164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ht="12.75" customHeight="1" spans="1:27">
      <c r="A698" s="13"/>
      <c r="B698" s="163"/>
      <c r="C698" s="163"/>
      <c r="D698" s="164"/>
      <c r="E698" s="164"/>
      <c r="F698" s="164"/>
      <c r="G698" s="164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ht="12.75" customHeight="1" spans="1:27">
      <c r="A699" s="13"/>
      <c r="B699" s="163"/>
      <c r="C699" s="163"/>
      <c r="D699" s="164"/>
      <c r="E699" s="164"/>
      <c r="F699" s="164"/>
      <c r="G699" s="164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ht="12.75" customHeight="1" spans="1:27">
      <c r="A700" s="13"/>
      <c r="B700" s="163"/>
      <c r="C700" s="163"/>
      <c r="D700" s="164"/>
      <c r="E700" s="164"/>
      <c r="F700" s="164"/>
      <c r="G700" s="164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ht="12.75" customHeight="1" spans="1:27">
      <c r="A701" s="13"/>
      <c r="B701" s="163"/>
      <c r="C701" s="163"/>
      <c r="D701" s="164"/>
      <c r="E701" s="164"/>
      <c r="F701" s="164"/>
      <c r="G701" s="164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ht="12.75" customHeight="1" spans="1:27">
      <c r="A702" s="13"/>
      <c r="B702" s="163"/>
      <c r="C702" s="163"/>
      <c r="D702" s="164"/>
      <c r="E702" s="164"/>
      <c r="F702" s="164"/>
      <c r="G702" s="164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ht="12.75" customHeight="1" spans="1:27">
      <c r="A703" s="13"/>
      <c r="B703" s="163"/>
      <c r="C703" s="163"/>
      <c r="D703" s="164"/>
      <c r="E703" s="164"/>
      <c r="F703" s="164"/>
      <c r="G703" s="164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ht="12.75" customHeight="1" spans="1:27">
      <c r="A704" s="13"/>
      <c r="B704" s="163"/>
      <c r="C704" s="163"/>
      <c r="D704" s="164"/>
      <c r="E704" s="164"/>
      <c r="F704" s="164"/>
      <c r="G704" s="164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ht="12.75" customHeight="1" spans="1:27">
      <c r="A705" s="13"/>
      <c r="B705" s="163"/>
      <c r="C705" s="163"/>
      <c r="D705" s="164"/>
      <c r="E705" s="164"/>
      <c r="F705" s="164"/>
      <c r="G705" s="164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ht="12.75" customHeight="1" spans="1:27">
      <c r="A706" s="13"/>
      <c r="B706" s="163"/>
      <c r="C706" s="163"/>
      <c r="D706" s="164"/>
      <c r="E706" s="164"/>
      <c r="F706" s="164"/>
      <c r="G706" s="164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ht="12.75" customHeight="1" spans="1:27">
      <c r="A707" s="13"/>
      <c r="B707" s="163"/>
      <c r="C707" s="163"/>
      <c r="D707" s="164"/>
      <c r="E707" s="164"/>
      <c r="F707" s="164"/>
      <c r="G707" s="164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ht="12.75" customHeight="1" spans="1:27">
      <c r="A708" s="13"/>
      <c r="B708" s="163"/>
      <c r="C708" s="163"/>
      <c r="D708" s="164"/>
      <c r="E708" s="164"/>
      <c r="F708" s="164"/>
      <c r="G708" s="164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ht="12.75" customHeight="1" spans="1:27">
      <c r="A709" s="13"/>
      <c r="B709" s="163"/>
      <c r="C709" s="163"/>
      <c r="D709" s="164"/>
      <c r="E709" s="164"/>
      <c r="F709" s="164"/>
      <c r="G709" s="164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ht="12.75" customHeight="1" spans="1:27">
      <c r="A710" s="13"/>
      <c r="B710" s="163"/>
      <c r="C710" s="163"/>
      <c r="D710" s="164"/>
      <c r="E710" s="164"/>
      <c r="F710" s="164"/>
      <c r="G710" s="164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ht="12.75" customHeight="1" spans="1:27">
      <c r="A711" s="13"/>
      <c r="B711" s="163"/>
      <c r="C711" s="163"/>
      <c r="D711" s="164"/>
      <c r="E711" s="164"/>
      <c r="F711" s="164"/>
      <c r="G711" s="164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ht="12.75" customHeight="1" spans="1:27">
      <c r="A712" s="13"/>
      <c r="B712" s="163"/>
      <c r="C712" s="163"/>
      <c r="D712" s="164"/>
      <c r="E712" s="164"/>
      <c r="F712" s="164"/>
      <c r="G712" s="164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ht="12.75" customHeight="1" spans="1:27">
      <c r="A713" s="13"/>
      <c r="B713" s="163"/>
      <c r="C713" s="163"/>
      <c r="D713" s="164"/>
      <c r="E713" s="164"/>
      <c r="F713" s="164"/>
      <c r="G713" s="164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ht="12.75" customHeight="1" spans="1:27">
      <c r="A714" s="13"/>
      <c r="B714" s="163"/>
      <c r="C714" s="163"/>
      <c r="D714" s="164"/>
      <c r="E714" s="164"/>
      <c r="F714" s="164"/>
      <c r="G714" s="164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ht="12.75" customHeight="1" spans="1:27">
      <c r="A715" s="13"/>
      <c r="B715" s="163"/>
      <c r="C715" s="163"/>
      <c r="D715" s="164"/>
      <c r="E715" s="164"/>
      <c r="F715" s="164"/>
      <c r="G715" s="164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ht="12.75" customHeight="1" spans="1:27">
      <c r="A716" s="13"/>
      <c r="B716" s="163"/>
      <c r="C716" s="163"/>
      <c r="D716" s="164"/>
      <c r="E716" s="164"/>
      <c r="F716" s="164"/>
      <c r="G716" s="164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ht="12.75" customHeight="1" spans="1:27">
      <c r="A717" s="13"/>
      <c r="B717" s="163"/>
      <c r="C717" s="163"/>
      <c r="D717" s="164"/>
      <c r="E717" s="164"/>
      <c r="F717" s="164"/>
      <c r="G717" s="164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ht="12.75" customHeight="1" spans="1:27">
      <c r="A718" s="13"/>
      <c r="B718" s="163"/>
      <c r="C718" s="163"/>
      <c r="D718" s="164"/>
      <c r="E718" s="164"/>
      <c r="F718" s="164"/>
      <c r="G718" s="164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ht="12.75" customHeight="1" spans="1:27">
      <c r="A719" s="13"/>
      <c r="B719" s="163"/>
      <c r="C719" s="163"/>
      <c r="D719" s="164"/>
      <c r="E719" s="164"/>
      <c r="F719" s="164"/>
      <c r="G719" s="164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ht="12.75" customHeight="1" spans="1:27">
      <c r="A720" s="13"/>
      <c r="B720" s="163"/>
      <c r="C720" s="163"/>
      <c r="D720" s="164"/>
      <c r="E720" s="164"/>
      <c r="F720" s="164"/>
      <c r="G720" s="164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ht="12.75" customHeight="1" spans="1:27">
      <c r="A721" s="13"/>
      <c r="B721" s="163"/>
      <c r="C721" s="163"/>
      <c r="D721" s="164"/>
      <c r="E721" s="164"/>
      <c r="F721" s="164"/>
      <c r="G721" s="164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ht="12.75" customHeight="1" spans="1:27">
      <c r="A722" s="13"/>
      <c r="B722" s="163"/>
      <c r="C722" s="163"/>
      <c r="D722" s="164"/>
      <c r="E722" s="164"/>
      <c r="F722" s="164"/>
      <c r="G722" s="164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ht="12.75" customHeight="1" spans="1:27">
      <c r="A723" s="13"/>
      <c r="B723" s="163"/>
      <c r="C723" s="163"/>
      <c r="D723" s="164"/>
      <c r="E723" s="164"/>
      <c r="F723" s="164"/>
      <c r="G723" s="164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ht="12.75" customHeight="1" spans="1:27">
      <c r="A724" s="13"/>
      <c r="B724" s="163"/>
      <c r="C724" s="163"/>
      <c r="D724" s="164"/>
      <c r="E724" s="164"/>
      <c r="F724" s="164"/>
      <c r="G724" s="164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ht="12.75" customHeight="1" spans="1:27">
      <c r="A725" s="13"/>
      <c r="B725" s="163"/>
      <c r="C725" s="163"/>
      <c r="D725" s="164"/>
      <c r="E725" s="164"/>
      <c r="F725" s="164"/>
      <c r="G725" s="164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ht="12.75" customHeight="1" spans="1:27">
      <c r="A726" s="13"/>
      <c r="B726" s="163"/>
      <c r="C726" s="163"/>
      <c r="D726" s="164"/>
      <c r="E726" s="164"/>
      <c r="F726" s="164"/>
      <c r="G726" s="164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ht="12.75" customHeight="1" spans="1:27">
      <c r="A727" s="13"/>
      <c r="B727" s="163"/>
      <c r="C727" s="163"/>
      <c r="D727" s="164"/>
      <c r="E727" s="164"/>
      <c r="F727" s="164"/>
      <c r="G727" s="164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ht="12.75" customHeight="1" spans="1:27">
      <c r="A728" s="13"/>
      <c r="B728" s="163"/>
      <c r="C728" s="163"/>
      <c r="D728" s="164"/>
      <c r="E728" s="164"/>
      <c r="F728" s="164"/>
      <c r="G728" s="164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ht="12.75" customHeight="1" spans="1:27">
      <c r="A729" s="13"/>
      <c r="B729" s="163"/>
      <c r="C729" s="163"/>
      <c r="D729" s="164"/>
      <c r="E729" s="164"/>
      <c r="F729" s="164"/>
      <c r="G729" s="164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ht="12.75" customHeight="1" spans="1:27">
      <c r="A730" s="13"/>
      <c r="B730" s="163"/>
      <c r="C730" s="163"/>
      <c r="D730" s="164"/>
      <c r="E730" s="164"/>
      <c r="F730" s="164"/>
      <c r="G730" s="164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ht="12.75" customHeight="1" spans="1:27">
      <c r="A731" s="13"/>
      <c r="B731" s="163"/>
      <c r="C731" s="163"/>
      <c r="D731" s="164"/>
      <c r="E731" s="164"/>
      <c r="F731" s="164"/>
      <c r="G731" s="164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ht="12.75" customHeight="1" spans="1:27">
      <c r="A732" s="13"/>
      <c r="B732" s="163"/>
      <c r="C732" s="163"/>
      <c r="D732" s="164"/>
      <c r="E732" s="164"/>
      <c r="F732" s="164"/>
      <c r="G732" s="164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ht="12.75" customHeight="1" spans="1:27">
      <c r="A733" s="13"/>
      <c r="B733" s="163"/>
      <c r="C733" s="163"/>
      <c r="D733" s="164"/>
      <c r="E733" s="164"/>
      <c r="F733" s="164"/>
      <c r="G733" s="164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ht="12.75" customHeight="1" spans="1:27">
      <c r="A734" s="13"/>
      <c r="B734" s="163"/>
      <c r="C734" s="163"/>
      <c r="D734" s="164"/>
      <c r="E734" s="164"/>
      <c r="F734" s="164"/>
      <c r="G734" s="164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ht="12.75" customHeight="1" spans="1:27">
      <c r="A735" s="13"/>
      <c r="B735" s="163"/>
      <c r="C735" s="163"/>
      <c r="D735" s="164"/>
      <c r="E735" s="164"/>
      <c r="F735" s="164"/>
      <c r="G735" s="164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ht="12.75" customHeight="1" spans="1:27">
      <c r="A736" s="13"/>
      <c r="B736" s="163"/>
      <c r="C736" s="163"/>
      <c r="D736" s="164"/>
      <c r="E736" s="164"/>
      <c r="F736" s="164"/>
      <c r="G736" s="164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ht="12.75" customHeight="1" spans="1:27">
      <c r="A737" s="13"/>
      <c r="B737" s="163"/>
      <c r="C737" s="163"/>
      <c r="D737" s="164"/>
      <c r="E737" s="164"/>
      <c r="F737" s="164"/>
      <c r="G737" s="164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ht="12.75" customHeight="1" spans="1:27">
      <c r="A738" s="13"/>
      <c r="B738" s="163"/>
      <c r="C738" s="163"/>
      <c r="D738" s="164"/>
      <c r="E738" s="164"/>
      <c r="F738" s="164"/>
      <c r="G738" s="164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ht="12.75" customHeight="1" spans="1:27">
      <c r="A739" s="13"/>
      <c r="B739" s="163"/>
      <c r="C739" s="163"/>
      <c r="D739" s="164"/>
      <c r="E739" s="164"/>
      <c r="F739" s="164"/>
      <c r="G739" s="164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ht="12.75" customHeight="1" spans="1:27">
      <c r="A740" s="13"/>
      <c r="B740" s="163"/>
      <c r="C740" s="163"/>
      <c r="D740" s="164"/>
      <c r="E740" s="164"/>
      <c r="F740" s="164"/>
      <c r="G740" s="164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ht="12.75" customHeight="1" spans="1:27">
      <c r="A741" s="13"/>
      <c r="B741" s="163"/>
      <c r="C741" s="163"/>
      <c r="D741" s="164"/>
      <c r="E741" s="164"/>
      <c r="F741" s="164"/>
      <c r="G741" s="164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ht="12.75" customHeight="1" spans="1:27">
      <c r="A742" s="13"/>
      <c r="B742" s="163"/>
      <c r="C742" s="163"/>
      <c r="D742" s="164"/>
      <c r="E742" s="164"/>
      <c r="F742" s="164"/>
      <c r="G742" s="164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ht="12.75" customHeight="1" spans="1:27">
      <c r="A743" s="13"/>
      <c r="B743" s="163"/>
      <c r="C743" s="163"/>
      <c r="D743" s="164"/>
      <c r="E743" s="164"/>
      <c r="F743" s="164"/>
      <c r="G743" s="164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ht="12.75" customHeight="1" spans="1:27">
      <c r="A744" s="13"/>
      <c r="B744" s="163"/>
      <c r="C744" s="163"/>
      <c r="D744" s="164"/>
      <c r="E744" s="164"/>
      <c r="F744" s="164"/>
      <c r="G744" s="164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ht="12.75" customHeight="1" spans="1:27">
      <c r="A745" s="13"/>
      <c r="B745" s="163"/>
      <c r="C745" s="163"/>
      <c r="D745" s="164"/>
      <c r="E745" s="164"/>
      <c r="F745" s="164"/>
      <c r="G745" s="164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ht="12.75" customHeight="1" spans="1:27">
      <c r="A746" s="13"/>
      <c r="B746" s="163"/>
      <c r="C746" s="163"/>
      <c r="D746" s="164"/>
      <c r="E746" s="164"/>
      <c r="F746" s="164"/>
      <c r="G746" s="164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ht="12.75" customHeight="1" spans="1:27">
      <c r="A747" s="13"/>
      <c r="B747" s="163"/>
      <c r="C747" s="163"/>
      <c r="D747" s="164"/>
      <c r="E747" s="164"/>
      <c r="F747" s="164"/>
      <c r="G747" s="164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ht="12.75" customHeight="1" spans="1:27">
      <c r="A748" s="13"/>
      <c r="B748" s="163"/>
      <c r="C748" s="163"/>
      <c r="D748" s="164"/>
      <c r="E748" s="164"/>
      <c r="F748" s="164"/>
      <c r="G748" s="164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ht="12.75" customHeight="1" spans="1:27">
      <c r="A749" s="13"/>
      <c r="B749" s="163"/>
      <c r="C749" s="163"/>
      <c r="D749" s="164"/>
      <c r="E749" s="164"/>
      <c r="F749" s="164"/>
      <c r="G749" s="164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ht="12.75" customHeight="1" spans="1:27">
      <c r="A750" s="13"/>
      <c r="B750" s="163"/>
      <c r="C750" s="163"/>
      <c r="D750" s="164"/>
      <c r="E750" s="164"/>
      <c r="F750" s="164"/>
      <c r="G750" s="164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ht="12.75" customHeight="1" spans="1:27">
      <c r="A751" s="13"/>
      <c r="B751" s="163"/>
      <c r="C751" s="163"/>
      <c r="D751" s="164"/>
      <c r="E751" s="164"/>
      <c r="F751" s="164"/>
      <c r="G751" s="164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ht="12.75" customHeight="1" spans="1:27">
      <c r="A752" s="13"/>
      <c r="B752" s="163"/>
      <c r="C752" s="163"/>
      <c r="D752" s="164"/>
      <c r="E752" s="164"/>
      <c r="F752" s="164"/>
      <c r="G752" s="164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ht="12.75" customHeight="1" spans="1:27">
      <c r="A753" s="13"/>
      <c r="B753" s="163"/>
      <c r="C753" s="163"/>
      <c r="D753" s="164"/>
      <c r="E753" s="164"/>
      <c r="F753" s="164"/>
      <c r="G753" s="164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ht="12.75" customHeight="1" spans="1:27">
      <c r="A754" s="13"/>
      <c r="B754" s="163"/>
      <c r="C754" s="163"/>
      <c r="D754" s="164"/>
      <c r="E754" s="164"/>
      <c r="F754" s="164"/>
      <c r="G754" s="164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ht="12.75" customHeight="1" spans="1:27">
      <c r="A755" s="13"/>
      <c r="B755" s="163"/>
      <c r="C755" s="163"/>
      <c r="D755" s="164"/>
      <c r="E755" s="164"/>
      <c r="F755" s="164"/>
      <c r="G755" s="164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ht="12.75" customHeight="1" spans="1:27">
      <c r="A756" s="13"/>
      <c r="B756" s="163"/>
      <c r="C756" s="163"/>
      <c r="D756" s="164"/>
      <c r="E756" s="164"/>
      <c r="F756" s="164"/>
      <c r="G756" s="164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ht="12.75" customHeight="1" spans="1:27">
      <c r="A757" s="13"/>
      <c r="B757" s="163"/>
      <c r="C757" s="163"/>
      <c r="D757" s="164"/>
      <c r="E757" s="164"/>
      <c r="F757" s="164"/>
      <c r="G757" s="164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ht="12.75" customHeight="1" spans="1:27">
      <c r="A758" s="13"/>
      <c r="B758" s="163"/>
      <c r="C758" s="163"/>
      <c r="D758" s="164"/>
      <c r="E758" s="164"/>
      <c r="F758" s="164"/>
      <c r="G758" s="164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ht="12.75" customHeight="1" spans="1:27">
      <c r="A759" s="13"/>
      <c r="B759" s="163"/>
      <c r="C759" s="163"/>
      <c r="D759" s="164"/>
      <c r="E759" s="164"/>
      <c r="F759" s="164"/>
      <c r="G759" s="164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ht="12.75" customHeight="1" spans="1:27">
      <c r="A760" s="13"/>
      <c r="B760" s="163"/>
      <c r="C760" s="163"/>
      <c r="D760" s="164"/>
      <c r="E760" s="164"/>
      <c r="F760" s="164"/>
      <c r="G760" s="164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ht="12.75" customHeight="1" spans="1:27">
      <c r="A761" s="13"/>
      <c r="B761" s="163"/>
      <c r="C761" s="163"/>
      <c r="D761" s="164"/>
      <c r="E761" s="164"/>
      <c r="F761" s="164"/>
      <c r="G761" s="164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ht="12.75" customHeight="1" spans="1:27">
      <c r="A762" s="13"/>
      <c r="B762" s="163"/>
      <c r="C762" s="163"/>
      <c r="D762" s="164"/>
      <c r="E762" s="164"/>
      <c r="F762" s="164"/>
      <c r="G762" s="164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ht="12.75" customHeight="1" spans="1:27">
      <c r="A763" s="13"/>
      <c r="B763" s="163"/>
      <c r="C763" s="163"/>
      <c r="D763" s="164"/>
      <c r="E763" s="164"/>
      <c r="F763" s="164"/>
      <c r="G763" s="164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ht="12.75" customHeight="1" spans="1:27">
      <c r="A764" s="13"/>
      <c r="B764" s="163"/>
      <c r="C764" s="163"/>
      <c r="D764" s="164"/>
      <c r="E764" s="164"/>
      <c r="F764" s="164"/>
      <c r="G764" s="164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ht="12.75" customHeight="1" spans="1:27">
      <c r="A765" s="13"/>
      <c r="B765" s="163"/>
      <c r="C765" s="163"/>
      <c r="D765" s="164"/>
      <c r="E765" s="164"/>
      <c r="F765" s="164"/>
      <c r="G765" s="164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ht="12.75" customHeight="1" spans="1:27">
      <c r="A766" s="13"/>
      <c r="B766" s="163"/>
      <c r="C766" s="163"/>
      <c r="D766" s="164"/>
      <c r="E766" s="164"/>
      <c r="F766" s="164"/>
      <c r="G766" s="164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ht="12.75" customHeight="1" spans="1:27">
      <c r="A767" s="13"/>
      <c r="B767" s="163"/>
      <c r="C767" s="163"/>
      <c r="D767" s="164"/>
      <c r="E767" s="164"/>
      <c r="F767" s="164"/>
      <c r="G767" s="164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ht="12.75" customHeight="1" spans="1:27">
      <c r="A768" s="13"/>
      <c r="B768" s="163"/>
      <c r="C768" s="163"/>
      <c r="D768" s="164"/>
      <c r="E768" s="164"/>
      <c r="F768" s="164"/>
      <c r="G768" s="164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ht="12.75" customHeight="1" spans="1:27">
      <c r="A769" s="13"/>
      <c r="B769" s="163"/>
      <c r="C769" s="163"/>
      <c r="D769" s="164"/>
      <c r="E769" s="164"/>
      <c r="F769" s="164"/>
      <c r="G769" s="164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ht="12.75" customHeight="1" spans="1:27">
      <c r="A770" s="13"/>
      <c r="B770" s="163"/>
      <c r="C770" s="163"/>
      <c r="D770" s="164"/>
      <c r="E770" s="164"/>
      <c r="F770" s="164"/>
      <c r="G770" s="164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ht="12.75" customHeight="1" spans="1:27">
      <c r="A771" s="13"/>
      <c r="B771" s="163"/>
      <c r="C771" s="163"/>
      <c r="D771" s="164"/>
      <c r="E771" s="164"/>
      <c r="F771" s="164"/>
      <c r="G771" s="164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ht="12.75" customHeight="1" spans="1:27">
      <c r="A772" s="13"/>
      <c r="B772" s="163"/>
      <c r="C772" s="163"/>
      <c r="D772" s="164"/>
      <c r="E772" s="164"/>
      <c r="F772" s="164"/>
      <c r="G772" s="164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ht="12.75" customHeight="1" spans="1:27">
      <c r="A773" s="13"/>
      <c r="B773" s="163"/>
      <c r="C773" s="163"/>
      <c r="D773" s="164"/>
      <c r="E773" s="164"/>
      <c r="F773" s="164"/>
      <c r="G773" s="164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ht="12.75" customHeight="1" spans="1:27">
      <c r="A774" s="13"/>
      <c r="B774" s="163"/>
      <c r="C774" s="163"/>
      <c r="D774" s="164"/>
      <c r="E774" s="164"/>
      <c r="F774" s="164"/>
      <c r="G774" s="164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ht="12.75" customHeight="1" spans="1:27">
      <c r="A775" s="13"/>
      <c r="B775" s="163"/>
      <c r="C775" s="163"/>
      <c r="D775" s="164"/>
      <c r="E775" s="164"/>
      <c r="F775" s="164"/>
      <c r="G775" s="164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ht="12.75" customHeight="1" spans="1:27">
      <c r="A776" s="13"/>
      <c r="B776" s="163"/>
      <c r="C776" s="163"/>
      <c r="D776" s="164"/>
      <c r="E776" s="164"/>
      <c r="F776" s="164"/>
      <c r="G776" s="164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ht="12.75" customHeight="1" spans="1:27">
      <c r="A777" s="13"/>
      <c r="B777" s="163"/>
      <c r="C777" s="163"/>
      <c r="D777" s="164"/>
      <c r="E777" s="164"/>
      <c r="F777" s="164"/>
      <c r="G777" s="164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ht="12.75" customHeight="1" spans="1:27">
      <c r="A778" s="13"/>
      <c r="B778" s="163"/>
      <c r="C778" s="163"/>
      <c r="D778" s="164"/>
      <c r="E778" s="164"/>
      <c r="F778" s="164"/>
      <c r="G778" s="164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ht="12.75" customHeight="1" spans="1:27">
      <c r="A779" s="13"/>
      <c r="B779" s="163"/>
      <c r="C779" s="163"/>
      <c r="D779" s="164"/>
      <c r="E779" s="164"/>
      <c r="F779" s="164"/>
      <c r="G779" s="164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ht="12.75" customHeight="1" spans="1:27">
      <c r="A780" s="13"/>
      <c r="B780" s="163"/>
      <c r="C780" s="163"/>
      <c r="D780" s="164"/>
      <c r="E780" s="164"/>
      <c r="F780" s="164"/>
      <c r="G780" s="164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ht="12.75" customHeight="1" spans="1:27">
      <c r="A781" s="13"/>
      <c r="B781" s="163"/>
      <c r="C781" s="163"/>
      <c r="D781" s="164"/>
      <c r="E781" s="164"/>
      <c r="F781" s="164"/>
      <c r="G781" s="164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ht="12.75" customHeight="1" spans="1:27">
      <c r="A782" s="13"/>
      <c r="B782" s="163"/>
      <c r="C782" s="163"/>
      <c r="D782" s="164"/>
      <c r="E782" s="164"/>
      <c r="F782" s="164"/>
      <c r="G782" s="164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ht="12.75" customHeight="1" spans="1:27">
      <c r="A783" s="13"/>
      <c r="B783" s="163"/>
      <c r="C783" s="163"/>
      <c r="D783" s="164"/>
      <c r="E783" s="164"/>
      <c r="F783" s="164"/>
      <c r="G783" s="164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ht="12.75" customHeight="1" spans="1:27">
      <c r="A784" s="13"/>
      <c r="B784" s="163"/>
      <c r="C784" s="163"/>
      <c r="D784" s="164"/>
      <c r="E784" s="164"/>
      <c r="F784" s="164"/>
      <c r="G784" s="164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ht="12.75" customHeight="1" spans="1:27">
      <c r="A785" s="13"/>
      <c r="B785" s="163"/>
      <c r="C785" s="163"/>
      <c r="D785" s="164"/>
      <c r="E785" s="164"/>
      <c r="F785" s="164"/>
      <c r="G785" s="164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ht="12.75" customHeight="1" spans="1:27">
      <c r="A786" s="13"/>
      <c r="B786" s="163"/>
      <c r="C786" s="163"/>
      <c r="D786" s="164"/>
      <c r="E786" s="164"/>
      <c r="F786" s="164"/>
      <c r="G786" s="164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ht="12.75" customHeight="1" spans="1:27">
      <c r="A787" s="13"/>
      <c r="B787" s="163"/>
      <c r="C787" s="163"/>
      <c r="D787" s="164"/>
      <c r="E787" s="164"/>
      <c r="F787" s="164"/>
      <c r="G787" s="164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ht="12.75" customHeight="1" spans="1:27">
      <c r="A788" s="13"/>
      <c r="B788" s="163"/>
      <c r="C788" s="163"/>
      <c r="D788" s="164"/>
      <c r="E788" s="164"/>
      <c r="F788" s="164"/>
      <c r="G788" s="164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ht="12.75" customHeight="1" spans="1:27">
      <c r="A789" s="13"/>
      <c r="B789" s="163"/>
      <c r="C789" s="163"/>
      <c r="D789" s="164"/>
      <c r="E789" s="164"/>
      <c r="F789" s="164"/>
      <c r="G789" s="164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ht="12.75" customHeight="1" spans="1:27">
      <c r="A790" s="13"/>
      <c r="B790" s="163"/>
      <c r="C790" s="163"/>
      <c r="D790" s="164"/>
      <c r="E790" s="164"/>
      <c r="F790" s="164"/>
      <c r="G790" s="164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ht="12.75" customHeight="1" spans="1:27">
      <c r="A791" s="13"/>
      <c r="B791" s="163"/>
      <c r="C791" s="163"/>
      <c r="D791" s="164"/>
      <c r="E791" s="164"/>
      <c r="F791" s="164"/>
      <c r="G791" s="164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ht="12.75" customHeight="1" spans="1:27">
      <c r="A792" s="13"/>
      <c r="B792" s="163"/>
      <c r="C792" s="163"/>
      <c r="D792" s="164"/>
      <c r="E792" s="164"/>
      <c r="F792" s="164"/>
      <c r="G792" s="164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ht="12.75" customHeight="1" spans="1:27">
      <c r="A793" s="13"/>
      <c r="B793" s="163"/>
      <c r="C793" s="163"/>
      <c r="D793" s="164"/>
      <c r="E793" s="164"/>
      <c r="F793" s="164"/>
      <c r="G793" s="164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ht="12.75" customHeight="1" spans="1:27">
      <c r="A794" s="13"/>
      <c r="B794" s="163"/>
      <c r="C794" s="163"/>
      <c r="D794" s="164"/>
      <c r="E794" s="164"/>
      <c r="F794" s="164"/>
      <c r="G794" s="164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ht="12.75" customHeight="1" spans="1:27">
      <c r="A795" s="13"/>
      <c r="B795" s="163"/>
      <c r="C795" s="163"/>
      <c r="D795" s="164"/>
      <c r="E795" s="164"/>
      <c r="F795" s="164"/>
      <c r="G795" s="164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ht="12.75" customHeight="1" spans="1:27">
      <c r="A796" s="13"/>
      <c r="B796" s="163"/>
      <c r="C796" s="163"/>
      <c r="D796" s="164"/>
      <c r="E796" s="164"/>
      <c r="F796" s="164"/>
      <c r="G796" s="164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ht="12.75" customHeight="1" spans="1:27">
      <c r="A797" s="13"/>
      <c r="B797" s="163"/>
      <c r="C797" s="163"/>
      <c r="D797" s="164"/>
      <c r="E797" s="164"/>
      <c r="F797" s="164"/>
      <c r="G797" s="164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ht="12.75" customHeight="1" spans="1:27">
      <c r="A798" s="13"/>
      <c r="B798" s="163"/>
      <c r="C798" s="163"/>
      <c r="D798" s="164"/>
      <c r="E798" s="164"/>
      <c r="F798" s="164"/>
      <c r="G798" s="164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ht="12.75" customHeight="1" spans="1:27">
      <c r="A799" s="13"/>
      <c r="B799" s="163"/>
      <c r="C799" s="163"/>
      <c r="D799" s="164"/>
      <c r="E799" s="164"/>
      <c r="F799" s="164"/>
      <c r="G799" s="164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ht="12.75" customHeight="1" spans="1:27">
      <c r="A800" s="13"/>
      <c r="B800" s="163"/>
      <c r="C800" s="163"/>
      <c r="D800" s="164"/>
      <c r="E800" s="164"/>
      <c r="F800" s="164"/>
      <c r="G800" s="164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ht="12.75" customHeight="1" spans="1:27">
      <c r="A801" s="13"/>
      <c r="B801" s="163"/>
      <c r="C801" s="163"/>
      <c r="D801" s="164"/>
      <c r="E801" s="164"/>
      <c r="F801" s="164"/>
      <c r="G801" s="164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ht="12.75" customHeight="1" spans="1:27">
      <c r="A802" s="13"/>
      <c r="B802" s="163"/>
      <c r="C802" s="163"/>
      <c r="D802" s="164"/>
      <c r="E802" s="164"/>
      <c r="F802" s="164"/>
      <c r="G802" s="164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ht="12.75" customHeight="1" spans="1:27">
      <c r="A803" s="13"/>
      <c r="B803" s="163"/>
      <c r="C803" s="163"/>
      <c r="D803" s="164"/>
      <c r="E803" s="164"/>
      <c r="F803" s="164"/>
      <c r="G803" s="164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ht="12.75" customHeight="1" spans="1:27">
      <c r="A804" s="13"/>
      <c r="B804" s="163"/>
      <c r="C804" s="163"/>
      <c r="D804" s="164"/>
      <c r="E804" s="164"/>
      <c r="F804" s="164"/>
      <c r="G804" s="164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ht="12.75" customHeight="1" spans="1:27">
      <c r="A805" s="13"/>
      <c r="B805" s="163"/>
      <c r="C805" s="163"/>
      <c r="D805" s="164"/>
      <c r="E805" s="164"/>
      <c r="F805" s="164"/>
      <c r="G805" s="164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ht="12.75" customHeight="1" spans="1:27">
      <c r="A806" s="13"/>
      <c r="B806" s="163"/>
      <c r="C806" s="163"/>
      <c r="D806" s="164"/>
      <c r="E806" s="164"/>
      <c r="F806" s="164"/>
      <c r="G806" s="164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ht="12.75" customHeight="1" spans="1:27">
      <c r="A807" s="13"/>
      <c r="B807" s="163"/>
      <c r="C807" s="163"/>
      <c r="D807" s="164"/>
      <c r="E807" s="164"/>
      <c r="F807" s="164"/>
      <c r="G807" s="164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ht="12.75" customHeight="1" spans="1:27">
      <c r="A808" s="13"/>
      <c r="B808" s="163"/>
      <c r="C808" s="163"/>
      <c r="D808" s="164"/>
      <c r="E808" s="164"/>
      <c r="F808" s="164"/>
      <c r="G808" s="164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ht="12.75" customHeight="1" spans="1:27">
      <c r="A809" s="13"/>
      <c r="B809" s="163"/>
      <c r="C809" s="163"/>
      <c r="D809" s="164"/>
      <c r="E809" s="164"/>
      <c r="F809" s="164"/>
      <c r="G809" s="164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ht="12.75" customHeight="1" spans="1:27">
      <c r="A810" s="13"/>
      <c r="B810" s="163"/>
      <c r="C810" s="163"/>
      <c r="D810" s="164"/>
      <c r="E810" s="164"/>
      <c r="F810" s="164"/>
      <c r="G810" s="164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ht="12.75" customHeight="1" spans="1:27">
      <c r="A811" s="13"/>
      <c r="B811" s="163"/>
      <c r="C811" s="163"/>
      <c r="D811" s="164"/>
      <c r="E811" s="164"/>
      <c r="F811" s="164"/>
      <c r="G811" s="164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ht="12.75" customHeight="1" spans="1:27">
      <c r="A812" s="13"/>
      <c r="B812" s="163"/>
      <c r="C812" s="163"/>
      <c r="D812" s="164"/>
      <c r="E812" s="164"/>
      <c r="F812" s="164"/>
      <c r="G812" s="164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ht="12.75" customHeight="1" spans="1:27">
      <c r="A813" s="13"/>
      <c r="B813" s="163"/>
      <c r="C813" s="163"/>
      <c r="D813" s="164"/>
      <c r="E813" s="164"/>
      <c r="F813" s="164"/>
      <c r="G813" s="164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ht="12.75" customHeight="1" spans="1:27">
      <c r="A814" s="13"/>
      <c r="B814" s="163"/>
      <c r="C814" s="163"/>
      <c r="D814" s="164"/>
      <c r="E814" s="164"/>
      <c r="F814" s="164"/>
      <c r="G814" s="164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ht="12.75" customHeight="1" spans="1:27">
      <c r="A815" s="13"/>
      <c r="B815" s="163"/>
      <c r="C815" s="163"/>
      <c r="D815" s="164"/>
      <c r="E815" s="164"/>
      <c r="F815" s="164"/>
      <c r="G815" s="164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ht="12.75" customHeight="1" spans="1:27">
      <c r="A816" s="13"/>
      <c r="B816" s="163"/>
      <c r="C816" s="163"/>
      <c r="D816" s="164"/>
      <c r="E816" s="164"/>
      <c r="F816" s="164"/>
      <c r="G816" s="164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ht="12.75" customHeight="1" spans="1:27">
      <c r="A817" s="13"/>
      <c r="B817" s="163"/>
      <c r="C817" s="163"/>
      <c r="D817" s="164"/>
      <c r="E817" s="164"/>
      <c r="F817" s="164"/>
      <c r="G817" s="164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ht="12.75" customHeight="1" spans="1:27">
      <c r="A818" s="13"/>
      <c r="B818" s="163"/>
      <c r="C818" s="163"/>
      <c r="D818" s="164"/>
      <c r="E818" s="164"/>
      <c r="F818" s="164"/>
      <c r="G818" s="164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ht="12.75" customHeight="1" spans="1:27">
      <c r="A819" s="13"/>
      <c r="B819" s="163"/>
      <c r="C819" s="163"/>
      <c r="D819" s="164"/>
      <c r="E819" s="164"/>
      <c r="F819" s="164"/>
      <c r="G819" s="164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ht="12.75" customHeight="1" spans="1:27">
      <c r="A820" s="13"/>
      <c r="B820" s="163"/>
      <c r="C820" s="163"/>
      <c r="D820" s="164"/>
      <c r="E820" s="164"/>
      <c r="F820" s="164"/>
      <c r="G820" s="164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ht="12.75" customHeight="1" spans="1:27">
      <c r="A821" s="13"/>
      <c r="B821" s="163"/>
      <c r="C821" s="163"/>
      <c r="D821" s="164"/>
      <c r="E821" s="164"/>
      <c r="F821" s="164"/>
      <c r="G821" s="164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ht="12.75" customHeight="1" spans="1:27">
      <c r="A822" s="13"/>
      <c r="B822" s="163"/>
      <c r="C822" s="163"/>
      <c r="D822" s="164"/>
      <c r="E822" s="164"/>
      <c r="F822" s="164"/>
      <c r="G822" s="164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ht="12.75" customHeight="1" spans="1:27">
      <c r="A823" s="13"/>
      <c r="B823" s="163"/>
      <c r="C823" s="163"/>
      <c r="D823" s="164"/>
      <c r="E823" s="164"/>
      <c r="F823" s="164"/>
      <c r="G823" s="164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ht="12.75" customHeight="1" spans="1:27">
      <c r="A824" s="13"/>
      <c r="B824" s="163"/>
      <c r="C824" s="163"/>
      <c r="D824" s="164"/>
      <c r="E824" s="164"/>
      <c r="F824" s="164"/>
      <c r="G824" s="164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ht="12.75" customHeight="1" spans="1:27">
      <c r="A825" s="13"/>
      <c r="B825" s="163"/>
      <c r="C825" s="163"/>
      <c r="D825" s="164"/>
      <c r="E825" s="164"/>
      <c r="F825" s="164"/>
      <c r="G825" s="164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ht="12.75" customHeight="1" spans="1:27">
      <c r="A826" s="13"/>
      <c r="B826" s="163"/>
      <c r="C826" s="163"/>
      <c r="D826" s="164"/>
      <c r="E826" s="164"/>
      <c r="F826" s="164"/>
      <c r="G826" s="164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ht="12.75" customHeight="1" spans="1:27">
      <c r="A827" s="13"/>
      <c r="B827" s="163"/>
      <c r="C827" s="163"/>
      <c r="D827" s="164"/>
      <c r="E827" s="164"/>
      <c r="F827" s="164"/>
      <c r="G827" s="164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ht="12.75" customHeight="1" spans="1:27">
      <c r="A828" s="13"/>
      <c r="B828" s="163"/>
      <c r="C828" s="163"/>
      <c r="D828" s="164"/>
      <c r="E828" s="164"/>
      <c r="F828" s="164"/>
      <c r="G828" s="164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ht="12.75" customHeight="1" spans="1:27">
      <c r="A829" s="13"/>
      <c r="B829" s="163"/>
      <c r="C829" s="163"/>
      <c r="D829" s="164"/>
      <c r="E829" s="164"/>
      <c r="F829" s="164"/>
      <c r="G829" s="164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ht="12.75" customHeight="1" spans="1:27">
      <c r="A830" s="13"/>
      <c r="B830" s="163"/>
      <c r="C830" s="163"/>
      <c r="D830" s="164"/>
      <c r="E830" s="164"/>
      <c r="F830" s="164"/>
      <c r="G830" s="164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ht="12.75" customHeight="1" spans="1:27">
      <c r="A831" s="13"/>
      <c r="B831" s="163"/>
      <c r="C831" s="163"/>
      <c r="D831" s="164"/>
      <c r="E831" s="164"/>
      <c r="F831" s="164"/>
      <c r="G831" s="164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ht="12.75" customHeight="1" spans="1:27">
      <c r="A832" s="13"/>
      <c r="B832" s="163"/>
      <c r="C832" s="163"/>
      <c r="D832" s="164"/>
      <c r="E832" s="164"/>
      <c r="F832" s="164"/>
      <c r="G832" s="164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ht="12.75" customHeight="1" spans="1:27">
      <c r="A833" s="13"/>
      <c r="B833" s="163"/>
      <c r="C833" s="163"/>
      <c r="D833" s="164"/>
      <c r="E833" s="164"/>
      <c r="F833" s="164"/>
      <c r="G833" s="164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ht="12.75" customHeight="1" spans="1:27">
      <c r="A834" s="13"/>
      <c r="B834" s="163"/>
      <c r="C834" s="163"/>
      <c r="D834" s="164"/>
      <c r="E834" s="164"/>
      <c r="F834" s="164"/>
      <c r="G834" s="164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ht="12.75" customHeight="1" spans="1:27">
      <c r="A835" s="13"/>
      <c r="B835" s="163"/>
      <c r="C835" s="163"/>
      <c r="D835" s="164"/>
      <c r="E835" s="164"/>
      <c r="F835" s="164"/>
      <c r="G835" s="164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ht="12.75" customHeight="1" spans="1:27">
      <c r="A836" s="13"/>
      <c r="B836" s="163"/>
      <c r="C836" s="163"/>
      <c r="D836" s="164"/>
      <c r="E836" s="164"/>
      <c r="F836" s="164"/>
      <c r="G836" s="164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ht="12.75" customHeight="1" spans="1:27">
      <c r="A837" s="13"/>
      <c r="B837" s="163"/>
      <c r="C837" s="163"/>
      <c r="D837" s="164"/>
      <c r="E837" s="164"/>
      <c r="F837" s="164"/>
      <c r="G837" s="164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ht="12.75" customHeight="1" spans="1:27">
      <c r="A838" s="13"/>
      <c r="B838" s="163"/>
      <c r="C838" s="163"/>
      <c r="D838" s="164"/>
      <c r="E838" s="164"/>
      <c r="F838" s="164"/>
      <c r="G838" s="164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ht="12.75" customHeight="1" spans="1:27">
      <c r="A839" s="13"/>
      <c r="B839" s="163"/>
      <c r="C839" s="163"/>
      <c r="D839" s="164"/>
      <c r="E839" s="164"/>
      <c r="F839" s="164"/>
      <c r="G839" s="164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ht="12.75" customHeight="1" spans="1:27">
      <c r="A840" s="13"/>
      <c r="B840" s="163"/>
      <c r="C840" s="163"/>
      <c r="D840" s="164"/>
      <c r="E840" s="164"/>
      <c r="F840" s="164"/>
      <c r="G840" s="164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ht="12.75" customHeight="1" spans="1:27">
      <c r="A841" s="13"/>
      <c r="B841" s="163"/>
      <c r="C841" s="163"/>
      <c r="D841" s="164"/>
      <c r="E841" s="164"/>
      <c r="F841" s="164"/>
      <c r="G841" s="164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ht="12.75" customHeight="1" spans="1:27">
      <c r="A842" s="13"/>
      <c r="B842" s="163"/>
      <c r="C842" s="163"/>
      <c r="D842" s="164"/>
      <c r="E842" s="164"/>
      <c r="F842" s="164"/>
      <c r="G842" s="164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ht="12.75" customHeight="1" spans="1:27">
      <c r="A843" s="13"/>
      <c r="B843" s="163"/>
      <c r="C843" s="163"/>
      <c r="D843" s="164"/>
      <c r="E843" s="164"/>
      <c r="F843" s="164"/>
      <c r="G843" s="164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ht="12.75" customHeight="1" spans="1:27">
      <c r="A844" s="13"/>
      <c r="B844" s="163"/>
      <c r="C844" s="163"/>
      <c r="D844" s="164"/>
      <c r="E844" s="164"/>
      <c r="F844" s="164"/>
      <c r="G844" s="164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ht="12.75" customHeight="1" spans="1:27">
      <c r="A845" s="13"/>
      <c r="B845" s="163"/>
      <c r="C845" s="163"/>
      <c r="D845" s="164"/>
      <c r="E845" s="164"/>
      <c r="F845" s="164"/>
      <c r="G845" s="164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ht="12.75" customHeight="1" spans="1:27">
      <c r="A846" s="13"/>
      <c r="B846" s="163"/>
      <c r="C846" s="163"/>
      <c r="D846" s="164"/>
      <c r="E846" s="164"/>
      <c r="F846" s="164"/>
      <c r="G846" s="164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ht="12.75" customHeight="1" spans="1:27">
      <c r="A847" s="13"/>
      <c r="B847" s="163"/>
      <c r="C847" s="163"/>
      <c r="D847" s="164"/>
      <c r="E847" s="164"/>
      <c r="F847" s="164"/>
      <c r="G847" s="164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ht="12.75" customHeight="1" spans="1:27">
      <c r="A848" s="13"/>
      <c r="B848" s="163"/>
      <c r="C848" s="163"/>
      <c r="D848" s="164"/>
      <c r="E848" s="164"/>
      <c r="F848" s="164"/>
      <c r="G848" s="164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ht="12.75" customHeight="1" spans="1:27">
      <c r="A849" s="13"/>
      <c r="B849" s="163"/>
      <c r="C849" s="163"/>
      <c r="D849" s="164"/>
      <c r="E849" s="164"/>
      <c r="F849" s="164"/>
      <c r="G849" s="164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ht="12.75" customHeight="1" spans="1:27">
      <c r="A850" s="13"/>
      <c r="B850" s="163"/>
      <c r="C850" s="163"/>
      <c r="D850" s="164"/>
      <c r="E850" s="164"/>
      <c r="F850" s="164"/>
      <c r="G850" s="164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ht="12.75" customHeight="1" spans="1:27">
      <c r="A851" s="13"/>
      <c r="B851" s="163"/>
      <c r="C851" s="163"/>
      <c r="D851" s="164"/>
      <c r="E851" s="164"/>
      <c r="F851" s="164"/>
      <c r="G851" s="164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ht="12.75" customHeight="1" spans="1:27">
      <c r="A852" s="13"/>
      <c r="B852" s="163"/>
      <c r="C852" s="163"/>
      <c r="D852" s="164"/>
      <c r="E852" s="164"/>
      <c r="F852" s="164"/>
      <c r="G852" s="164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ht="12.75" customHeight="1" spans="1:27">
      <c r="A853" s="13"/>
      <c r="B853" s="163"/>
      <c r="C853" s="163"/>
      <c r="D853" s="164"/>
      <c r="E853" s="164"/>
      <c r="F853" s="164"/>
      <c r="G853" s="164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ht="12.75" customHeight="1" spans="1:27">
      <c r="A854" s="13"/>
      <c r="B854" s="163"/>
      <c r="C854" s="163"/>
      <c r="D854" s="164"/>
      <c r="E854" s="164"/>
      <c r="F854" s="164"/>
      <c r="G854" s="164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ht="12.75" customHeight="1" spans="1:27">
      <c r="A855" s="13"/>
      <c r="B855" s="163"/>
      <c r="C855" s="163"/>
      <c r="D855" s="164"/>
      <c r="E855" s="164"/>
      <c r="F855" s="164"/>
      <c r="G855" s="164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ht="12.75" customHeight="1" spans="1:27">
      <c r="A856" s="13"/>
      <c r="B856" s="163"/>
      <c r="C856" s="163"/>
      <c r="D856" s="164"/>
      <c r="E856" s="164"/>
      <c r="F856" s="164"/>
      <c r="G856" s="164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ht="12.75" customHeight="1" spans="1:27">
      <c r="A857" s="13"/>
      <c r="B857" s="163"/>
      <c r="C857" s="163"/>
      <c r="D857" s="164"/>
      <c r="E857" s="164"/>
      <c r="F857" s="164"/>
      <c r="G857" s="164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ht="12.75" customHeight="1" spans="1:27">
      <c r="A858" s="13"/>
      <c r="B858" s="163"/>
      <c r="C858" s="163"/>
      <c r="D858" s="164"/>
      <c r="E858" s="164"/>
      <c r="F858" s="164"/>
      <c r="G858" s="164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ht="12.75" customHeight="1" spans="1:27">
      <c r="A859" s="13"/>
      <c r="B859" s="163"/>
      <c r="C859" s="163"/>
      <c r="D859" s="164"/>
      <c r="E859" s="164"/>
      <c r="F859" s="164"/>
      <c r="G859" s="164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ht="12.75" customHeight="1" spans="1:27">
      <c r="A860" s="13"/>
      <c r="B860" s="163"/>
      <c r="C860" s="163"/>
      <c r="D860" s="164"/>
      <c r="E860" s="164"/>
      <c r="F860" s="164"/>
      <c r="G860" s="164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ht="12.75" customHeight="1" spans="1:27">
      <c r="A861" s="13"/>
      <c r="B861" s="163"/>
      <c r="C861" s="163"/>
      <c r="D861" s="164"/>
      <c r="E861" s="164"/>
      <c r="F861" s="164"/>
      <c r="G861" s="164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ht="12.75" customHeight="1" spans="1:27">
      <c r="A862" s="13"/>
      <c r="B862" s="163"/>
      <c r="C862" s="163"/>
      <c r="D862" s="164"/>
      <c r="E862" s="164"/>
      <c r="F862" s="164"/>
      <c r="G862" s="164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ht="12.75" customHeight="1" spans="1:27">
      <c r="A863" s="13"/>
      <c r="B863" s="163"/>
      <c r="C863" s="163"/>
      <c r="D863" s="164"/>
      <c r="E863" s="164"/>
      <c r="F863" s="164"/>
      <c r="G863" s="164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ht="12.75" customHeight="1" spans="1:27">
      <c r="A864" s="13"/>
      <c r="B864" s="163"/>
      <c r="C864" s="163"/>
      <c r="D864" s="164"/>
      <c r="E864" s="164"/>
      <c r="F864" s="164"/>
      <c r="G864" s="164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ht="12.75" customHeight="1" spans="1:27">
      <c r="A865" s="13"/>
      <c r="B865" s="163"/>
      <c r="C865" s="163"/>
      <c r="D865" s="164"/>
      <c r="E865" s="164"/>
      <c r="F865" s="164"/>
      <c r="G865" s="164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ht="12.75" customHeight="1" spans="1:27">
      <c r="A866" s="13"/>
      <c r="B866" s="163"/>
      <c r="C866" s="163"/>
      <c r="D866" s="164"/>
      <c r="E866" s="164"/>
      <c r="F866" s="164"/>
      <c r="G866" s="164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ht="12.75" customHeight="1" spans="1:27">
      <c r="A867" s="13"/>
      <c r="B867" s="163"/>
      <c r="C867" s="163"/>
      <c r="D867" s="164"/>
      <c r="E867" s="164"/>
      <c r="F867" s="164"/>
      <c r="G867" s="164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ht="12.75" customHeight="1" spans="1:27">
      <c r="A868" s="13"/>
      <c r="B868" s="163"/>
      <c r="C868" s="163"/>
      <c r="D868" s="164"/>
      <c r="E868" s="164"/>
      <c r="F868" s="164"/>
      <c r="G868" s="164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ht="12.75" customHeight="1" spans="1:27">
      <c r="A869" s="13"/>
      <c r="B869" s="163"/>
      <c r="C869" s="163"/>
      <c r="D869" s="164"/>
      <c r="E869" s="164"/>
      <c r="F869" s="164"/>
      <c r="G869" s="164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ht="12.75" customHeight="1" spans="1:27">
      <c r="A870" s="13"/>
      <c r="B870" s="163"/>
      <c r="C870" s="163"/>
      <c r="D870" s="164"/>
      <c r="E870" s="164"/>
      <c r="F870" s="164"/>
      <c r="G870" s="164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ht="12.75" customHeight="1" spans="1:27">
      <c r="A871" s="13"/>
      <c r="B871" s="163"/>
      <c r="C871" s="163"/>
      <c r="D871" s="164"/>
      <c r="E871" s="164"/>
      <c r="F871" s="164"/>
      <c r="G871" s="164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ht="12.75" customHeight="1" spans="1:27">
      <c r="A872" s="13"/>
      <c r="B872" s="163"/>
      <c r="C872" s="163"/>
      <c r="D872" s="164"/>
      <c r="E872" s="164"/>
      <c r="F872" s="164"/>
      <c r="G872" s="164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ht="12.75" customHeight="1" spans="1:27">
      <c r="A873" s="13"/>
      <c r="B873" s="163"/>
      <c r="C873" s="163"/>
      <c r="D873" s="164"/>
      <c r="E873" s="164"/>
      <c r="F873" s="164"/>
      <c r="G873" s="164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ht="12.75" customHeight="1" spans="1:27">
      <c r="A874" s="13"/>
      <c r="B874" s="163"/>
      <c r="C874" s="163"/>
      <c r="D874" s="164"/>
      <c r="E874" s="164"/>
      <c r="F874" s="164"/>
      <c r="G874" s="164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ht="12.75" customHeight="1" spans="1:27">
      <c r="A875" s="13"/>
      <c r="B875" s="163"/>
      <c r="C875" s="163"/>
      <c r="D875" s="164"/>
      <c r="E875" s="164"/>
      <c r="F875" s="164"/>
      <c r="G875" s="164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ht="12.75" customHeight="1" spans="1:27">
      <c r="A876" s="13"/>
      <c r="B876" s="163"/>
      <c r="C876" s="163"/>
      <c r="D876" s="164"/>
      <c r="E876" s="164"/>
      <c r="F876" s="164"/>
      <c r="G876" s="164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ht="12.75" customHeight="1" spans="1:27">
      <c r="A877" s="13"/>
      <c r="B877" s="163"/>
      <c r="C877" s="163"/>
      <c r="D877" s="164"/>
      <c r="E877" s="164"/>
      <c r="F877" s="164"/>
      <c r="G877" s="164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ht="12.75" customHeight="1" spans="1:27">
      <c r="A878" s="13"/>
      <c r="B878" s="163"/>
      <c r="C878" s="163"/>
      <c r="D878" s="164"/>
      <c r="E878" s="164"/>
      <c r="F878" s="164"/>
      <c r="G878" s="164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ht="12.75" customHeight="1" spans="1:27">
      <c r="A879" s="13"/>
      <c r="B879" s="163"/>
      <c r="C879" s="163"/>
      <c r="D879" s="164"/>
      <c r="E879" s="164"/>
      <c r="F879" s="164"/>
      <c r="G879" s="164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ht="12.75" customHeight="1" spans="1:27">
      <c r="A880" s="13"/>
      <c r="B880" s="163"/>
      <c r="C880" s="163"/>
      <c r="D880" s="164"/>
      <c r="E880" s="164"/>
      <c r="F880" s="164"/>
      <c r="G880" s="164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ht="12.75" customHeight="1" spans="1:27">
      <c r="A881" s="13"/>
      <c r="B881" s="163"/>
      <c r="C881" s="163"/>
      <c r="D881" s="164"/>
      <c r="E881" s="164"/>
      <c r="F881" s="164"/>
      <c r="G881" s="164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ht="12.75" customHeight="1" spans="1:27">
      <c r="A882" s="13"/>
      <c r="B882" s="163"/>
      <c r="C882" s="163"/>
      <c r="D882" s="164"/>
      <c r="E882" s="164"/>
      <c r="F882" s="164"/>
      <c r="G882" s="164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ht="12.75" customHeight="1" spans="1:27">
      <c r="A883" s="13"/>
      <c r="B883" s="163"/>
      <c r="C883" s="163"/>
      <c r="D883" s="164"/>
      <c r="E883" s="164"/>
      <c r="F883" s="164"/>
      <c r="G883" s="164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ht="12.75" customHeight="1" spans="1:27">
      <c r="A884" s="13"/>
      <c r="B884" s="163"/>
      <c r="C884" s="163"/>
      <c r="D884" s="164"/>
      <c r="E884" s="164"/>
      <c r="F884" s="164"/>
      <c r="G884" s="164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ht="12.75" customHeight="1" spans="1:27">
      <c r="A885" s="13"/>
      <c r="B885" s="163"/>
      <c r="C885" s="163"/>
      <c r="D885" s="164"/>
      <c r="E885" s="164"/>
      <c r="F885" s="164"/>
      <c r="G885" s="164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ht="12.75" customHeight="1" spans="1:27">
      <c r="A886" s="13"/>
      <c r="B886" s="163"/>
      <c r="C886" s="163"/>
      <c r="D886" s="164"/>
      <c r="E886" s="164"/>
      <c r="F886" s="164"/>
      <c r="G886" s="164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ht="12.75" customHeight="1" spans="1:27">
      <c r="A887" s="13"/>
      <c r="B887" s="163"/>
      <c r="C887" s="163"/>
      <c r="D887" s="164"/>
      <c r="E887" s="164"/>
      <c r="F887" s="164"/>
      <c r="G887" s="164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ht="12.75" customHeight="1" spans="1:27">
      <c r="A888" s="13"/>
      <c r="B888" s="163"/>
      <c r="C888" s="163"/>
      <c r="D888" s="164"/>
      <c r="E888" s="164"/>
      <c r="F888" s="164"/>
      <c r="G888" s="164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ht="12.75" customHeight="1" spans="1:27">
      <c r="A889" s="13"/>
      <c r="B889" s="163"/>
      <c r="C889" s="163"/>
      <c r="D889" s="164"/>
      <c r="E889" s="164"/>
      <c r="F889" s="164"/>
      <c r="G889" s="164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ht="12.75" customHeight="1" spans="1:27">
      <c r="A890" s="13"/>
      <c r="B890" s="163"/>
      <c r="C890" s="163"/>
      <c r="D890" s="164"/>
      <c r="E890" s="164"/>
      <c r="F890" s="164"/>
      <c r="G890" s="164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ht="12.75" customHeight="1" spans="1:27">
      <c r="A891" s="13"/>
      <c r="B891" s="163"/>
      <c r="C891" s="163"/>
      <c r="D891" s="164"/>
      <c r="E891" s="164"/>
      <c r="F891" s="164"/>
      <c r="G891" s="164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ht="12.75" customHeight="1" spans="1:27">
      <c r="A892" s="13"/>
      <c r="B892" s="163"/>
      <c r="C892" s="163"/>
      <c r="D892" s="164"/>
      <c r="E892" s="164"/>
      <c r="F892" s="164"/>
      <c r="G892" s="164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ht="12.75" customHeight="1" spans="1:27">
      <c r="A893" s="13"/>
      <c r="B893" s="163"/>
      <c r="C893" s="163"/>
      <c r="D893" s="164"/>
      <c r="E893" s="164"/>
      <c r="F893" s="164"/>
      <c r="G893" s="164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ht="12.75" customHeight="1" spans="1:27">
      <c r="A894" s="13"/>
      <c r="B894" s="163"/>
      <c r="C894" s="163"/>
      <c r="D894" s="164"/>
      <c r="E894" s="164"/>
      <c r="F894" s="164"/>
      <c r="G894" s="164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ht="12.75" customHeight="1" spans="1:27">
      <c r="A895" s="13"/>
      <c r="B895" s="163"/>
      <c r="C895" s="163"/>
      <c r="D895" s="164"/>
      <c r="E895" s="164"/>
      <c r="F895" s="164"/>
      <c r="G895" s="164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ht="12.75" customHeight="1" spans="1:27">
      <c r="A896" s="13"/>
      <c r="B896" s="163"/>
      <c r="C896" s="163"/>
      <c r="D896" s="164"/>
      <c r="E896" s="164"/>
      <c r="F896" s="164"/>
      <c r="G896" s="164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ht="12.75" customHeight="1" spans="1:27">
      <c r="A897" s="13"/>
      <c r="B897" s="163"/>
      <c r="C897" s="163"/>
      <c r="D897" s="164"/>
      <c r="E897" s="164"/>
      <c r="F897" s="164"/>
      <c r="G897" s="164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ht="12.75" customHeight="1" spans="1:27">
      <c r="A898" s="13"/>
      <c r="B898" s="163"/>
      <c r="C898" s="163"/>
      <c r="D898" s="164"/>
      <c r="E898" s="164"/>
      <c r="F898" s="164"/>
      <c r="G898" s="164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ht="12.75" customHeight="1" spans="1:27">
      <c r="A899" s="13"/>
      <c r="B899" s="163"/>
      <c r="C899" s="163"/>
      <c r="D899" s="164"/>
      <c r="E899" s="164"/>
      <c r="F899" s="164"/>
      <c r="G899" s="164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ht="12.75" customHeight="1" spans="1:27">
      <c r="A900" s="13"/>
      <c r="B900" s="163"/>
      <c r="C900" s="163"/>
      <c r="D900" s="164"/>
      <c r="E900" s="164"/>
      <c r="F900" s="164"/>
      <c r="G900" s="164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ht="12.75" customHeight="1" spans="1:27">
      <c r="A901" s="13"/>
      <c r="B901" s="163"/>
      <c r="C901" s="163"/>
      <c r="D901" s="164"/>
      <c r="E901" s="164"/>
      <c r="F901" s="164"/>
      <c r="G901" s="164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ht="12.75" customHeight="1" spans="1:27">
      <c r="A902" s="13"/>
      <c r="B902" s="163"/>
      <c r="C902" s="163"/>
      <c r="D902" s="164"/>
      <c r="E902" s="164"/>
      <c r="F902" s="164"/>
      <c r="G902" s="164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ht="12.75" customHeight="1" spans="1:27">
      <c r="A903" s="13"/>
      <c r="B903" s="163"/>
      <c r="C903" s="163"/>
      <c r="D903" s="164"/>
      <c r="E903" s="164"/>
      <c r="F903" s="164"/>
      <c r="G903" s="164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ht="12.75" customHeight="1" spans="1:27">
      <c r="A904" s="13"/>
      <c r="B904" s="163"/>
      <c r="C904" s="163"/>
      <c r="D904" s="164"/>
      <c r="E904" s="164"/>
      <c r="F904" s="164"/>
      <c r="G904" s="164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ht="12.75" customHeight="1" spans="1:27">
      <c r="A905" s="13"/>
      <c r="B905" s="163"/>
      <c r="C905" s="163"/>
      <c r="D905" s="164"/>
      <c r="E905" s="164"/>
      <c r="F905" s="164"/>
      <c r="G905" s="164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ht="12.75" customHeight="1" spans="1:27">
      <c r="A906" s="13"/>
      <c r="B906" s="163"/>
      <c r="C906" s="163"/>
      <c r="D906" s="164"/>
      <c r="E906" s="164"/>
      <c r="F906" s="164"/>
      <c r="G906" s="164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ht="12.75" customHeight="1" spans="1:27">
      <c r="A907" s="13"/>
      <c r="B907" s="163"/>
      <c r="C907" s="163"/>
      <c r="D907" s="164"/>
      <c r="E907" s="164"/>
      <c r="F907" s="164"/>
      <c r="G907" s="164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ht="12.75" customHeight="1" spans="1:27">
      <c r="A908" s="13"/>
      <c r="B908" s="163"/>
      <c r="C908" s="163"/>
      <c r="D908" s="164"/>
      <c r="E908" s="164"/>
      <c r="F908" s="164"/>
      <c r="G908" s="164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ht="12.75" customHeight="1" spans="1:27">
      <c r="A909" s="13"/>
      <c r="B909" s="163"/>
      <c r="C909" s="163"/>
      <c r="D909" s="164"/>
      <c r="E909" s="164"/>
      <c r="F909" s="164"/>
      <c r="G909" s="164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ht="12.75" customHeight="1" spans="1:27">
      <c r="A910" s="13"/>
      <c r="B910" s="163"/>
      <c r="C910" s="163"/>
      <c r="D910" s="164"/>
      <c r="E910" s="164"/>
      <c r="F910" s="164"/>
      <c r="G910" s="164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ht="12.75" customHeight="1" spans="1:27">
      <c r="A911" s="13"/>
      <c r="B911" s="163"/>
      <c r="C911" s="163"/>
      <c r="D911" s="164"/>
      <c r="E911" s="164"/>
      <c r="F911" s="164"/>
      <c r="G911" s="164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ht="12.75" customHeight="1" spans="1:27">
      <c r="A912" s="13"/>
      <c r="B912" s="163"/>
      <c r="C912" s="163"/>
      <c r="D912" s="164"/>
      <c r="E912" s="164"/>
      <c r="F912" s="164"/>
      <c r="G912" s="164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ht="12.75" customHeight="1" spans="1:27">
      <c r="A913" s="13"/>
      <c r="B913" s="163"/>
      <c r="C913" s="163"/>
      <c r="D913" s="164"/>
      <c r="E913" s="164"/>
      <c r="F913" s="164"/>
      <c r="G913" s="164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ht="12.75" customHeight="1" spans="1:27">
      <c r="A914" s="13"/>
      <c r="B914" s="163"/>
      <c r="C914" s="163"/>
      <c r="D914" s="164"/>
      <c r="E914" s="164"/>
      <c r="F914" s="164"/>
      <c r="G914" s="164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ht="12.75" customHeight="1" spans="1:27">
      <c r="A915" s="13"/>
      <c r="B915" s="163"/>
      <c r="C915" s="163"/>
      <c r="D915" s="164"/>
      <c r="E915" s="164"/>
      <c r="F915" s="164"/>
      <c r="G915" s="164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ht="12.75" customHeight="1" spans="1:27">
      <c r="A916" s="13"/>
      <c r="B916" s="163"/>
      <c r="C916" s="163"/>
      <c r="D916" s="164"/>
      <c r="E916" s="164"/>
      <c r="F916" s="164"/>
      <c r="G916" s="164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ht="12.75" customHeight="1" spans="1:27">
      <c r="A917" s="13"/>
      <c r="B917" s="163"/>
      <c r="C917" s="163"/>
      <c r="D917" s="164"/>
      <c r="E917" s="164"/>
      <c r="F917" s="164"/>
      <c r="G917" s="164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ht="12.75" customHeight="1" spans="1:27">
      <c r="A918" s="13"/>
      <c r="B918" s="163"/>
      <c r="C918" s="163"/>
      <c r="D918" s="164"/>
      <c r="E918" s="164"/>
      <c r="F918" s="164"/>
      <c r="G918" s="164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ht="12.75" customHeight="1" spans="1:27">
      <c r="A919" s="13"/>
      <c r="B919" s="163"/>
      <c r="C919" s="163"/>
      <c r="D919" s="164"/>
      <c r="E919" s="164"/>
      <c r="F919" s="164"/>
      <c r="G919" s="164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ht="12.75" customHeight="1" spans="1:27">
      <c r="A920" s="13"/>
      <c r="B920" s="163"/>
      <c r="C920" s="163"/>
      <c r="D920" s="164"/>
      <c r="E920" s="164"/>
      <c r="F920" s="164"/>
      <c r="G920" s="164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ht="12.75" customHeight="1" spans="1:27">
      <c r="A921" s="13"/>
      <c r="B921" s="163"/>
      <c r="C921" s="163"/>
      <c r="D921" s="164"/>
      <c r="E921" s="164"/>
      <c r="F921" s="164"/>
      <c r="G921" s="164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ht="12.75" customHeight="1" spans="1:27">
      <c r="A922" s="13"/>
      <c r="B922" s="163"/>
      <c r="C922" s="163"/>
      <c r="D922" s="164"/>
      <c r="E922" s="164"/>
      <c r="F922" s="164"/>
      <c r="G922" s="164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ht="12.75" customHeight="1" spans="1:27">
      <c r="A923" s="13"/>
      <c r="B923" s="163"/>
      <c r="C923" s="163"/>
      <c r="D923" s="164"/>
      <c r="E923" s="164"/>
      <c r="F923" s="164"/>
      <c r="G923" s="164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ht="12.75" customHeight="1" spans="1:27">
      <c r="A924" s="13"/>
      <c r="B924" s="163"/>
      <c r="C924" s="163"/>
      <c r="D924" s="164"/>
      <c r="E924" s="164"/>
      <c r="F924" s="164"/>
      <c r="G924" s="164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ht="12.75" customHeight="1" spans="1:27">
      <c r="A925" s="13"/>
      <c r="B925" s="163"/>
      <c r="C925" s="163"/>
      <c r="D925" s="164"/>
      <c r="E925" s="164"/>
      <c r="F925" s="164"/>
      <c r="G925" s="164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ht="12.75" customHeight="1" spans="1:27">
      <c r="A926" s="13"/>
      <c r="B926" s="163"/>
      <c r="C926" s="163"/>
      <c r="D926" s="164"/>
      <c r="E926" s="164"/>
      <c r="F926" s="164"/>
      <c r="G926" s="164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ht="12.75" customHeight="1" spans="1:27">
      <c r="A927" s="13"/>
      <c r="B927" s="163"/>
      <c r="C927" s="163"/>
      <c r="D927" s="164"/>
      <c r="E927" s="164"/>
      <c r="F927" s="164"/>
      <c r="G927" s="164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ht="12.75" customHeight="1" spans="1:27">
      <c r="A928" s="13"/>
      <c r="B928" s="163"/>
      <c r="C928" s="163"/>
      <c r="D928" s="164"/>
      <c r="E928" s="164"/>
      <c r="F928" s="164"/>
      <c r="G928" s="164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ht="12.75" customHeight="1" spans="1:27">
      <c r="A929" s="13"/>
      <c r="B929" s="163"/>
      <c r="C929" s="163"/>
      <c r="D929" s="164"/>
      <c r="E929" s="164"/>
      <c r="F929" s="164"/>
      <c r="G929" s="164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ht="12.75" customHeight="1" spans="1:27">
      <c r="A930" s="13"/>
      <c r="B930" s="163"/>
      <c r="C930" s="163"/>
      <c r="D930" s="164"/>
      <c r="E930" s="164"/>
      <c r="F930" s="164"/>
      <c r="G930" s="164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ht="12.75" customHeight="1" spans="1:27">
      <c r="A931" s="13"/>
      <c r="B931" s="163"/>
      <c r="C931" s="163"/>
      <c r="D931" s="164"/>
      <c r="E931" s="164"/>
      <c r="F931" s="164"/>
      <c r="G931" s="164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ht="12.75" customHeight="1" spans="1:27">
      <c r="A932" s="13"/>
      <c r="B932" s="163"/>
      <c r="C932" s="163"/>
      <c r="D932" s="164"/>
      <c r="E932" s="164"/>
      <c r="F932" s="164"/>
      <c r="G932" s="164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ht="12.75" customHeight="1" spans="1:27">
      <c r="A933" s="13"/>
      <c r="B933" s="163"/>
      <c r="C933" s="163"/>
      <c r="D933" s="164"/>
      <c r="E933" s="164"/>
      <c r="F933" s="164"/>
      <c r="G933" s="164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ht="12.75" customHeight="1" spans="1:27">
      <c r="A934" s="13"/>
      <c r="B934" s="163"/>
      <c r="C934" s="163"/>
      <c r="D934" s="164"/>
      <c r="E934" s="164"/>
      <c r="F934" s="164"/>
      <c r="G934" s="164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ht="12.75" customHeight="1" spans="1:27">
      <c r="A935" s="13"/>
      <c r="B935" s="163"/>
      <c r="C935" s="163"/>
      <c r="D935" s="164"/>
      <c r="E935" s="164"/>
      <c r="F935" s="164"/>
      <c r="G935" s="164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ht="12.75" customHeight="1" spans="1:27">
      <c r="A936" s="13"/>
      <c r="B936" s="163"/>
      <c r="C936" s="163"/>
      <c r="D936" s="164"/>
      <c r="E936" s="164"/>
      <c r="F936" s="164"/>
      <c r="G936" s="164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ht="12.75" customHeight="1" spans="1:27">
      <c r="A937" s="13"/>
      <c r="B937" s="163"/>
      <c r="C937" s="163"/>
      <c r="D937" s="164"/>
      <c r="E937" s="164"/>
      <c r="F937" s="164"/>
      <c r="G937" s="164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ht="12.75" customHeight="1" spans="1:27">
      <c r="A938" s="13"/>
      <c r="B938" s="163"/>
      <c r="C938" s="163"/>
      <c r="D938" s="164"/>
      <c r="E938" s="164"/>
      <c r="F938" s="164"/>
      <c r="G938" s="164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ht="12.75" customHeight="1" spans="1:27">
      <c r="A939" s="13"/>
      <c r="B939" s="163"/>
      <c r="C939" s="163"/>
      <c r="D939" s="164"/>
      <c r="E939" s="164"/>
      <c r="F939" s="164"/>
      <c r="G939" s="164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ht="12.75" customHeight="1" spans="1:27">
      <c r="A940" s="13"/>
      <c r="B940" s="163"/>
      <c r="C940" s="163"/>
      <c r="D940" s="164"/>
      <c r="E940" s="164"/>
      <c r="F940" s="164"/>
      <c r="G940" s="164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ht="12.75" customHeight="1" spans="1:27">
      <c r="A941" s="13"/>
      <c r="B941" s="163"/>
      <c r="C941" s="163"/>
      <c r="D941" s="164"/>
      <c r="E941" s="164"/>
      <c r="F941" s="164"/>
      <c r="G941" s="164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ht="12.75" customHeight="1" spans="1:27">
      <c r="A942" s="13"/>
      <c r="B942" s="163"/>
      <c r="C942" s="163"/>
      <c r="D942" s="164"/>
      <c r="E942" s="164"/>
      <c r="F942" s="164"/>
      <c r="G942" s="164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ht="12.75" customHeight="1" spans="1:27">
      <c r="A943" s="13"/>
      <c r="B943" s="163"/>
      <c r="C943" s="163"/>
      <c r="D943" s="164"/>
      <c r="E943" s="164"/>
      <c r="F943" s="164"/>
      <c r="G943" s="164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ht="12.75" customHeight="1" spans="1:27">
      <c r="A944" s="13"/>
      <c r="B944" s="163"/>
      <c r="C944" s="163"/>
      <c r="D944" s="164"/>
      <c r="E944" s="164"/>
      <c r="F944" s="164"/>
      <c r="G944" s="164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ht="12.75" customHeight="1" spans="1:27">
      <c r="A945" s="13"/>
      <c r="B945" s="163"/>
      <c r="C945" s="163"/>
      <c r="D945" s="164"/>
      <c r="E945" s="164"/>
      <c r="F945" s="164"/>
      <c r="G945" s="164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ht="12.75" customHeight="1" spans="1:27">
      <c r="A946" s="13"/>
      <c r="B946" s="163"/>
      <c r="C946" s="163"/>
      <c r="D946" s="164"/>
      <c r="E946" s="164"/>
      <c r="F946" s="164"/>
      <c r="G946" s="164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ht="12.75" customHeight="1" spans="1:27">
      <c r="A947" s="13"/>
      <c r="B947" s="163"/>
      <c r="C947" s="163"/>
      <c r="D947" s="164"/>
      <c r="E947" s="164"/>
      <c r="F947" s="164"/>
      <c r="G947" s="164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ht="12.75" customHeight="1" spans="1:27">
      <c r="A948" s="13"/>
      <c r="B948" s="163"/>
      <c r="C948" s="163"/>
      <c r="D948" s="164"/>
      <c r="E948" s="164"/>
      <c r="F948" s="164"/>
      <c r="G948" s="164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ht="12.75" customHeight="1" spans="1:27">
      <c r="A949" s="13"/>
      <c r="B949" s="163"/>
      <c r="C949" s="163"/>
      <c r="D949" s="164"/>
      <c r="E949" s="164"/>
      <c r="F949" s="164"/>
      <c r="G949" s="164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ht="12.75" customHeight="1" spans="1:27">
      <c r="A950" s="13"/>
      <c r="B950" s="163"/>
      <c r="C950" s="163"/>
      <c r="D950" s="164"/>
      <c r="E950" s="164"/>
      <c r="F950" s="164"/>
      <c r="G950" s="164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ht="12.75" customHeight="1" spans="1:27">
      <c r="A951" s="13"/>
      <c r="B951" s="163"/>
      <c r="C951" s="163"/>
      <c r="D951" s="164"/>
      <c r="E951" s="164"/>
      <c r="F951" s="164"/>
      <c r="G951" s="164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ht="12.75" customHeight="1" spans="1:27">
      <c r="A952" s="13"/>
      <c r="B952" s="163"/>
      <c r="C952" s="163"/>
      <c r="D952" s="164"/>
      <c r="E952" s="164"/>
      <c r="F952" s="164"/>
      <c r="G952" s="164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ht="12.75" customHeight="1" spans="1:27">
      <c r="A953" s="13"/>
      <c r="B953" s="163"/>
      <c r="C953" s="163"/>
      <c r="D953" s="164"/>
      <c r="E953" s="164"/>
      <c r="F953" s="164"/>
      <c r="G953" s="164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ht="12.75" customHeight="1" spans="1:27">
      <c r="A954" s="13"/>
      <c r="B954" s="163"/>
      <c r="C954" s="163"/>
      <c r="D954" s="164"/>
      <c r="E954" s="164"/>
      <c r="F954" s="164"/>
      <c r="G954" s="164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ht="12.75" customHeight="1" spans="1:27">
      <c r="A955" s="13"/>
      <c r="B955" s="163"/>
      <c r="C955" s="163"/>
      <c r="D955" s="164"/>
      <c r="E955" s="164"/>
      <c r="F955" s="164"/>
      <c r="G955" s="164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ht="12.75" customHeight="1" spans="1:27">
      <c r="A956" s="13"/>
      <c r="B956" s="163"/>
      <c r="C956" s="163"/>
      <c r="D956" s="164"/>
      <c r="E956" s="164"/>
      <c r="F956" s="164"/>
      <c r="G956" s="164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ht="12.75" customHeight="1" spans="1:27">
      <c r="A957" s="13"/>
      <c r="B957" s="163"/>
      <c r="C957" s="163"/>
      <c r="D957" s="164"/>
      <c r="E957" s="164"/>
      <c r="F957" s="164"/>
      <c r="G957" s="164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ht="12.75" customHeight="1" spans="1:27">
      <c r="A958" s="13"/>
      <c r="B958" s="163"/>
      <c r="C958" s="163"/>
      <c r="D958" s="164"/>
      <c r="E958" s="164"/>
      <c r="F958" s="164"/>
      <c r="G958" s="164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ht="12.75" customHeight="1" spans="1:27">
      <c r="A959" s="13"/>
      <c r="B959" s="163"/>
      <c r="C959" s="163"/>
      <c r="D959" s="164"/>
      <c r="E959" s="164"/>
      <c r="F959" s="164"/>
      <c r="G959" s="164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ht="12.75" customHeight="1" spans="1:27">
      <c r="A960" s="13"/>
      <c r="B960" s="163"/>
      <c r="C960" s="163"/>
      <c r="D960" s="164"/>
      <c r="E960" s="164"/>
      <c r="F960" s="164"/>
      <c r="G960" s="164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ht="12.75" customHeight="1" spans="1:27">
      <c r="A961" s="13"/>
      <c r="B961" s="163"/>
      <c r="C961" s="163"/>
      <c r="D961" s="164"/>
      <c r="E961" s="164"/>
      <c r="F961" s="164"/>
      <c r="G961" s="164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ht="12.75" customHeight="1" spans="1:27">
      <c r="A962" s="13"/>
      <c r="B962" s="163"/>
      <c r="C962" s="163"/>
      <c r="D962" s="164"/>
      <c r="E962" s="164"/>
      <c r="F962" s="164"/>
      <c r="G962" s="164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ht="12.75" customHeight="1" spans="1:27">
      <c r="A963" s="13"/>
      <c r="B963" s="163"/>
      <c r="C963" s="163"/>
      <c r="D963" s="164"/>
      <c r="E963" s="164"/>
      <c r="F963" s="164"/>
      <c r="G963" s="164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ht="12.75" customHeight="1" spans="1:27">
      <c r="A964" s="13"/>
      <c r="B964" s="163"/>
      <c r="C964" s="163"/>
      <c r="D964" s="164"/>
      <c r="E964" s="164"/>
      <c r="F964" s="164"/>
      <c r="G964" s="164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ht="12.75" customHeight="1" spans="1:27">
      <c r="A965" s="13"/>
      <c r="B965" s="163"/>
      <c r="C965" s="163"/>
      <c r="D965" s="164"/>
      <c r="E965" s="164"/>
      <c r="F965" s="164"/>
      <c r="G965" s="164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ht="12.75" customHeight="1" spans="1:27">
      <c r="A966" s="13"/>
      <c r="B966" s="163"/>
      <c r="C966" s="163"/>
      <c r="D966" s="164"/>
      <c r="E966" s="164"/>
      <c r="F966" s="164"/>
      <c r="G966" s="164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ht="12.75" customHeight="1" spans="1:27">
      <c r="A967" s="13"/>
      <c r="B967" s="163"/>
      <c r="C967" s="163"/>
      <c r="D967" s="164"/>
      <c r="E967" s="164"/>
      <c r="F967" s="164"/>
      <c r="G967" s="164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ht="12.75" customHeight="1" spans="1:27">
      <c r="A968" s="13"/>
      <c r="B968" s="163"/>
      <c r="C968" s="163"/>
      <c r="D968" s="164"/>
      <c r="E968" s="164"/>
      <c r="F968" s="164"/>
      <c r="G968" s="164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ht="12.75" customHeight="1" spans="1:27">
      <c r="A969" s="13"/>
      <c r="B969" s="163"/>
      <c r="C969" s="163"/>
      <c r="D969" s="164"/>
      <c r="E969" s="164"/>
      <c r="F969" s="164"/>
      <c r="G969" s="164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ht="12.75" customHeight="1" spans="1:27">
      <c r="A970" s="13"/>
      <c r="B970" s="163"/>
      <c r="C970" s="163"/>
      <c r="D970" s="164"/>
      <c r="E970" s="164"/>
      <c r="F970" s="164"/>
      <c r="G970" s="164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ht="12.75" customHeight="1" spans="1:27">
      <c r="A971" s="13"/>
      <c r="B971" s="163"/>
      <c r="C971" s="163"/>
      <c r="D971" s="164"/>
      <c r="E971" s="164"/>
      <c r="F971" s="164"/>
      <c r="G971" s="164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ht="12.75" customHeight="1" spans="1:27">
      <c r="A972" s="13"/>
      <c r="B972" s="163"/>
      <c r="C972" s="163"/>
      <c r="D972" s="164"/>
      <c r="E972" s="164"/>
      <c r="F972" s="164"/>
      <c r="G972" s="164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ht="12.75" customHeight="1" spans="1:27">
      <c r="A973" s="13"/>
      <c r="B973" s="163"/>
      <c r="C973" s="163"/>
      <c r="D973" s="164"/>
      <c r="E973" s="164"/>
      <c r="F973" s="164"/>
      <c r="G973" s="164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ht="12.75" customHeight="1" spans="1:27">
      <c r="A974" s="13"/>
      <c r="B974" s="163"/>
      <c r="C974" s="163"/>
      <c r="D974" s="164"/>
      <c r="E974" s="164"/>
      <c r="F974" s="164"/>
      <c r="G974" s="164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ht="12.75" customHeight="1" spans="1:27">
      <c r="A975" s="13"/>
      <c r="B975" s="163"/>
      <c r="C975" s="163"/>
      <c r="D975" s="164"/>
      <c r="E975" s="164"/>
      <c r="F975" s="164"/>
      <c r="G975" s="164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ht="12.75" customHeight="1" spans="1:27">
      <c r="A976" s="13"/>
      <c r="B976" s="163"/>
      <c r="C976" s="163"/>
      <c r="D976" s="164"/>
      <c r="E976" s="164"/>
      <c r="F976" s="164"/>
      <c r="G976" s="164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ht="12.75" customHeight="1" spans="1:27">
      <c r="A977" s="13"/>
      <c r="B977" s="163"/>
      <c r="C977" s="163"/>
      <c r="D977" s="164"/>
      <c r="E977" s="164"/>
      <c r="F977" s="164"/>
      <c r="G977" s="164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ht="12.75" customHeight="1" spans="1:27">
      <c r="A978" s="13"/>
      <c r="B978" s="163"/>
      <c r="C978" s="163"/>
      <c r="D978" s="164"/>
      <c r="E978" s="164"/>
      <c r="F978" s="164"/>
      <c r="G978" s="164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ht="12.75" customHeight="1" spans="1:27">
      <c r="A979" s="13"/>
      <c r="B979" s="163"/>
      <c r="C979" s="163"/>
      <c r="D979" s="164"/>
      <c r="E979" s="164"/>
      <c r="F979" s="164"/>
      <c r="G979" s="164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ht="12.75" customHeight="1" spans="1:27">
      <c r="A980" s="13"/>
      <c r="B980" s="163"/>
      <c r="C980" s="163"/>
      <c r="D980" s="164"/>
      <c r="E980" s="164"/>
      <c r="F980" s="164"/>
      <c r="G980" s="164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ht="12.75" customHeight="1" spans="1:27">
      <c r="A981" s="13"/>
      <c r="B981" s="163"/>
      <c r="C981" s="163"/>
      <c r="D981" s="164"/>
      <c r="E981" s="164"/>
      <c r="F981" s="164"/>
      <c r="G981" s="164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ht="12.75" customHeight="1" spans="1:27">
      <c r="A982" s="13"/>
      <c r="B982" s="163"/>
      <c r="C982" s="163"/>
      <c r="D982" s="164"/>
      <c r="E982" s="164"/>
      <c r="F982" s="164"/>
      <c r="G982" s="164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ht="12.75" customHeight="1" spans="1:27">
      <c r="A983" s="13"/>
      <c r="B983" s="163"/>
      <c r="C983" s="163"/>
      <c r="D983" s="164"/>
      <c r="E983" s="164"/>
      <c r="F983" s="164"/>
      <c r="G983" s="164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ht="12.75" customHeight="1" spans="1:27">
      <c r="A984" s="13"/>
      <c r="B984" s="163"/>
      <c r="C984" s="163"/>
      <c r="D984" s="164"/>
      <c r="E984" s="164"/>
      <c r="F984" s="164"/>
      <c r="G984" s="164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ht="12.75" customHeight="1" spans="1:27">
      <c r="A985" s="13"/>
      <c r="B985" s="163"/>
      <c r="C985" s="163"/>
      <c r="D985" s="164"/>
      <c r="E985" s="164"/>
      <c r="F985" s="164"/>
      <c r="G985" s="164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ht="12.75" customHeight="1" spans="1:27">
      <c r="A986" s="13"/>
      <c r="B986" s="163"/>
      <c r="C986" s="163"/>
      <c r="D986" s="164"/>
      <c r="E986" s="164"/>
      <c r="F986" s="164"/>
      <c r="G986" s="164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ht="12.75" customHeight="1" spans="1:27">
      <c r="A987" s="13"/>
      <c r="B987" s="163"/>
      <c r="C987" s="163"/>
      <c r="D987" s="164"/>
      <c r="E987" s="164"/>
      <c r="F987" s="164"/>
      <c r="G987" s="164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ht="12.75" customHeight="1" spans="1:27">
      <c r="A988" s="13"/>
      <c r="B988" s="163"/>
      <c r="C988" s="163"/>
      <c r="D988" s="164"/>
      <c r="E988" s="164"/>
      <c r="F988" s="164"/>
      <c r="G988" s="164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ht="12.75" customHeight="1" spans="1:27">
      <c r="A989" s="13"/>
      <c r="B989" s="163"/>
      <c r="C989" s="163"/>
      <c r="D989" s="164"/>
      <c r="E989" s="164"/>
      <c r="F989" s="164"/>
      <c r="G989" s="164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ht="12.75" customHeight="1" spans="1:27">
      <c r="A990" s="13"/>
      <c r="B990" s="163"/>
      <c r="C990" s="163"/>
      <c r="D990" s="164"/>
      <c r="E990" s="164"/>
      <c r="F990" s="164"/>
      <c r="G990" s="164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ht="12.75" customHeight="1" spans="1:27">
      <c r="A991" s="13"/>
      <c r="B991" s="163"/>
      <c r="C991" s="163"/>
      <c r="D991" s="164"/>
      <c r="E991" s="164"/>
      <c r="F991" s="164"/>
      <c r="G991" s="164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ht="12.75" customHeight="1" spans="1:27">
      <c r="A992" s="13"/>
      <c r="B992" s="163"/>
      <c r="C992" s="163"/>
      <c r="D992" s="164"/>
      <c r="E992" s="164"/>
      <c r="F992" s="164"/>
      <c r="G992" s="164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ht="12.75" customHeight="1" spans="1:27">
      <c r="A993" s="13"/>
      <c r="B993" s="163"/>
      <c r="C993" s="163"/>
      <c r="D993" s="164"/>
      <c r="E993" s="164"/>
      <c r="F993" s="164"/>
      <c r="G993" s="164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ht="12.75" customHeight="1" spans="1:27">
      <c r="A994" s="13"/>
      <c r="B994" s="163"/>
      <c r="C994" s="163"/>
      <c r="D994" s="164"/>
      <c r="E994" s="164"/>
      <c r="F994" s="164"/>
      <c r="G994" s="164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ht="12.75" customHeight="1" spans="1:27">
      <c r="A995" s="13"/>
      <c r="B995" s="163"/>
      <c r="C995" s="163"/>
      <c r="D995" s="164"/>
      <c r="E995" s="164"/>
      <c r="F995" s="164"/>
      <c r="G995" s="164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ht="12.75" customHeight="1" spans="1:27">
      <c r="A996" s="13"/>
      <c r="B996" s="163"/>
      <c r="C996" s="163"/>
      <c r="D996" s="164"/>
      <c r="E996" s="164"/>
      <c r="F996" s="164"/>
      <c r="G996" s="164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ht="12.75" customHeight="1" spans="1:27">
      <c r="A997" s="13"/>
      <c r="B997" s="163"/>
      <c r="C997" s="163"/>
      <c r="D997" s="164"/>
      <c r="E997" s="164"/>
      <c r="F997" s="164"/>
      <c r="G997" s="164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</sheetData>
  <mergeCells count="7">
    <mergeCell ref="B1:G1"/>
    <mergeCell ref="B3:D3"/>
    <mergeCell ref="E3:G3"/>
    <mergeCell ref="B4:D4"/>
    <mergeCell ref="E4:G4"/>
    <mergeCell ref="B5:D5"/>
    <mergeCell ref="E5:G5"/>
  </mergeCells>
  <hyperlinks>
    <hyperlink ref="E11" location="M_dang_nhap!A1" display="M_dang_nhap"/>
    <hyperlink ref="E10" location="M_dang_ky!A1" display="M_dang_ky"/>
    <hyperlink ref="E8" location="M_them_tin!A1" display="M_them_tin"/>
    <hyperlink ref="E9" location="M_them_thanh_pho!A1" display="M_them_thanh_pho"/>
    <hyperlink ref="E12" location="M_them_dich_vu!A1" display="M_them_dich_vu"/>
    <hyperlink ref="E13" location="M_sua_dich_vu!A1" display="M_sua_dich_vu"/>
    <hyperlink ref="E16" location="M_them_danh_muc!A1" display="M_them_danh_muc"/>
    <hyperlink ref="E17" location="M_sua_danh_muc!A1" display="M_sua_danh_muc"/>
    <hyperlink ref="E14" location="M_them_quan_huyen!A1" display="M_them_quan_huyen"/>
    <hyperlink ref="E15" location="M_cap_nhat_thong_tin!A1" display="M_cap_nhat_thong_tin"/>
  </hyperlink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0"/>
  <sheetViews>
    <sheetView workbookViewId="0">
      <pane ySplit="8" topLeftCell="A9" activePane="bottomLeft" state="frozen"/>
      <selection/>
      <selection pane="bottomLeft" activeCell="C14" sqref="C14"/>
    </sheetView>
  </sheetViews>
  <sheetFormatPr defaultColWidth="12.6333333333333" defaultRowHeight="15" customHeight="1"/>
  <cols>
    <col min="1" max="1" width="13.875" customWidth="1"/>
    <col min="2" max="2" width="19.1333333333333" customWidth="1"/>
    <col min="3" max="3" width="25.6333333333333" customWidth="1"/>
    <col min="4" max="4" width="28.5" customWidth="1"/>
    <col min="5" max="5" width="28.1333333333333" customWidth="1"/>
    <col min="6" max="6" width="28.3833333333333" customWidth="1"/>
    <col min="7" max="7" width="9" customWidth="1"/>
    <col min="8" max="8" width="17.6333333333333" customWidth="1"/>
    <col min="9" max="9" width="8.13333333333333" customWidth="1"/>
    <col min="10" max="10" width="3.88333333333333" hidden="1" customWidth="1"/>
    <col min="11" max="26" width="10" customWidth="1"/>
  </cols>
  <sheetData>
    <row r="1" ht="12.75" customHeight="1" spans="1:26">
      <c r="A1" s="93"/>
      <c r="B1" s="94"/>
      <c r="C1" s="94"/>
      <c r="D1" s="94"/>
      <c r="E1" s="94"/>
      <c r="F1" s="95"/>
      <c r="G1" s="96"/>
      <c r="H1" s="97"/>
      <c r="I1" s="113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customHeight="1" spans="1:26">
      <c r="A2" s="98" t="s">
        <v>54</v>
      </c>
      <c r="B2" s="99" t="s">
        <v>38</v>
      </c>
      <c r="C2" s="100"/>
      <c r="D2" s="100"/>
      <c r="E2" s="100"/>
      <c r="F2" s="101"/>
      <c r="G2" s="97"/>
      <c r="H2" s="97"/>
      <c r="I2" s="113"/>
      <c r="J2" s="108" t="s">
        <v>55</v>
      </c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25.5" customHeight="1" spans="1:26">
      <c r="A3" s="102" t="s">
        <v>56</v>
      </c>
      <c r="B3" s="60" t="s">
        <v>57</v>
      </c>
      <c r="C3" s="131"/>
      <c r="D3" s="131"/>
      <c r="E3" s="131"/>
      <c r="F3" s="132"/>
      <c r="G3" s="97"/>
      <c r="H3" s="97"/>
      <c r="I3" s="113"/>
      <c r="J3" s="108" t="s">
        <v>58</v>
      </c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8" customHeight="1" spans="1:26">
      <c r="A4" s="98" t="s">
        <v>59</v>
      </c>
      <c r="B4" s="64" t="s">
        <v>34</v>
      </c>
      <c r="C4" s="133"/>
      <c r="D4" s="133"/>
      <c r="E4" s="133"/>
      <c r="F4" s="134"/>
      <c r="G4" s="97"/>
      <c r="H4" s="97"/>
      <c r="I4" s="113"/>
      <c r="J4" s="114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9.5" customHeight="1" spans="1:26">
      <c r="A5" s="67" t="s">
        <v>55</v>
      </c>
      <c r="B5" s="68" t="s">
        <v>58</v>
      </c>
      <c r="C5" s="68" t="s">
        <v>60</v>
      </c>
      <c r="D5" s="69" t="s">
        <v>61</v>
      </c>
      <c r="E5" s="69" t="s">
        <v>62</v>
      </c>
      <c r="F5" s="101"/>
      <c r="G5" s="106"/>
      <c r="H5" s="106"/>
      <c r="I5" s="115"/>
      <c r="J5" s="108" t="s">
        <v>63</v>
      </c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customHeight="1" spans="1:26">
      <c r="A6" s="71">
        <f>COUNTIF(F10:G868,"Pass")</f>
        <v>6</v>
      </c>
      <c r="B6" s="72">
        <f>COUNTIF(F10:G868,"Fail")</f>
        <v>1</v>
      </c>
      <c r="C6" s="72">
        <f>E6-D6-B6-A6</f>
        <v>0</v>
      </c>
      <c r="D6" s="73">
        <f>COUNTIF(F$9:F$868,"N/A")</f>
        <v>0</v>
      </c>
      <c r="E6" s="74">
        <f>COUNTA(A9:A868)</f>
        <v>7</v>
      </c>
      <c r="F6" s="107"/>
      <c r="G6" s="106"/>
      <c r="H6" s="106"/>
      <c r="I6" s="115"/>
      <c r="J6" s="108" t="s">
        <v>61</v>
      </c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customHeight="1" spans="1:26">
      <c r="A7" s="108"/>
      <c r="B7" s="108"/>
      <c r="C7" s="108"/>
      <c r="D7" s="52"/>
      <c r="E7" s="52"/>
      <c r="F7" s="106"/>
      <c r="G7" s="106"/>
      <c r="H7" s="106"/>
      <c r="I7" s="115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25.5" customHeight="1" spans="1:26">
      <c r="A8" s="78" t="s">
        <v>64</v>
      </c>
      <c r="B8" s="78" t="s">
        <v>65</v>
      </c>
      <c r="C8" s="78" t="s">
        <v>66</v>
      </c>
      <c r="D8" s="78" t="s">
        <v>67</v>
      </c>
      <c r="E8" s="78" t="s">
        <v>68</v>
      </c>
      <c r="F8" s="79" t="s">
        <v>69</v>
      </c>
      <c r="G8" s="79" t="s">
        <v>70</v>
      </c>
      <c r="H8" s="79" t="s">
        <v>71</v>
      </c>
      <c r="I8" s="78" t="s">
        <v>72</v>
      </c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13.5" spans="1:26">
      <c r="A9" s="80"/>
      <c r="B9" s="81" t="s">
        <v>73</v>
      </c>
      <c r="C9" s="80"/>
      <c r="D9" s="80"/>
      <c r="E9" s="80"/>
      <c r="F9" s="80"/>
      <c r="G9" s="80"/>
      <c r="H9" s="80"/>
      <c r="I9" s="89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51" spans="1:26">
      <c r="A10" s="109" t="str">
        <f t="shared" ref="A10:A11" si="0">IF(OR(B10&lt;&gt;"",E10&lt;&gt;""),"["&amp;TEXT($B$2,"##")&amp;"-"&amp;TEXT(ROW()-9,"##")&amp;"]","")</f>
        <v>[M_dang_nhap-1]</v>
      </c>
      <c r="B10" s="109" t="s">
        <v>74</v>
      </c>
      <c r="C10" s="109"/>
      <c r="D10" s="109" t="s">
        <v>75</v>
      </c>
      <c r="E10" s="109" t="s">
        <v>76</v>
      </c>
      <c r="F10" s="9"/>
      <c r="G10" s="109" t="s">
        <v>58</v>
      </c>
      <c r="H10" s="84">
        <v>45992</v>
      </c>
      <c r="I10" s="10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" customHeight="1" spans="1:26">
      <c r="A11" s="109" t="str">
        <f t="shared" si="0"/>
        <v>[M_dang_nhap-2]</v>
      </c>
      <c r="B11" s="109" t="s">
        <v>77</v>
      </c>
      <c r="C11" s="109"/>
      <c r="D11" s="109" t="s">
        <v>78</v>
      </c>
      <c r="E11" s="109" t="s">
        <v>79</v>
      </c>
      <c r="F11" s="9"/>
      <c r="G11" s="109" t="s">
        <v>55</v>
      </c>
      <c r="H11" s="84">
        <v>45992</v>
      </c>
      <c r="I11" s="109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3.5" spans="1:26">
      <c r="A12" s="80"/>
      <c r="B12" s="81" t="s">
        <v>80</v>
      </c>
      <c r="C12" s="80"/>
      <c r="D12" s="80"/>
      <c r="E12" s="80"/>
      <c r="F12" s="80"/>
      <c r="G12" s="80"/>
      <c r="H12" s="80"/>
      <c r="I12" s="89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ht="51" spans="1:26">
      <c r="A13" s="109" t="str">
        <f t="shared" ref="A13:A17" si="1">IF(OR(B13&lt;&gt;"",E13&lt;&gt;""),"["&amp;TEXT($B$2,"##")&amp;"-"&amp;TEXT(ROW()-10,"##")&amp;"]","")</f>
        <v>[M_dang_nhap-3]</v>
      </c>
      <c r="B13" s="82" t="s">
        <v>81</v>
      </c>
      <c r="C13" s="109" t="s">
        <v>82</v>
      </c>
      <c r="D13" s="112" t="s">
        <v>83</v>
      </c>
      <c r="E13" s="109" t="s">
        <v>84</v>
      </c>
      <c r="F13" s="9"/>
      <c r="G13" s="109" t="s">
        <v>55</v>
      </c>
      <c r="H13" s="84">
        <v>45992</v>
      </c>
      <c r="I13" s="116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1" spans="1:26">
      <c r="A14" s="109" t="str">
        <f t="shared" si="1"/>
        <v>[M_dang_nhap-4]</v>
      </c>
      <c r="B14" s="109" t="s">
        <v>85</v>
      </c>
      <c r="C14" s="109" t="s">
        <v>86</v>
      </c>
      <c r="D14" s="109" t="s">
        <v>87</v>
      </c>
      <c r="E14" s="109" t="s">
        <v>88</v>
      </c>
      <c r="G14" s="109" t="s">
        <v>55</v>
      </c>
      <c r="H14" s="84">
        <v>45992</v>
      </c>
      <c r="I14" s="109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1" spans="1:26">
      <c r="A15" s="109" t="str">
        <f t="shared" si="1"/>
        <v>[M_dang_nhap-5]</v>
      </c>
      <c r="B15" s="109" t="s">
        <v>89</v>
      </c>
      <c r="C15" s="109" t="s">
        <v>82</v>
      </c>
      <c r="D15" s="112" t="s">
        <v>90</v>
      </c>
      <c r="E15" s="109" t="s">
        <v>88</v>
      </c>
      <c r="F15" s="9"/>
      <c r="G15" s="109" t="s">
        <v>55</v>
      </c>
      <c r="H15" s="84">
        <v>45992</v>
      </c>
      <c r="I15" s="116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1" spans="1:26">
      <c r="A16" s="109" t="str">
        <f t="shared" si="1"/>
        <v>[M_dang_nhap-6]</v>
      </c>
      <c r="B16" s="109" t="s">
        <v>89</v>
      </c>
      <c r="C16" s="109" t="s">
        <v>91</v>
      </c>
      <c r="D16" s="112" t="s">
        <v>92</v>
      </c>
      <c r="E16" s="109" t="s">
        <v>88</v>
      </c>
      <c r="F16" s="9"/>
      <c r="G16" s="109" t="s">
        <v>55</v>
      </c>
      <c r="H16" s="84">
        <v>45992</v>
      </c>
      <c r="I16" s="116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1" spans="1:26">
      <c r="A17" s="109" t="str">
        <f t="shared" si="1"/>
        <v>[M_dang_nhap-7]</v>
      </c>
      <c r="B17" s="109" t="s">
        <v>89</v>
      </c>
      <c r="C17" s="109" t="s">
        <v>93</v>
      </c>
      <c r="D17" s="112" t="s">
        <v>94</v>
      </c>
      <c r="E17" s="109" t="s">
        <v>88</v>
      </c>
      <c r="F17" s="9"/>
      <c r="G17" s="109" t="s">
        <v>55</v>
      </c>
      <c r="H17" s="84">
        <v>45992</v>
      </c>
      <c r="I17" s="116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customHeight="1" spans="1:26">
      <c r="A18" s="13"/>
      <c r="B18" s="13"/>
      <c r="C18" s="13"/>
      <c r="D18" s="13"/>
      <c r="E18" s="13"/>
      <c r="F18" s="13"/>
      <c r="G18" s="13"/>
      <c r="H18" s="13"/>
      <c r="I18" s="117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 spans="1:26">
      <c r="A19" s="13"/>
      <c r="B19" s="13"/>
      <c r="C19" s="13"/>
      <c r="D19" s="13"/>
      <c r="E19" s="13"/>
      <c r="F19" s="13"/>
      <c r="G19" s="13"/>
      <c r="H19" s="13"/>
      <c r="I19" s="117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 spans="1:26">
      <c r="A20" s="13"/>
      <c r="B20" s="13"/>
      <c r="C20" s="13"/>
      <c r="D20" s="13"/>
      <c r="E20" s="13"/>
      <c r="F20" s="13"/>
      <c r="G20" s="13"/>
      <c r="H20" s="13"/>
      <c r="I20" s="117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 spans="1:26">
      <c r="A21" s="13"/>
      <c r="B21" s="13"/>
      <c r="C21" s="13"/>
      <c r="D21" s="13"/>
      <c r="E21" s="13"/>
      <c r="F21" s="13"/>
      <c r="G21" s="13"/>
      <c r="H21" s="13"/>
      <c r="I21" s="117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 spans="1:26">
      <c r="A22" s="13"/>
      <c r="B22" s="13"/>
      <c r="C22" s="13"/>
      <c r="D22" s="13"/>
      <c r="E22" s="13"/>
      <c r="F22" s="13"/>
      <c r="G22" s="13"/>
      <c r="H22" s="13"/>
      <c r="I22" s="117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 spans="1:26">
      <c r="A23" s="13"/>
      <c r="B23" s="13"/>
      <c r="C23" s="13"/>
      <c r="D23" s="13"/>
      <c r="E23" s="13"/>
      <c r="F23" s="13"/>
      <c r="G23" s="13"/>
      <c r="H23" s="13"/>
      <c r="I23" s="117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 spans="1:26">
      <c r="A24" s="13"/>
      <c r="B24" s="13"/>
      <c r="C24" s="13"/>
      <c r="D24" s="13"/>
      <c r="E24" s="13"/>
      <c r="F24" s="13"/>
      <c r="G24" s="13"/>
      <c r="H24" s="13"/>
      <c r="I24" s="117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 spans="1:26">
      <c r="A25" s="13"/>
      <c r="B25" s="13"/>
      <c r="C25" s="13"/>
      <c r="D25" s="13"/>
      <c r="E25" s="13"/>
      <c r="F25" s="13"/>
      <c r="G25" s="13"/>
      <c r="H25" s="13"/>
      <c r="I25" s="117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 spans="1:26">
      <c r="A26" s="13"/>
      <c r="B26" s="13"/>
      <c r="C26" s="13"/>
      <c r="D26" s="13"/>
      <c r="E26" s="13"/>
      <c r="F26" s="13"/>
      <c r="G26" s="13"/>
      <c r="H26" s="13"/>
      <c r="I26" s="117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 spans="1:26">
      <c r="A27" s="13"/>
      <c r="B27" s="13"/>
      <c r="C27" s="13"/>
      <c r="D27" s="13"/>
      <c r="E27" s="13"/>
      <c r="F27" s="13"/>
      <c r="G27" s="13"/>
      <c r="H27" s="13"/>
      <c r="I27" s="117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 spans="1:26">
      <c r="A28" s="13"/>
      <c r="B28" s="13"/>
      <c r="C28" s="13"/>
      <c r="D28" s="13"/>
      <c r="E28" s="13"/>
      <c r="F28" s="13"/>
      <c r="G28" s="13"/>
      <c r="H28" s="13"/>
      <c r="I28" s="117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 spans="1:26">
      <c r="A29" s="13"/>
      <c r="B29" s="13"/>
      <c r="C29" s="13"/>
      <c r="D29" s="13"/>
      <c r="E29" s="13"/>
      <c r="F29" s="13"/>
      <c r="G29" s="13"/>
      <c r="H29" s="13"/>
      <c r="I29" s="117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 spans="1:26">
      <c r="A30" s="13"/>
      <c r="B30" s="13"/>
      <c r="C30" s="13"/>
      <c r="D30" s="13"/>
      <c r="E30" s="13"/>
      <c r="F30" s="13"/>
      <c r="G30" s="13"/>
      <c r="H30" s="13"/>
      <c r="I30" s="117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 spans="1:26">
      <c r="A31" s="13"/>
      <c r="B31" s="13"/>
      <c r="C31" s="13"/>
      <c r="D31" s="13"/>
      <c r="E31" s="13"/>
      <c r="F31" s="13"/>
      <c r="G31" s="13"/>
      <c r="H31" s="13"/>
      <c r="I31" s="117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 spans="1:26">
      <c r="A32" s="13"/>
      <c r="B32" s="13"/>
      <c r="C32" s="13"/>
      <c r="D32" s="13"/>
      <c r="E32" s="13"/>
      <c r="F32" s="13"/>
      <c r="G32" s="13"/>
      <c r="H32" s="13"/>
      <c r="I32" s="117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 spans="1:26">
      <c r="A33" s="13"/>
      <c r="B33" s="13"/>
      <c r="C33" s="13"/>
      <c r="D33" s="13"/>
      <c r="E33" s="13"/>
      <c r="F33" s="13"/>
      <c r="G33" s="13"/>
      <c r="H33" s="13"/>
      <c r="I33" s="117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 spans="1:26">
      <c r="A34" s="13"/>
      <c r="B34" s="13"/>
      <c r="C34" s="13"/>
      <c r="D34" s="13"/>
      <c r="E34" s="13"/>
      <c r="F34" s="13"/>
      <c r="G34" s="13"/>
      <c r="H34" s="13"/>
      <c r="I34" s="117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 spans="1:26">
      <c r="A35" s="13"/>
      <c r="B35" s="13"/>
      <c r="C35" s="13"/>
      <c r="D35" s="13"/>
      <c r="E35" s="13"/>
      <c r="F35" s="13"/>
      <c r="G35" s="13"/>
      <c r="H35" s="13"/>
      <c r="I35" s="117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 spans="1:26">
      <c r="A36" s="13"/>
      <c r="B36" s="13"/>
      <c r="C36" s="13"/>
      <c r="D36" s="13"/>
      <c r="E36" s="13"/>
      <c r="F36" s="13"/>
      <c r="G36" s="13"/>
      <c r="H36" s="13"/>
      <c r="I36" s="117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 spans="1:26">
      <c r="A37" s="13"/>
      <c r="B37" s="13"/>
      <c r="C37" s="13"/>
      <c r="D37" s="13"/>
      <c r="E37" s="13"/>
      <c r="F37" s="13"/>
      <c r="G37" s="13"/>
      <c r="H37" s="13"/>
      <c r="I37" s="117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 spans="1:26">
      <c r="A38" s="13"/>
      <c r="B38" s="13"/>
      <c r="C38" s="13"/>
      <c r="D38" s="13"/>
      <c r="E38" s="13"/>
      <c r="F38" s="13"/>
      <c r="G38" s="13"/>
      <c r="H38" s="13"/>
      <c r="I38" s="117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 spans="1:26">
      <c r="A39" s="13"/>
      <c r="B39" s="13"/>
      <c r="C39" s="13"/>
      <c r="D39" s="13"/>
      <c r="E39" s="13"/>
      <c r="F39" s="13"/>
      <c r="G39" s="13"/>
      <c r="H39" s="13"/>
      <c r="I39" s="117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 spans="1:26">
      <c r="A40" s="13"/>
      <c r="B40" s="13"/>
      <c r="C40" s="13"/>
      <c r="D40" s="13"/>
      <c r="E40" s="13"/>
      <c r="F40" s="13"/>
      <c r="G40" s="13"/>
      <c r="H40" s="13"/>
      <c r="I40" s="117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 spans="1:26">
      <c r="A41" s="13"/>
      <c r="B41" s="13"/>
      <c r="C41" s="13"/>
      <c r="D41" s="13"/>
      <c r="E41" s="13"/>
      <c r="F41" s="13"/>
      <c r="G41" s="13"/>
      <c r="H41" s="13"/>
      <c r="I41" s="11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 spans="1:26">
      <c r="A42" s="13"/>
      <c r="B42" s="13"/>
      <c r="C42" s="13"/>
      <c r="D42" s="13"/>
      <c r="E42" s="13"/>
      <c r="F42" s="13"/>
      <c r="G42" s="13"/>
      <c r="H42" s="13"/>
      <c r="I42" s="117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 spans="1:26">
      <c r="A43" s="13"/>
      <c r="B43" s="13"/>
      <c r="C43" s="13"/>
      <c r="D43" s="13"/>
      <c r="E43" s="13"/>
      <c r="F43" s="13"/>
      <c r="G43" s="13"/>
      <c r="H43" s="13"/>
      <c r="I43" s="117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 spans="1:26">
      <c r="A44" s="13"/>
      <c r="B44" s="13"/>
      <c r="C44" s="13"/>
      <c r="D44" s="13"/>
      <c r="E44" s="13"/>
      <c r="F44" s="13"/>
      <c r="G44" s="13"/>
      <c r="H44" s="13"/>
      <c r="I44" s="117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 spans="1:26">
      <c r="A45" s="13"/>
      <c r="B45" s="13"/>
      <c r="C45" s="13"/>
      <c r="D45" s="13"/>
      <c r="E45" s="13"/>
      <c r="F45" s="13"/>
      <c r="G45" s="13"/>
      <c r="H45" s="13"/>
      <c r="I45" s="117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 spans="1:26">
      <c r="A46" s="13"/>
      <c r="B46" s="13"/>
      <c r="C46" s="13"/>
      <c r="D46" s="13"/>
      <c r="E46" s="13"/>
      <c r="F46" s="13"/>
      <c r="G46" s="13"/>
      <c r="H46" s="13"/>
      <c r="I46" s="117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 spans="1:26">
      <c r="A47" s="13"/>
      <c r="B47" s="13"/>
      <c r="C47" s="13"/>
      <c r="D47" s="13"/>
      <c r="E47" s="13"/>
      <c r="F47" s="13"/>
      <c r="G47" s="13"/>
      <c r="H47" s="13"/>
      <c r="I47" s="117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 spans="1:26">
      <c r="A48" s="13"/>
      <c r="B48" s="13"/>
      <c r="C48" s="13"/>
      <c r="D48" s="13"/>
      <c r="E48" s="13"/>
      <c r="F48" s="13"/>
      <c r="G48" s="13"/>
      <c r="H48" s="13"/>
      <c r="I48" s="117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 spans="1:26">
      <c r="A49" s="13"/>
      <c r="B49" s="13"/>
      <c r="C49" s="13"/>
      <c r="D49" s="13"/>
      <c r="E49" s="13"/>
      <c r="F49" s="13"/>
      <c r="G49" s="13"/>
      <c r="H49" s="13"/>
      <c r="I49" s="117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 spans="1:26">
      <c r="A50" s="13"/>
      <c r="B50" s="13"/>
      <c r="C50" s="13"/>
      <c r="D50" s="13"/>
      <c r="E50" s="13"/>
      <c r="F50" s="13"/>
      <c r="G50" s="13"/>
      <c r="H50" s="13"/>
      <c r="I50" s="117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 spans="1:26">
      <c r="A51" s="13"/>
      <c r="B51" s="13"/>
      <c r="C51" s="13"/>
      <c r="D51" s="13"/>
      <c r="E51" s="13"/>
      <c r="F51" s="13"/>
      <c r="G51" s="13"/>
      <c r="H51" s="13"/>
      <c r="I51" s="117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 spans="1:26">
      <c r="A52" s="13"/>
      <c r="B52" s="13"/>
      <c r="C52" s="13"/>
      <c r="D52" s="13"/>
      <c r="E52" s="13"/>
      <c r="F52" s="13"/>
      <c r="G52" s="13"/>
      <c r="H52" s="13"/>
      <c r="I52" s="117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 spans="1:26">
      <c r="A53" s="13"/>
      <c r="B53" s="13"/>
      <c r="C53" s="13"/>
      <c r="D53" s="13"/>
      <c r="E53" s="13"/>
      <c r="F53" s="13"/>
      <c r="G53" s="13"/>
      <c r="H53" s="13"/>
      <c r="I53" s="117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 spans="1:26">
      <c r="A54" s="13"/>
      <c r="B54" s="13"/>
      <c r="C54" s="13"/>
      <c r="D54" s="13"/>
      <c r="E54" s="13"/>
      <c r="F54" s="13"/>
      <c r="G54" s="13"/>
      <c r="H54" s="13"/>
      <c r="I54" s="117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 spans="1:26">
      <c r="A55" s="13"/>
      <c r="B55" s="13"/>
      <c r="C55" s="13"/>
      <c r="D55" s="13"/>
      <c r="E55" s="13"/>
      <c r="F55" s="13"/>
      <c r="G55" s="13"/>
      <c r="H55" s="13"/>
      <c r="I55" s="117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 spans="1:26">
      <c r="A56" s="13"/>
      <c r="B56" s="13"/>
      <c r="C56" s="13"/>
      <c r="D56" s="13"/>
      <c r="E56" s="13"/>
      <c r="F56" s="13"/>
      <c r="G56" s="13"/>
      <c r="H56" s="13"/>
      <c r="I56" s="117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 spans="1:26">
      <c r="A57" s="13"/>
      <c r="B57" s="13"/>
      <c r="C57" s="13"/>
      <c r="D57" s="13"/>
      <c r="E57" s="13"/>
      <c r="F57" s="13"/>
      <c r="G57" s="13"/>
      <c r="H57" s="13"/>
      <c r="I57" s="117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 spans="1:26">
      <c r="A58" s="13"/>
      <c r="B58" s="13"/>
      <c r="C58" s="13"/>
      <c r="D58" s="13"/>
      <c r="E58" s="13"/>
      <c r="F58" s="13"/>
      <c r="G58" s="13"/>
      <c r="H58" s="13"/>
      <c r="I58" s="117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 spans="1:26">
      <c r="A59" s="13"/>
      <c r="B59" s="13"/>
      <c r="C59" s="13"/>
      <c r="D59" s="13"/>
      <c r="E59" s="13"/>
      <c r="F59" s="13"/>
      <c r="G59" s="13"/>
      <c r="H59" s="13"/>
      <c r="I59" s="117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 spans="1:26">
      <c r="A60" s="13"/>
      <c r="B60" s="13"/>
      <c r="C60" s="13"/>
      <c r="D60" s="13"/>
      <c r="E60" s="13"/>
      <c r="F60" s="13"/>
      <c r="G60" s="13"/>
      <c r="H60" s="13"/>
      <c r="I60" s="117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 spans="1:26">
      <c r="A61" s="13"/>
      <c r="B61" s="13"/>
      <c r="C61" s="13"/>
      <c r="D61" s="13"/>
      <c r="E61" s="13"/>
      <c r="F61" s="13"/>
      <c r="G61" s="13"/>
      <c r="H61" s="13"/>
      <c r="I61" s="117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 spans="1:26">
      <c r="A62" s="13"/>
      <c r="B62" s="13"/>
      <c r="C62" s="13"/>
      <c r="D62" s="13"/>
      <c r="E62" s="13"/>
      <c r="F62" s="13"/>
      <c r="G62" s="13"/>
      <c r="H62" s="13"/>
      <c r="I62" s="117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 spans="1:26">
      <c r="A63" s="13"/>
      <c r="B63" s="13"/>
      <c r="C63" s="13"/>
      <c r="D63" s="13"/>
      <c r="E63" s="13"/>
      <c r="F63" s="13"/>
      <c r="G63" s="13"/>
      <c r="H63" s="13"/>
      <c r="I63" s="117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 spans="1:26">
      <c r="A64" s="13"/>
      <c r="B64" s="13"/>
      <c r="C64" s="13"/>
      <c r="D64" s="13"/>
      <c r="E64" s="13"/>
      <c r="F64" s="13"/>
      <c r="G64" s="13"/>
      <c r="H64" s="13"/>
      <c r="I64" s="117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 spans="1:26">
      <c r="A65" s="13"/>
      <c r="B65" s="13"/>
      <c r="C65" s="13"/>
      <c r="D65" s="13"/>
      <c r="E65" s="13"/>
      <c r="F65" s="13"/>
      <c r="G65" s="13"/>
      <c r="H65" s="13"/>
      <c r="I65" s="117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 spans="1:26">
      <c r="A66" s="13"/>
      <c r="B66" s="13"/>
      <c r="C66" s="13"/>
      <c r="D66" s="13"/>
      <c r="E66" s="13"/>
      <c r="F66" s="13"/>
      <c r="G66" s="13"/>
      <c r="H66" s="13"/>
      <c r="I66" s="117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 spans="1:26">
      <c r="A67" s="13"/>
      <c r="B67" s="13"/>
      <c r="C67" s="13"/>
      <c r="D67" s="13"/>
      <c r="E67" s="13"/>
      <c r="F67" s="13"/>
      <c r="G67" s="13"/>
      <c r="H67" s="13"/>
      <c r="I67" s="117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 spans="1:26">
      <c r="A68" s="13"/>
      <c r="B68" s="13"/>
      <c r="C68" s="13"/>
      <c r="D68" s="13"/>
      <c r="E68" s="13"/>
      <c r="F68" s="13"/>
      <c r="G68" s="13"/>
      <c r="H68" s="13"/>
      <c r="I68" s="117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 spans="1:26">
      <c r="A69" s="13"/>
      <c r="B69" s="13"/>
      <c r="C69" s="13"/>
      <c r="D69" s="13"/>
      <c r="E69" s="13"/>
      <c r="F69" s="13"/>
      <c r="G69" s="13"/>
      <c r="H69" s="13"/>
      <c r="I69" s="117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 spans="1:26">
      <c r="A70" s="13"/>
      <c r="B70" s="13"/>
      <c r="C70" s="13"/>
      <c r="D70" s="13"/>
      <c r="E70" s="13"/>
      <c r="F70" s="13"/>
      <c r="G70" s="13"/>
      <c r="H70" s="13"/>
      <c r="I70" s="117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 spans="1:26">
      <c r="A71" s="13"/>
      <c r="B71" s="13"/>
      <c r="C71" s="13"/>
      <c r="D71" s="13"/>
      <c r="E71" s="13"/>
      <c r="F71" s="13"/>
      <c r="G71" s="13"/>
      <c r="H71" s="13"/>
      <c r="I71" s="117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 spans="1:26">
      <c r="A72" s="13"/>
      <c r="B72" s="13"/>
      <c r="C72" s="13"/>
      <c r="D72" s="13"/>
      <c r="E72" s="13"/>
      <c r="F72" s="13"/>
      <c r="G72" s="13"/>
      <c r="H72" s="13"/>
      <c r="I72" s="117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 spans="1:26">
      <c r="A73" s="13"/>
      <c r="B73" s="13"/>
      <c r="C73" s="13"/>
      <c r="D73" s="13"/>
      <c r="E73" s="13"/>
      <c r="F73" s="13"/>
      <c r="G73" s="13"/>
      <c r="H73" s="13"/>
      <c r="I73" s="117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 spans="1:26">
      <c r="A74" s="13"/>
      <c r="B74" s="13"/>
      <c r="C74" s="13"/>
      <c r="D74" s="13"/>
      <c r="E74" s="13"/>
      <c r="F74" s="13"/>
      <c r="G74" s="13"/>
      <c r="H74" s="13"/>
      <c r="I74" s="117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 spans="1:26">
      <c r="A75" s="13"/>
      <c r="B75" s="13"/>
      <c r="C75" s="13"/>
      <c r="D75" s="13"/>
      <c r="E75" s="13"/>
      <c r="F75" s="13"/>
      <c r="G75" s="13"/>
      <c r="H75" s="13"/>
      <c r="I75" s="117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 spans="1:26">
      <c r="A76" s="13"/>
      <c r="B76" s="13"/>
      <c r="C76" s="13"/>
      <c r="D76" s="13"/>
      <c r="E76" s="13"/>
      <c r="F76" s="13"/>
      <c r="G76" s="13"/>
      <c r="H76" s="13"/>
      <c r="I76" s="117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 spans="1:26">
      <c r="A77" s="13"/>
      <c r="B77" s="13"/>
      <c r="C77" s="13"/>
      <c r="D77" s="13"/>
      <c r="E77" s="13"/>
      <c r="F77" s="13"/>
      <c r="G77" s="13"/>
      <c r="H77" s="13"/>
      <c r="I77" s="117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 spans="1:26">
      <c r="A78" s="13"/>
      <c r="B78" s="13"/>
      <c r="C78" s="13"/>
      <c r="D78" s="13"/>
      <c r="E78" s="13"/>
      <c r="F78" s="13"/>
      <c r="G78" s="13"/>
      <c r="H78" s="13"/>
      <c r="I78" s="117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 spans="1:26">
      <c r="A79" s="13"/>
      <c r="B79" s="13"/>
      <c r="C79" s="13"/>
      <c r="D79" s="13"/>
      <c r="E79" s="13"/>
      <c r="F79" s="13"/>
      <c r="G79" s="13"/>
      <c r="H79" s="13"/>
      <c r="I79" s="117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 spans="1:26">
      <c r="A80" s="13"/>
      <c r="B80" s="13"/>
      <c r="C80" s="13"/>
      <c r="D80" s="13"/>
      <c r="E80" s="13"/>
      <c r="F80" s="13"/>
      <c r="G80" s="13"/>
      <c r="H80" s="13"/>
      <c r="I80" s="117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 spans="1:26">
      <c r="A81" s="13"/>
      <c r="B81" s="13"/>
      <c r="C81" s="13"/>
      <c r="D81" s="13"/>
      <c r="E81" s="13"/>
      <c r="F81" s="13"/>
      <c r="G81" s="13"/>
      <c r="H81" s="13"/>
      <c r="I81" s="117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 spans="1:26">
      <c r="A82" s="13"/>
      <c r="B82" s="13"/>
      <c r="C82" s="13"/>
      <c r="D82" s="13"/>
      <c r="E82" s="13"/>
      <c r="F82" s="13"/>
      <c r="G82" s="13"/>
      <c r="H82" s="13"/>
      <c r="I82" s="117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 spans="1:26">
      <c r="A83" s="13"/>
      <c r="B83" s="13"/>
      <c r="C83" s="13"/>
      <c r="D83" s="13"/>
      <c r="E83" s="13"/>
      <c r="F83" s="13"/>
      <c r="G83" s="13"/>
      <c r="H83" s="13"/>
      <c r="I83" s="117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 spans="1:26">
      <c r="A84" s="13"/>
      <c r="B84" s="13"/>
      <c r="C84" s="13"/>
      <c r="D84" s="13"/>
      <c r="E84" s="13"/>
      <c r="F84" s="13"/>
      <c r="G84" s="13"/>
      <c r="H84" s="13"/>
      <c r="I84" s="117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 spans="1:26">
      <c r="A85" s="13"/>
      <c r="B85" s="13"/>
      <c r="C85" s="13"/>
      <c r="D85" s="13"/>
      <c r="E85" s="13"/>
      <c r="F85" s="13"/>
      <c r="G85" s="13"/>
      <c r="H85" s="13"/>
      <c r="I85" s="117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 spans="1:26">
      <c r="A86" s="13"/>
      <c r="B86" s="13"/>
      <c r="C86" s="13"/>
      <c r="D86" s="13"/>
      <c r="E86" s="13"/>
      <c r="F86" s="13"/>
      <c r="G86" s="13"/>
      <c r="H86" s="13"/>
      <c r="I86" s="117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 spans="1:26">
      <c r="A87" s="13"/>
      <c r="B87" s="13"/>
      <c r="C87" s="13"/>
      <c r="D87" s="13"/>
      <c r="E87" s="13"/>
      <c r="F87" s="13"/>
      <c r="G87" s="13"/>
      <c r="H87" s="13"/>
      <c r="I87" s="117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 spans="1:26">
      <c r="A88" s="13"/>
      <c r="B88" s="13"/>
      <c r="C88" s="13"/>
      <c r="D88" s="13"/>
      <c r="E88" s="13"/>
      <c r="F88" s="13"/>
      <c r="G88" s="13"/>
      <c r="H88" s="13"/>
      <c r="I88" s="117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 spans="1:26">
      <c r="A89" s="13"/>
      <c r="B89" s="13"/>
      <c r="C89" s="13"/>
      <c r="D89" s="13"/>
      <c r="E89" s="13"/>
      <c r="F89" s="13"/>
      <c r="G89" s="13"/>
      <c r="H89" s="13"/>
      <c r="I89" s="117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 spans="1:26">
      <c r="A90" s="13"/>
      <c r="B90" s="13"/>
      <c r="C90" s="13"/>
      <c r="D90" s="13"/>
      <c r="E90" s="13"/>
      <c r="F90" s="13"/>
      <c r="G90" s="13"/>
      <c r="H90" s="13"/>
      <c r="I90" s="117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 spans="1:26">
      <c r="A91" s="13"/>
      <c r="B91" s="13"/>
      <c r="C91" s="13"/>
      <c r="D91" s="13"/>
      <c r="E91" s="13"/>
      <c r="F91" s="13"/>
      <c r="G91" s="13"/>
      <c r="H91" s="13"/>
      <c r="I91" s="117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 spans="1:26">
      <c r="A92" s="13"/>
      <c r="B92" s="13"/>
      <c r="C92" s="13"/>
      <c r="D92" s="13"/>
      <c r="E92" s="13"/>
      <c r="F92" s="13"/>
      <c r="G92" s="13"/>
      <c r="H92" s="13"/>
      <c r="I92" s="117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 spans="1:26">
      <c r="A93" s="13"/>
      <c r="B93" s="13"/>
      <c r="C93" s="13"/>
      <c r="D93" s="13"/>
      <c r="E93" s="13"/>
      <c r="F93" s="13"/>
      <c r="G93" s="13"/>
      <c r="H93" s="13"/>
      <c r="I93" s="117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 spans="1:26">
      <c r="A94" s="13"/>
      <c r="B94" s="13"/>
      <c r="C94" s="13"/>
      <c r="D94" s="13"/>
      <c r="E94" s="13"/>
      <c r="F94" s="13"/>
      <c r="G94" s="13"/>
      <c r="H94" s="13"/>
      <c r="I94" s="117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 spans="1:26">
      <c r="A95" s="13"/>
      <c r="B95" s="13"/>
      <c r="C95" s="13"/>
      <c r="D95" s="13"/>
      <c r="E95" s="13"/>
      <c r="F95" s="13"/>
      <c r="G95" s="13"/>
      <c r="H95" s="13"/>
      <c r="I95" s="117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 spans="1:26">
      <c r="A96" s="13"/>
      <c r="B96" s="13"/>
      <c r="C96" s="13"/>
      <c r="D96" s="13"/>
      <c r="E96" s="13"/>
      <c r="F96" s="13"/>
      <c r="G96" s="13"/>
      <c r="H96" s="13"/>
      <c r="I96" s="117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 spans="1:26">
      <c r="A97" s="13"/>
      <c r="B97" s="13"/>
      <c r="C97" s="13"/>
      <c r="D97" s="13"/>
      <c r="E97" s="13"/>
      <c r="F97" s="13"/>
      <c r="G97" s="13"/>
      <c r="H97" s="13"/>
      <c r="I97" s="117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 spans="1:26">
      <c r="A98" s="13"/>
      <c r="B98" s="13"/>
      <c r="C98" s="13"/>
      <c r="D98" s="13"/>
      <c r="E98" s="13"/>
      <c r="F98" s="13"/>
      <c r="G98" s="13"/>
      <c r="H98" s="13"/>
      <c r="I98" s="117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 spans="1:26">
      <c r="A99" s="13"/>
      <c r="B99" s="13"/>
      <c r="C99" s="13"/>
      <c r="D99" s="13"/>
      <c r="E99" s="13"/>
      <c r="F99" s="13"/>
      <c r="G99" s="13"/>
      <c r="H99" s="13"/>
      <c r="I99" s="117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 spans="1:26">
      <c r="A100" s="13"/>
      <c r="B100" s="13"/>
      <c r="C100" s="13"/>
      <c r="D100" s="13"/>
      <c r="E100" s="13"/>
      <c r="F100" s="13"/>
      <c r="G100" s="13"/>
      <c r="H100" s="13"/>
      <c r="I100" s="117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 spans="1:26">
      <c r="A101" s="13"/>
      <c r="B101" s="13"/>
      <c r="C101" s="13"/>
      <c r="D101" s="13"/>
      <c r="E101" s="13"/>
      <c r="F101" s="13"/>
      <c r="G101" s="13"/>
      <c r="H101" s="13"/>
      <c r="I101" s="117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 spans="1:26">
      <c r="A102" s="13"/>
      <c r="B102" s="13"/>
      <c r="C102" s="13"/>
      <c r="D102" s="13"/>
      <c r="E102" s="13"/>
      <c r="F102" s="13"/>
      <c r="G102" s="13"/>
      <c r="H102" s="13"/>
      <c r="I102" s="117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 spans="1:26">
      <c r="A103" s="13"/>
      <c r="B103" s="13"/>
      <c r="C103" s="13"/>
      <c r="D103" s="13"/>
      <c r="E103" s="13"/>
      <c r="F103" s="13"/>
      <c r="G103" s="13"/>
      <c r="H103" s="13"/>
      <c r="I103" s="117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 spans="1:26">
      <c r="A104" s="13"/>
      <c r="B104" s="13"/>
      <c r="C104" s="13"/>
      <c r="D104" s="13"/>
      <c r="E104" s="13"/>
      <c r="F104" s="13"/>
      <c r="G104" s="13"/>
      <c r="H104" s="13"/>
      <c r="I104" s="117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 spans="1:26">
      <c r="A105" s="13"/>
      <c r="B105" s="13"/>
      <c r="C105" s="13"/>
      <c r="D105" s="13"/>
      <c r="E105" s="13"/>
      <c r="F105" s="13"/>
      <c r="G105" s="13"/>
      <c r="H105" s="13"/>
      <c r="I105" s="117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 spans="1:26">
      <c r="A106" s="13"/>
      <c r="B106" s="13"/>
      <c r="C106" s="13"/>
      <c r="D106" s="13"/>
      <c r="E106" s="13"/>
      <c r="F106" s="13"/>
      <c r="G106" s="13"/>
      <c r="H106" s="13"/>
      <c r="I106" s="117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 spans="1:26">
      <c r="A107" s="13"/>
      <c r="B107" s="13"/>
      <c r="C107" s="13"/>
      <c r="D107" s="13"/>
      <c r="E107" s="13"/>
      <c r="F107" s="13"/>
      <c r="G107" s="13"/>
      <c r="H107" s="13"/>
      <c r="I107" s="117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 spans="1:26">
      <c r="A108" s="13"/>
      <c r="B108" s="13"/>
      <c r="C108" s="13"/>
      <c r="D108" s="13"/>
      <c r="E108" s="13"/>
      <c r="F108" s="13"/>
      <c r="G108" s="13"/>
      <c r="H108" s="13"/>
      <c r="I108" s="117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 spans="1:26">
      <c r="A109" s="13"/>
      <c r="B109" s="13"/>
      <c r="C109" s="13"/>
      <c r="D109" s="13"/>
      <c r="E109" s="13"/>
      <c r="F109" s="13"/>
      <c r="G109" s="13"/>
      <c r="H109" s="13"/>
      <c r="I109" s="117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 spans="1:26">
      <c r="A110" s="13"/>
      <c r="B110" s="13"/>
      <c r="C110" s="13"/>
      <c r="D110" s="13"/>
      <c r="E110" s="13"/>
      <c r="F110" s="13"/>
      <c r="G110" s="13"/>
      <c r="H110" s="13"/>
      <c r="I110" s="117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 spans="1:26">
      <c r="A111" s="13"/>
      <c r="B111" s="13"/>
      <c r="C111" s="13"/>
      <c r="D111" s="13"/>
      <c r="E111" s="13"/>
      <c r="F111" s="13"/>
      <c r="G111" s="13"/>
      <c r="H111" s="13"/>
      <c r="I111" s="117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 spans="1:26">
      <c r="A112" s="13"/>
      <c r="B112" s="13"/>
      <c r="C112" s="13"/>
      <c r="D112" s="13"/>
      <c r="E112" s="13"/>
      <c r="F112" s="13"/>
      <c r="G112" s="13"/>
      <c r="H112" s="13"/>
      <c r="I112" s="117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 spans="1:26">
      <c r="A113" s="13"/>
      <c r="B113" s="13"/>
      <c r="C113" s="13"/>
      <c r="D113" s="13"/>
      <c r="E113" s="13"/>
      <c r="F113" s="13"/>
      <c r="G113" s="13"/>
      <c r="H113" s="13"/>
      <c r="I113" s="117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 spans="1:26">
      <c r="A114" s="13"/>
      <c r="B114" s="13"/>
      <c r="C114" s="13"/>
      <c r="D114" s="13"/>
      <c r="E114" s="13"/>
      <c r="F114" s="13"/>
      <c r="G114" s="13"/>
      <c r="H114" s="13"/>
      <c r="I114" s="117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 spans="1:26">
      <c r="A115" s="13"/>
      <c r="B115" s="13"/>
      <c r="C115" s="13"/>
      <c r="D115" s="13"/>
      <c r="E115" s="13"/>
      <c r="F115" s="13"/>
      <c r="G115" s="13"/>
      <c r="H115" s="13"/>
      <c r="I115" s="117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 spans="1:26">
      <c r="A116" s="13"/>
      <c r="B116" s="13"/>
      <c r="C116" s="13"/>
      <c r="D116" s="13"/>
      <c r="E116" s="13"/>
      <c r="F116" s="13"/>
      <c r="G116" s="13"/>
      <c r="H116" s="13"/>
      <c r="I116" s="117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 spans="1:26">
      <c r="A117" s="13"/>
      <c r="B117" s="13"/>
      <c r="C117" s="13"/>
      <c r="D117" s="13"/>
      <c r="E117" s="13"/>
      <c r="F117" s="13"/>
      <c r="G117" s="13"/>
      <c r="H117" s="13"/>
      <c r="I117" s="117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 spans="1:26">
      <c r="A118" s="13"/>
      <c r="B118" s="13"/>
      <c r="C118" s="13"/>
      <c r="D118" s="13"/>
      <c r="E118" s="13"/>
      <c r="F118" s="13"/>
      <c r="G118" s="13"/>
      <c r="H118" s="13"/>
      <c r="I118" s="117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 spans="1:26">
      <c r="A119" s="13"/>
      <c r="B119" s="13"/>
      <c r="C119" s="13"/>
      <c r="D119" s="13"/>
      <c r="E119" s="13"/>
      <c r="F119" s="13"/>
      <c r="G119" s="13"/>
      <c r="H119" s="13"/>
      <c r="I119" s="117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 spans="1:26">
      <c r="A120" s="13"/>
      <c r="B120" s="13"/>
      <c r="C120" s="13"/>
      <c r="D120" s="13"/>
      <c r="E120" s="13"/>
      <c r="F120" s="13"/>
      <c r="G120" s="13"/>
      <c r="H120" s="13"/>
      <c r="I120" s="117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 spans="1:26">
      <c r="A121" s="13"/>
      <c r="B121" s="13"/>
      <c r="C121" s="13"/>
      <c r="D121" s="13"/>
      <c r="E121" s="13"/>
      <c r="F121" s="13"/>
      <c r="G121" s="13"/>
      <c r="H121" s="13"/>
      <c r="I121" s="117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 spans="1:26">
      <c r="A122" s="13"/>
      <c r="B122" s="13"/>
      <c r="C122" s="13"/>
      <c r="D122" s="13"/>
      <c r="E122" s="13"/>
      <c r="F122" s="13"/>
      <c r="G122" s="13"/>
      <c r="H122" s="13"/>
      <c r="I122" s="117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 spans="1:26">
      <c r="A123" s="13"/>
      <c r="B123" s="13"/>
      <c r="C123" s="13"/>
      <c r="D123" s="13"/>
      <c r="E123" s="13"/>
      <c r="F123" s="13"/>
      <c r="G123" s="13"/>
      <c r="H123" s="13"/>
      <c r="I123" s="117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 spans="1:26">
      <c r="A124" s="13"/>
      <c r="B124" s="13"/>
      <c r="C124" s="13"/>
      <c r="D124" s="13"/>
      <c r="E124" s="13"/>
      <c r="F124" s="13"/>
      <c r="G124" s="13"/>
      <c r="H124" s="13"/>
      <c r="I124" s="117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 spans="1:26">
      <c r="A125" s="13"/>
      <c r="B125" s="13"/>
      <c r="C125" s="13"/>
      <c r="D125" s="13"/>
      <c r="E125" s="13"/>
      <c r="F125" s="13"/>
      <c r="G125" s="13"/>
      <c r="H125" s="13"/>
      <c r="I125" s="117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 spans="1:26">
      <c r="A126" s="13"/>
      <c r="B126" s="13"/>
      <c r="C126" s="13"/>
      <c r="D126" s="13"/>
      <c r="E126" s="13"/>
      <c r="F126" s="13"/>
      <c r="G126" s="13"/>
      <c r="H126" s="13"/>
      <c r="I126" s="117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 spans="1:26">
      <c r="A127" s="13"/>
      <c r="B127" s="13"/>
      <c r="C127" s="13"/>
      <c r="D127" s="13"/>
      <c r="E127" s="13"/>
      <c r="F127" s="13"/>
      <c r="G127" s="13"/>
      <c r="H127" s="13"/>
      <c r="I127" s="117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 spans="1:26">
      <c r="A128" s="13"/>
      <c r="B128" s="13"/>
      <c r="C128" s="13"/>
      <c r="D128" s="13"/>
      <c r="E128" s="13"/>
      <c r="F128" s="13"/>
      <c r="G128" s="13"/>
      <c r="H128" s="13"/>
      <c r="I128" s="117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 spans="1:26">
      <c r="A129" s="13"/>
      <c r="B129" s="13"/>
      <c r="C129" s="13"/>
      <c r="D129" s="13"/>
      <c r="E129" s="13"/>
      <c r="F129" s="13"/>
      <c r="G129" s="13"/>
      <c r="H129" s="13"/>
      <c r="I129" s="117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 spans="1:26">
      <c r="A130" s="13"/>
      <c r="B130" s="13"/>
      <c r="C130" s="13"/>
      <c r="D130" s="13"/>
      <c r="E130" s="13"/>
      <c r="F130" s="13"/>
      <c r="G130" s="13"/>
      <c r="H130" s="13"/>
      <c r="I130" s="117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 spans="1:26">
      <c r="A131" s="13"/>
      <c r="B131" s="13"/>
      <c r="C131" s="13"/>
      <c r="D131" s="13"/>
      <c r="E131" s="13"/>
      <c r="F131" s="13"/>
      <c r="G131" s="13"/>
      <c r="H131" s="13"/>
      <c r="I131" s="117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 spans="1:26">
      <c r="A132" s="13"/>
      <c r="B132" s="13"/>
      <c r="C132" s="13"/>
      <c r="D132" s="13"/>
      <c r="E132" s="13"/>
      <c r="F132" s="13"/>
      <c r="G132" s="13"/>
      <c r="H132" s="13"/>
      <c r="I132" s="117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 spans="1:26">
      <c r="A133" s="13"/>
      <c r="B133" s="13"/>
      <c r="C133" s="13"/>
      <c r="D133" s="13"/>
      <c r="E133" s="13"/>
      <c r="F133" s="13"/>
      <c r="G133" s="13"/>
      <c r="H133" s="13"/>
      <c r="I133" s="117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 spans="1:26">
      <c r="A134" s="13"/>
      <c r="B134" s="13"/>
      <c r="C134" s="13"/>
      <c r="D134" s="13"/>
      <c r="E134" s="13"/>
      <c r="F134" s="13"/>
      <c r="G134" s="13"/>
      <c r="H134" s="13"/>
      <c r="I134" s="117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 spans="1:26">
      <c r="A135" s="13"/>
      <c r="B135" s="13"/>
      <c r="C135" s="13"/>
      <c r="D135" s="13"/>
      <c r="E135" s="13"/>
      <c r="F135" s="13"/>
      <c r="G135" s="13"/>
      <c r="H135" s="13"/>
      <c r="I135" s="117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 spans="1:26">
      <c r="A136" s="13"/>
      <c r="B136" s="13"/>
      <c r="C136" s="13"/>
      <c r="D136" s="13"/>
      <c r="E136" s="13"/>
      <c r="F136" s="13"/>
      <c r="G136" s="13"/>
      <c r="H136" s="13"/>
      <c r="I136" s="117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 spans="1:26">
      <c r="A137" s="13"/>
      <c r="B137" s="13"/>
      <c r="C137" s="13"/>
      <c r="D137" s="13"/>
      <c r="E137" s="13"/>
      <c r="F137" s="13"/>
      <c r="G137" s="13"/>
      <c r="H137" s="13"/>
      <c r="I137" s="117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 spans="1:26">
      <c r="A138" s="13"/>
      <c r="B138" s="13"/>
      <c r="C138" s="13"/>
      <c r="D138" s="13"/>
      <c r="E138" s="13"/>
      <c r="F138" s="13"/>
      <c r="G138" s="13"/>
      <c r="H138" s="13"/>
      <c r="I138" s="117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 spans="1:26">
      <c r="A139" s="13"/>
      <c r="B139" s="13"/>
      <c r="C139" s="13"/>
      <c r="D139" s="13"/>
      <c r="E139" s="13"/>
      <c r="F139" s="13"/>
      <c r="G139" s="13"/>
      <c r="H139" s="13"/>
      <c r="I139" s="117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 spans="1:26">
      <c r="A140" s="13"/>
      <c r="B140" s="13"/>
      <c r="C140" s="13"/>
      <c r="D140" s="13"/>
      <c r="E140" s="13"/>
      <c r="F140" s="13"/>
      <c r="G140" s="13"/>
      <c r="H140" s="13"/>
      <c r="I140" s="117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 spans="1:26">
      <c r="A141" s="13"/>
      <c r="B141" s="13"/>
      <c r="C141" s="13"/>
      <c r="D141" s="13"/>
      <c r="E141" s="13"/>
      <c r="F141" s="13"/>
      <c r="G141" s="13"/>
      <c r="H141" s="13"/>
      <c r="I141" s="117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 spans="1:26">
      <c r="A142" s="13"/>
      <c r="B142" s="13"/>
      <c r="C142" s="13"/>
      <c r="D142" s="13"/>
      <c r="E142" s="13"/>
      <c r="F142" s="13"/>
      <c r="G142" s="13"/>
      <c r="H142" s="13"/>
      <c r="I142" s="117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 spans="1:26">
      <c r="A143" s="13"/>
      <c r="B143" s="13"/>
      <c r="C143" s="13"/>
      <c r="D143" s="13"/>
      <c r="E143" s="13"/>
      <c r="F143" s="13"/>
      <c r="G143" s="13"/>
      <c r="H143" s="13"/>
      <c r="I143" s="117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 spans="1:26">
      <c r="A144" s="13"/>
      <c r="B144" s="13"/>
      <c r="C144" s="13"/>
      <c r="D144" s="13"/>
      <c r="E144" s="13"/>
      <c r="F144" s="13"/>
      <c r="G144" s="13"/>
      <c r="H144" s="13"/>
      <c r="I144" s="117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 spans="1:26">
      <c r="A145" s="13"/>
      <c r="B145" s="13"/>
      <c r="C145" s="13"/>
      <c r="D145" s="13"/>
      <c r="E145" s="13"/>
      <c r="F145" s="13"/>
      <c r="G145" s="13"/>
      <c r="H145" s="13"/>
      <c r="I145" s="117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 spans="1:26">
      <c r="A146" s="13"/>
      <c r="B146" s="13"/>
      <c r="C146" s="13"/>
      <c r="D146" s="13"/>
      <c r="E146" s="13"/>
      <c r="F146" s="13"/>
      <c r="G146" s="13"/>
      <c r="H146" s="13"/>
      <c r="I146" s="117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 spans="1:26">
      <c r="A147" s="13"/>
      <c r="B147" s="13"/>
      <c r="C147" s="13"/>
      <c r="D147" s="13"/>
      <c r="E147" s="13"/>
      <c r="F147" s="13"/>
      <c r="G147" s="13"/>
      <c r="H147" s="13"/>
      <c r="I147" s="117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 spans="1:26">
      <c r="A148" s="13"/>
      <c r="B148" s="13"/>
      <c r="C148" s="13"/>
      <c r="D148" s="13"/>
      <c r="E148" s="13"/>
      <c r="F148" s="13"/>
      <c r="G148" s="13"/>
      <c r="H148" s="13"/>
      <c r="I148" s="117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 spans="1:26">
      <c r="A149" s="13"/>
      <c r="B149" s="13"/>
      <c r="C149" s="13"/>
      <c r="D149" s="13"/>
      <c r="E149" s="13"/>
      <c r="F149" s="13"/>
      <c r="G149" s="13"/>
      <c r="H149" s="13"/>
      <c r="I149" s="117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 spans="1:26">
      <c r="A150" s="13"/>
      <c r="B150" s="13"/>
      <c r="C150" s="13"/>
      <c r="D150" s="13"/>
      <c r="E150" s="13"/>
      <c r="F150" s="13"/>
      <c r="G150" s="13"/>
      <c r="H150" s="13"/>
      <c r="I150" s="117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 spans="1:26">
      <c r="A151" s="13"/>
      <c r="B151" s="13"/>
      <c r="C151" s="13"/>
      <c r="D151" s="13"/>
      <c r="E151" s="13"/>
      <c r="F151" s="13"/>
      <c r="G151" s="13"/>
      <c r="H151" s="13"/>
      <c r="I151" s="117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 spans="1:26">
      <c r="A152" s="13"/>
      <c r="B152" s="13"/>
      <c r="C152" s="13"/>
      <c r="D152" s="13"/>
      <c r="E152" s="13"/>
      <c r="F152" s="13"/>
      <c r="G152" s="13"/>
      <c r="H152" s="13"/>
      <c r="I152" s="117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 spans="1:26">
      <c r="A153" s="13"/>
      <c r="B153" s="13"/>
      <c r="C153" s="13"/>
      <c r="D153" s="13"/>
      <c r="E153" s="13"/>
      <c r="F153" s="13"/>
      <c r="G153" s="13"/>
      <c r="H153" s="13"/>
      <c r="I153" s="117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 spans="1:26">
      <c r="A154" s="13"/>
      <c r="B154" s="13"/>
      <c r="C154" s="13"/>
      <c r="D154" s="13"/>
      <c r="E154" s="13"/>
      <c r="F154" s="13"/>
      <c r="G154" s="13"/>
      <c r="H154" s="13"/>
      <c r="I154" s="117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 spans="1:26">
      <c r="A155" s="13"/>
      <c r="B155" s="13"/>
      <c r="C155" s="13"/>
      <c r="D155" s="13"/>
      <c r="E155" s="13"/>
      <c r="F155" s="13"/>
      <c r="G155" s="13"/>
      <c r="H155" s="13"/>
      <c r="I155" s="117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 spans="1:26">
      <c r="A156" s="13"/>
      <c r="B156" s="13"/>
      <c r="C156" s="13"/>
      <c r="D156" s="13"/>
      <c r="E156" s="13"/>
      <c r="F156" s="13"/>
      <c r="G156" s="13"/>
      <c r="H156" s="13"/>
      <c r="I156" s="117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 spans="1:26">
      <c r="A157" s="13"/>
      <c r="B157" s="13"/>
      <c r="C157" s="13"/>
      <c r="D157" s="13"/>
      <c r="E157" s="13"/>
      <c r="F157" s="13"/>
      <c r="G157" s="13"/>
      <c r="H157" s="13"/>
      <c r="I157" s="117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 spans="1:26">
      <c r="A158" s="13"/>
      <c r="B158" s="13"/>
      <c r="C158" s="13"/>
      <c r="D158" s="13"/>
      <c r="E158" s="13"/>
      <c r="F158" s="13"/>
      <c r="G158" s="13"/>
      <c r="H158" s="13"/>
      <c r="I158" s="117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 spans="1:26">
      <c r="A159" s="13"/>
      <c r="B159" s="13"/>
      <c r="C159" s="13"/>
      <c r="D159" s="13"/>
      <c r="E159" s="13"/>
      <c r="F159" s="13"/>
      <c r="G159" s="13"/>
      <c r="H159" s="13"/>
      <c r="I159" s="117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 spans="1:26">
      <c r="A160" s="13"/>
      <c r="B160" s="13"/>
      <c r="C160" s="13"/>
      <c r="D160" s="13"/>
      <c r="E160" s="13"/>
      <c r="F160" s="13"/>
      <c r="G160" s="13"/>
      <c r="H160" s="13"/>
      <c r="I160" s="117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 spans="1:26">
      <c r="A161" s="13"/>
      <c r="B161" s="13"/>
      <c r="C161" s="13"/>
      <c r="D161" s="13"/>
      <c r="E161" s="13"/>
      <c r="F161" s="13"/>
      <c r="G161" s="13"/>
      <c r="H161" s="13"/>
      <c r="I161" s="117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 spans="1:26">
      <c r="A162" s="13"/>
      <c r="B162" s="13"/>
      <c r="C162" s="13"/>
      <c r="D162" s="13"/>
      <c r="E162" s="13"/>
      <c r="F162" s="13"/>
      <c r="G162" s="13"/>
      <c r="H162" s="13"/>
      <c r="I162" s="117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 spans="1:26">
      <c r="A163" s="13"/>
      <c r="B163" s="13"/>
      <c r="C163" s="13"/>
      <c r="D163" s="13"/>
      <c r="E163" s="13"/>
      <c r="F163" s="13"/>
      <c r="G163" s="13"/>
      <c r="H163" s="13"/>
      <c r="I163" s="117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 spans="1:26">
      <c r="A164" s="13"/>
      <c r="B164" s="13"/>
      <c r="C164" s="13"/>
      <c r="D164" s="13"/>
      <c r="E164" s="13"/>
      <c r="F164" s="13"/>
      <c r="G164" s="13"/>
      <c r="H164" s="13"/>
      <c r="I164" s="117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 spans="1:26">
      <c r="A165" s="13"/>
      <c r="B165" s="13"/>
      <c r="C165" s="13"/>
      <c r="D165" s="13"/>
      <c r="E165" s="13"/>
      <c r="F165" s="13"/>
      <c r="G165" s="13"/>
      <c r="H165" s="13"/>
      <c r="I165" s="117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 spans="1:26">
      <c r="A166" s="13"/>
      <c r="B166" s="13"/>
      <c r="C166" s="13"/>
      <c r="D166" s="13"/>
      <c r="E166" s="13"/>
      <c r="F166" s="13"/>
      <c r="G166" s="13"/>
      <c r="H166" s="13"/>
      <c r="I166" s="117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 spans="1:26">
      <c r="A167" s="13"/>
      <c r="B167" s="13"/>
      <c r="C167" s="13"/>
      <c r="D167" s="13"/>
      <c r="E167" s="13"/>
      <c r="F167" s="13"/>
      <c r="G167" s="13"/>
      <c r="H167" s="13"/>
      <c r="I167" s="117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 spans="1:26">
      <c r="A168" s="13"/>
      <c r="B168" s="13"/>
      <c r="C168" s="13"/>
      <c r="D168" s="13"/>
      <c r="E168" s="13"/>
      <c r="F168" s="13"/>
      <c r="G168" s="13"/>
      <c r="H168" s="13"/>
      <c r="I168" s="117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 spans="1:26">
      <c r="A169" s="13"/>
      <c r="B169" s="13"/>
      <c r="C169" s="13"/>
      <c r="D169" s="13"/>
      <c r="E169" s="13"/>
      <c r="F169" s="13"/>
      <c r="G169" s="13"/>
      <c r="H169" s="13"/>
      <c r="I169" s="117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 spans="1:26">
      <c r="A170" s="13"/>
      <c r="B170" s="13"/>
      <c r="C170" s="13"/>
      <c r="D170" s="13"/>
      <c r="E170" s="13"/>
      <c r="F170" s="13"/>
      <c r="G170" s="13"/>
      <c r="H170" s="13"/>
      <c r="I170" s="117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 spans="1:26">
      <c r="A171" s="13"/>
      <c r="B171" s="13"/>
      <c r="C171" s="13"/>
      <c r="D171" s="13"/>
      <c r="E171" s="13"/>
      <c r="F171" s="13"/>
      <c r="G171" s="13"/>
      <c r="H171" s="13"/>
      <c r="I171" s="117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 spans="1:26">
      <c r="A172" s="13"/>
      <c r="B172" s="13"/>
      <c r="C172" s="13"/>
      <c r="D172" s="13"/>
      <c r="E172" s="13"/>
      <c r="F172" s="13"/>
      <c r="G172" s="13"/>
      <c r="H172" s="13"/>
      <c r="I172" s="117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 spans="1:26">
      <c r="A173" s="13"/>
      <c r="B173" s="13"/>
      <c r="C173" s="13"/>
      <c r="D173" s="13"/>
      <c r="E173" s="13"/>
      <c r="F173" s="13"/>
      <c r="G173" s="13"/>
      <c r="H173" s="13"/>
      <c r="I173" s="117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 spans="1:26">
      <c r="A174" s="13"/>
      <c r="B174" s="13"/>
      <c r="C174" s="13"/>
      <c r="D174" s="13"/>
      <c r="E174" s="13"/>
      <c r="F174" s="13"/>
      <c r="G174" s="13"/>
      <c r="H174" s="13"/>
      <c r="I174" s="117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 spans="1:26">
      <c r="A175" s="13"/>
      <c r="B175" s="13"/>
      <c r="C175" s="13"/>
      <c r="D175" s="13"/>
      <c r="E175" s="13"/>
      <c r="F175" s="13"/>
      <c r="G175" s="13"/>
      <c r="H175" s="13"/>
      <c r="I175" s="117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 spans="1:26">
      <c r="A176" s="13"/>
      <c r="B176" s="13"/>
      <c r="C176" s="13"/>
      <c r="D176" s="13"/>
      <c r="E176" s="13"/>
      <c r="F176" s="13"/>
      <c r="G176" s="13"/>
      <c r="H176" s="13"/>
      <c r="I176" s="117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 spans="1:26">
      <c r="A177" s="13"/>
      <c r="B177" s="13"/>
      <c r="C177" s="13"/>
      <c r="D177" s="13"/>
      <c r="E177" s="13"/>
      <c r="F177" s="13"/>
      <c r="G177" s="13"/>
      <c r="H177" s="13"/>
      <c r="I177" s="117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 spans="1:26">
      <c r="A178" s="13"/>
      <c r="B178" s="13"/>
      <c r="C178" s="13"/>
      <c r="D178" s="13"/>
      <c r="E178" s="13"/>
      <c r="F178" s="13"/>
      <c r="G178" s="13"/>
      <c r="H178" s="13"/>
      <c r="I178" s="117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 spans="1:26">
      <c r="A179" s="13"/>
      <c r="B179" s="13"/>
      <c r="C179" s="13"/>
      <c r="D179" s="13"/>
      <c r="E179" s="13"/>
      <c r="F179" s="13"/>
      <c r="G179" s="13"/>
      <c r="H179" s="13"/>
      <c r="I179" s="117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 spans="1:26">
      <c r="A180" s="13"/>
      <c r="B180" s="13"/>
      <c r="C180" s="13"/>
      <c r="D180" s="13"/>
      <c r="E180" s="13"/>
      <c r="F180" s="13"/>
      <c r="G180" s="13"/>
      <c r="H180" s="13"/>
      <c r="I180" s="117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 spans="1:26">
      <c r="A181" s="13"/>
      <c r="B181" s="13"/>
      <c r="C181" s="13"/>
      <c r="D181" s="13"/>
      <c r="E181" s="13"/>
      <c r="F181" s="13"/>
      <c r="G181" s="13"/>
      <c r="H181" s="13"/>
      <c r="I181" s="117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 spans="1:26">
      <c r="A182" s="13"/>
      <c r="B182" s="13"/>
      <c r="C182" s="13"/>
      <c r="D182" s="13"/>
      <c r="E182" s="13"/>
      <c r="F182" s="13"/>
      <c r="G182" s="13"/>
      <c r="H182" s="13"/>
      <c r="I182" s="117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 spans="1:26">
      <c r="A183" s="13"/>
      <c r="B183" s="13"/>
      <c r="C183" s="13"/>
      <c r="D183" s="13"/>
      <c r="E183" s="13"/>
      <c r="F183" s="13"/>
      <c r="G183" s="13"/>
      <c r="H183" s="13"/>
      <c r="I183" s="117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 spans="1:26">
      <c r="A184" s="13"/>
      <c r="B184" s="13"/>
      <c r="C184" s="13"/>
      <c r="D184" s="13"/>
      <c r="E184" s="13"/>
      <c r="F184" s="13"/>
      <c r="G184" s="13"/>
      <c r="H184" s="13"/>
      <c r="I184" s="117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 spans="1:26">
      <c r="A185" s="13"/>
      <c r="B185" s="13"/>
      <c r="C185" s="13"/>
      <c r="D185" s="13"/>
      <c r="E185" s="13"/>
      <c r="F185" s="13"/>
      <c r="G185" s="13"/>
      <c r="H185" s="13"/>
      <c r="I185" s="117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 spans="1:26">
      <c r="A186" s="13"/>
      <c r="B186" s="13"/>
      <c r="C186" s="13"/>
      <c r="D186" s="13"/>
      <c r="E186" s="13"/>
      <c r="F186" s="13"/>
      <c r="G186" s="13"/>
      <c r="H186" s="13"/>
      <c r="I186" s="117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 spans="1:26">
      <c r="A187" s="13"/>
      <c r="B187" s="13"/>
      <c r="C187" s="13"/>
      <c r="D187" s="13"/>
      <c r="E187" s="13"/>
      <c r="F187" s="13"/>
      <c r="G187" s="13"/>
      <c r="H187" s="13"/>
      <c r="I187" s="117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 spans="1:26">
      <c r="A188" s="13"/>
      <c r="B188" s="13"/>
      <c r="C188" s="13"/>
      <c r="D188" s="13"/>
      <c r="E188" s="13"/>
      <c r="F188" s="13"/>
      <c r="G188" s="13"/>
      <c r="H188" s="13"/>
      <c r="I188" s="117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 spans="1:26">
      <c r="A189" s="13"/>
      <c r="B189" s="13"/>
      <c r="C189" s="13"/>
      <c r="D189" s="13"/>
      <c r="E189" s="13"/>
      <c r="F189" s="13"/>
      <c r="G189" s="13"/>
      <c r="H189" s="13"/>
      <c r="I189" s="117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 spans="1:26">
      <c r="A190" s="13"/>
      <c r="B190" s="13"/>
      <c r="C190" s="13"/>
      <c r="D190" s="13"/>
      <c r="E190" s="13"/>
      <c r="F190" s="13"/>
      <c r="G190" s="13"/>
      <c r="H190" s="13"/>
      <c r="I190" s="117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 spans="1:26">
      <c r="A191" s="13"/>
      <c r="B191" s="13"/>
      <c r="C191" s="13"/>
      <c r="D191" s="13"/>
      <c r="E191" s="13"/>
      <c r="F191" s="13"/>
      <c r="G191" s="13"/>
      <c r="H191" s="13"/>
      <c r="I191" s="117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 spans="1:26">
      <c r="A192" s="13"/>
      <c r="B192" s="13"/>
      <c r="C192" s="13"/>
      <c r="D192" s="13"/>
      <c r="E192" s="13"/>
      <c r="F192" s="13"/>
      <c r="G192" s="13"/>
      <c r="H192" s="13"/>
      <c r="I192" s="117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 spans="1:26">
      <c r="A193" s="13"/>
      <c r="B193" s="13"/>
      <c r="C193" s="13"/>
      <c r="D193" s="13"/>
      <c r="E193" s="13"/>
      <c r="F193" s="13"/>
      <c r="G193" s="13"/>
      <c r="H193" s="13"/>
      <c r="I193" s="117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 spans="1:26">
      <c r="A194" s="13"/>
      <c r="B194" s="13"/>
      <c r="C194" s="13"/>
      <c r="D194" s="13"/>
      <c r="E194" s="13"/>
      <c r="F194" s="13"/>
      <c r="G194" s="13"/>
      <c r="H194" s="13"/>
      <c r="I194" s="117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 spans="1:26">
      <c r="A195" s="13"/>
      <c r="B195" s="13"/>
      <c r="C195" s="13"/>
      <c r="D195" s="13"/>
      <c r="E195" s="13"/>
      <c r="F195" s="13"/>
      <c r="G195" s="13"/>
      <c r="H195" s="13"/>
      <c r="I195" s="117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 spans="1:26">
      <c r="A196" s="13"/>
      <c r="B196" s="13"/>
      <c r="C196" s="13"/>
      <c r="D196" s="13"/>
      <c r="E196" s="13"/>
      <c r="F196" s="13"/>
      <c r="G196" s="13"/>
      <c r="H196" s="13"/>
      <c r="I196" s="117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 spans="1:26">
      <c r="A197" s="13"/>
      <c r="B197" s="13"/>
      <c r="C197" s="13"/>
      <c r="D197" s="13"/>
      <c r="E197" s="13"/>
      <c r="F197" s="13"/>
      <c r="G197" s="13"/>
      <c r="H197" s="13"/>
      <c r="I197" s="117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 spans="1:26">
      <c r="A198" s="13"/>
      <c r="B198" s="13"/>
      <c r="C198" s="13"/>
      <c r="D198" s="13"/>
      <c r="E198" s="13"/>
      <c r="F198" s="13"/>
      <c r="G198" s="13"/>
      <c r="H198" s="13"/>
      <c r="I198" s="117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 spans="1:26">
      <c r="A199" s="13"/>
      <c r="B199" s="13"/>
      <c r="C199" s="13"/>
      <c r="D199" s="13"/>
      <c r="E199" s="13"/>
      <c r="F199" s="13"/>
      <c r="G199" s="13"/>
      <c r="H199" s="13"/>
      <c r="I199" s="117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 spans="1:26">
      <c r="A200" s="13"/>
      <c r="B200" s="13"/>
      <c r="C200" s="13"/>
      <c r="D200" s="13"/>
      <c r="E200" s="13"/>
      <c r="F200" s="13"/>
      <c r="G200" s="13"/>
      <c r="H200" s="13"/>
      <c r="I200" s="117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 spans="1:26">
      <c r="A201" s="13"/>
      <c r="B201" s="13"/>
      <c r="C201" s="13"/>
      <c r="D201" s="13"/>
      <c r="E201" s="13"/>
      <c r="F201" s="13"/>
      <c r="G201" s="13"/>
      <c r="H201" s="13"/>
      <c r="I201" s="117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 spans="1:26">
      <c r="A202" s="13"/>
      <c r="B202" s="13"/>
      <c r="C202" s="13"/>
      <c r="D202" s="13"/>
      <c r="E202" s="13"/>
      <c r="F202" s="13"/>
      <c r="G202" s="13"/>
      <c r="H202" s="13"/>
      <c r="I202" s="117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 spans="1:26">
      <c r="A203" s="13"/>
      <c r="B203" s="13"/>
      <c r="C203" s="13"/>
      <c r="D203" s="13"/>
      <c r="E203" s="13"/>
      <c r="F203" s="13"/>
      <c r="G203" s="13"/>
      <c r="H203" s="13"/>
      <c r="I203" s="117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 spans="1:26">
      <c r="A204" s="13"/>
      <c r="B204" s="13"/>
      <c r="C204" s="13"/>
      <c r="D204" s="13"/>
      <c r="E204" s="13"/>
      <c r="F204" s="13"/>
      <c r="G204" s="13"/>
      <c r="H204" s="13"/>
      <c r="I204" s="117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 spans="1:26">
      <c r="A205" s="13"/>
      <c r="B205" s="13"/>
      <c r="C205" s="13"/>
      <c r="D205" s="13"/>
      <c r="E205" s="13"/>
      <c r="F205" s="13"/>
      <c r="G205" s="13"/>
      <c r="H205" s="13"/>
      <c r="I205" s="117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 spans="1:26">
      <c r="A206" s="13"/>
      <c r="B206" s="13"/>
      <c r="C206" s="13"/>
      <c r="D206" s="13"/>
      <c r="E206" s="13"/>
      <c r="F206" s="13"/>
      <c r="G206" s="13"/>
      <c r="H206" s="13"/>
      <c r="I206" s="117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 spans="1:26">
      <c r="A207" s="13"/>
      <c r="B207" s="13"/>
      <c r="C207" s="13"/>
      <c r="D207" s="13"/>
      <c r="E207" s="13"/>
      <c r="F207" s="13"/>
      <c r="G207" s="13"/>
      <c r="H207" s="13"/>
      <c r="I207" s="117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 spans="1:26">
      <c r="A208" s="13"/>
      <c r="B208" s="13"/>
      <c r="C208" s="13"/>
      <c r="D208" s="13"/>
      <c r="E208" s="13"/>
      <c r="F208" s="13"/>
      <c r="G208" s="13"/>
      <c r="H208" s="13"/>
      <c r="I208" s="117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 spans="1:26">
      <c r="A209" s="13"/>
      <c r="B209" s="13"/>
      <c r="C209" s="13"/>
      <c r="D209" s="13"/>
      <c r="E209" s="13"/>
      <c r="F209" s="13"/>
      <c r="G209" s="13"/>
      <c r="H209" s="13"/>
      <c r="I209" s="117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 spans="1:26">
      <c r="A210" s="13"/>
      <c r="B210" s="13"/>
      <c r="C210" s="13"/>
      <c r="D210" s="13"/>
      <c r="E210" s="13"/>
      <c r="F210" s="13"/>
      <c r="G210" s="13"/>
      <c r="H210" s="13"/>
      <c r="I210" s="117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 spans="1:26">
      <c r="A211" s="13"/>
      <c r="B211" s="13"/>
      <c r="C211" s="13"/>
      <c r="D211" s="13"/>
      <c r="E211" s="13"/>
      <c r="F211" s="13"/>
      <c r="G211" s="13"/>
      <c r="H211" s="13"/>
      <c r="I211" s="117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 spans="1:26">
      <c r="A212" s="13"/>
      <c r="B212" s="13"/>
      <c r="C212" s="13"/>
      <c r="D212" s="13"/>
      <c r="E212" s="13"/>
      <c r="F212" s="13"/>
      <c r="G212" s="13"/>
      <c r="H212" s="13"/>
      <c r="I212" s="117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 spans="1:26">
      <c r="A213" s="13"/>
      <c r="B213" s="13"/>
      <c r="C213" s="13"/>
      <c r="D213" s="13"/>
      <c r="E213" s="13"/>
      <c r="F213" s="13"/>
      <c r="G213" s="13"/>
      <c r="H213" s="13"/>
      <c r="I213" s="117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 spans="1:26">
      <c r="A214" s="13"/>
      <c r="B214" s="13"/>
      <c r="C214" s="13"/>
      <c r="D214" s="13"/>
      <c r="E214" s="13"/>
      <c r="F214" s="13"/>
      <c r="G214" s="13"/>
      <c r="H214" s="13"/>
      <c r="I214" s="117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 spans="1:26">
      <c r="A215" s="13"/>
      <c r="B215" s="13"/>
      <c r="C215" s="13"/>
      <c r="D215" s="13"/>
      <c r="E215" s="13"/>
      <c r="F215" s="13"/>
      <c r="G215" s="13"/>
      <c r="H215" s="13"/>
      <c r="I215" s="117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 spans="1:26">
      <c r="A216" s="13"/>
      <c r="B216" s="13"/>
      <c r="C216" s="13"/>
      <c r="D216" s="13"/>
      <c r="E216" s="13"/>
      <c r="F216" s="13"/>
      <c r="G216" s="13"/>
      <c r="H216" s="13"/>
      <c r="I216" s="117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 spans="1:26">
      <c r="A217" s="13"/>
      <c r="B217" s="13"/>
      <c r="C217" s="13"/>
      <c r="D217" s="13"/>
      <c r="E217" s="13"/>
      <c r="F217" s="13"/>
      <c r="G217" s="13"/>
      <c r="H217" s="13"/>
      <c r="I217" s="117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 spans="1:26">
      <c r="A218" s="13"/>
      <c r="B218" s="13"/>
      <c r="C218" s="13"/>
      <c r="D218" s="13"/>
      <c r="E218" s="13"/>
      <c r="F218" s="13"/>
      <c r="G218" s="13"/>
      <c r="H218" s="13"/>
      <c r="I218" s="117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 spans="1:26">
      <c r="A219" s="13"/>
      <c r="B219" s="13"/>
      <c r="C219" s="13"/>
      <c r="D219" s="13"/>
      <c r="E219" s="13"/>
      <c r="F219" s="13"/>
      <c r="G219" s="13"/>
      <c r="H219" s="13"/>
      <c r="I219" s="117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 spans="1:26">
      <c r="A220" s="13"/>
      <c r="B220" s="13"/>
      <c r="C220" s="13"/>
      <c r="D220" s="13"/>
      <c r="E220" s="13"/>
      <c r="F220" s="13"/>
      <c r="G220" s="13"/>
      <c r="H220" s="13"/>
      <c r="I220" s="117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 spans="1:26">
      <c r="A221" s="13"/>
      <c r="B221" s="13"/>
      <c r="C221" s="13"/>
      <c r="D221" s="13"/>
      <c r="E221" s="13"/>
      <c r="F221" s="13"/>
      <c r="G221" s="13"/>
      <c r="H221" s="13"/>
      <c r="I221" s="117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 spans="1:26">
      <c r="A222" s="13"/>
      <c r="B222" s="13"/>
      <c r="C222" s="13"/>
      <c r="D222" s="13"/>
      <c r="E222" s="13"/>
      <c r="F222" s="13"/>
      <c r="G222" s="13"/>
      <c r="H222" s="13"/>
      <c r="I222" s="117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 spans="1:26">
      <c r="A223" s="13"/>
      <c r="B223" s="13"/>
      <c r="C223" s="13"/>
      <c r="D223" s="13"/>
      <c r="E223" s="13"/>
      <c r="F223" s="13"/>
      <c r="G223" s="13"/>
      <c r="H223" s="13"/>
      <c r="I223" s="117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 spans="1:26">
      <c r="A224" s="13"/>
      <c r="B224" s="13"/>
      <c r="C224" s="13"/>
      <c r="D224" s="13"/>
      <c r="E224" s="13"/>
      <c r="F224" s="13"/>
      <c r="G224" s="13"/>
      <c r="H224" s="13"/>
      <c r="I224" s="117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 spans="1:26">
      <c r="A225" s="13"/>
      <c r="B225" s="13"/>
      <c r="C225" s="13"/>
      <c r="D225" s="13"/>
      <c r="E225" s="13"/>
      <c r="F225" s="13"/>
      <c r="G225" s="13"/>
      <c r="H225" s="13"/>
      <c r="I225" s="117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 spans="1:26">
      <c r="A226" s="13"/>
      <c r="B226" s="13"/>
      <c r="C226" s="13"/>
      <c r="D226" s="13"/>
      <c r="E226" s="13"/>
      <c r="F226" s="13"/>
      <c r="G226" s="13"/>
      <c r="H226" s="13"/>
      <c r="I226" s="117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 spans="1:26">
      <c r="A227" s="13"/>
      <c r="B227" s="13"/>
      <c r="C227" s="13"/>
      <c r="D227" s="13"/>
      <c r="E227" s="13"/>
      <c r="F227" s="13"/>
      <c r="G227" s="13"/>
      <c r="H227" s="13"/>
      <c r="I227" s="117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 spans="1:26">
      <c r="A228" s="13"/>
      <c r="B228" s="13"/>
      <c r="C228" s="13"/>
      <c r="D228" s="13"/>
      <c r="E228" s="13"/>
      <c r="F228" s="13"/>
      <c r="G228" s="13"/>
      <c r="H228" s="13"/>
      <c r="I228" s="117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 spans="1:26">
      <c r="A229" s="13"/>
      <c r="B229" s="13"/>
      <c r="C229" s="13"/>
      <c r="D229" s="13"/>
      <c r="E229" s="13"/>
      <c r="F229" s="13"/>
      <c r="G229" s="13"/>
      <c r="H229" s="13"/>
      <c r="I229" s="117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 spans="1:26">
      <c r="A230" s="13"/>
      <c r="B230" s="13"/>
      <c r="C230" s="13"/>
      <c r="D230" s="13"/>
      <c r="E230" s="13"/>
      <c r="F230" s="13"/>
      <c r="G230" s="13"/>
      <c r="H230" s="13"/>
      <c r="I230" s="117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 spans="1:26">
      <c r="A231" s="13"/>
      <c r="B231" s="13"/>
      <c r="C231" s="13"/>
      <c r="D231" s="13"/>
      <c r="E231" s="13"/>
      <c r="F231" s="13"/>
      <c r="G231" s="13"/>
      <c r="H231" s="13"/>
      <c r="I231" s="117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 spans="1:26">
      <c r="A232" s="13"/>
      <c r="B232" s="13"/>
      <c r="C232" s="13"/>
      <c r="D232" s="13"/>
      <c r="E232" s="13"/>
      <c r="F232" s="13"/>
      <c r="G232" s="13"/>
      <c r="H232" s="13"/>
      <c r="I232" s="117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 spans="1:26">
      <c r="A233" s="13"/>
      <c r="B233" s="13"/>
      <c r="C233" s="13"/>
      <c r="D233" s="13"/>
      <c r="E233" s="13"/>
      <c r="F233" s="13"/>
      <c r="G233" s="13"/>
      <c r="H233" s="13"/>
      <c r="I233" s="117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 spans="1:26">
      <c r="A234" s="13"/>
      <c r="B234" s="13"/>
      <c r="C234" s="13"/>
      <c r="D234" s="13"/>
      <c r="E234" s="13"/>
      <c r="F234" s="13"/>
      <c r="G234" s="13"/>
      <c r="H234" s="13"/>
      <c r="I234" s="117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 spans="1:26">
      <c r="A235" s="13"/>
      <c r="B235" s="13"/>
      <c r="C235" s="13"/>
      <c r="D235" s="13"/>
      <c r="E235" s="13"/>
      <c r="F235" s="13"/>
      <c r="G235" s="13"/>
      <c r="H235" s="13"/>
      <c r="I235" s="117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 spans="1:26">
      <c r="A236" s="13"/>
      <c r="B236" s="13"/>
      <c r="C236" s="13"/>
      <c r="D236" s="13"/>
      <c r="E236" s="13"/>
      <c r="F236" s="13"/>
      <c r="G236" s="13"/>
      <c r="H236" s="13"/>
      <c r="I236" s="117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 spans="1:26">
      <c r="A237" s="13"/>
      <c r="B237" s="13"/>
      <c r="C237" s="13"/>
      <c r="D237" s="13"/>
      <c r="E237" s="13"/>
      <c r="F237" s="13"/>
      <c r="G237" s="13"/>
      <c r="H237" s="13"/>
      <c r="I237" s="117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 spans="1:26">
      <c r="A238" s="13"/>
      <c r="B238" s="13"/>
      <c r="C238" s="13"/>
      <c r="D238" s="13"/>
      <c r="E238" s="13"/>
      <c r="F238" s="13"/>
      <c r="G238" s="13"/>
      <c r="H238" s="13"/>
      <c r="I238" s="117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 spans="1:26">
      <c r="A239" s="13"/>
      <c r="B239" s="13"/>
      <c r="C239" s="13"/>
      <c r="D239" s="13"/>
      <c r="E239" s="13"/>
      <c r="F239" s="13"/>
      <c r="G239" s="13"/>
      <c r="H239" s="13"/>
      <c r="I239" s="117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 spans="1:26">
      <c r="A240" s="13"/>
      <c r="B240" s="13"/>
      <c r="C240" s="13"/>
      <c r="D240" s="13"/>
      <c r="E240" s="13"/>
      <c r="F240" s="13"/>
      <c r="G240" s="13"/>
      <c r="H240" s="13"/>
      <c r="I240" s="117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 spans="1:26">
      <c r="A241" s="13"/>
      <c r="B241" s="13"/>
      <c r="C241" s="13"/>
      <c r="D241" s="13"/>
      <c r="E241" s="13"/>
      <c r="F241" s="13"/>
      <c r="G241" s="13"/>
      <c r="H241" s="13"/>
      <c r="I241" s="117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 spans="1:26">
      <c r="A242" s="13"/>
      <c r="B242" s="13"/>
      <c r="C242" s="13"/>
      <c r="D242" s="13"/>
      <c r="E242" s="13"/>
      <c r="F242" s="13"/>
      <c r="G242" s="13"/>
      <c r="H242" s="13"/>
      <c r="I242" s="117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 spans="1:26">
      <c r="A243" s="13"/>
      <c r="B243" s="13"/>
      <c r="C243" s="13"/>
      <c r="D243" s="13"/>
      <c r="E243" s="13"/>
      <c r="F243" s="13"/>
      <c r="G243" s="13"/>
      <c r="H243" s="13"/>
      <c r="I243" s="117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 spans="1:26">
      <c r="A244" s="13"/>
      <c r="B244" s="13"/>
      <c r="C244" s="13"/>
      <c r="D244" s="13"/>
      <c r="E244" s="13"/>
      <c r="F244" s="13"/>
      <c r="G244" s="13"/>
      <c r="H244" s="13"/>
      <c r="I244" s="117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 spans="1:26">
      <c r="A245" s="13"/>
      <c r="B245" s="13"/>
      <c r="C245" s="13"/>
      <c r="D245" s="13"/>
      <c r="E245" s="13"/>
      <c r="F245" s="13"/>
      <c r="G245" s="13"/>
      <c r="H245" s="13"/>
      <c r="I245" s="117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 spans="1:26">
      <c r="A246" s="13"/>
      <c r="B246" s="13"/>
      <c r="C246" s="13"/>
      <c r="D246" s="13"/>
      <c r="E246" s="13"/>
      <c r="F246" s="13"/>
      <c r="G246" s="13"/>
      <c r="H246" s="13"/>
      <c r="I246" s="117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 spans="1:26">
      <c r="A247" s="13"/>
      <c r="B247" s="13"/>
      <c r="C247" s="13"/>
      <c r="D247" s="13"/>
      <c r="E247" s="13"/>
      <c r="F247" s="13"/>
      <c r="G247" s="13"/>
      <c r="H247" s="13"/>
      <c r="I247" s="117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 spans="1:26">
      <c r="A248" s="13"/>
      <c r="B248" s="13"/>
      <c r="C248" s="13"/>
      <c r="D248" s="13"/>
      <c r="E248" s="13"/>
      <c r="F248" s="13"/>
      <c r="G248" s="13"/>
      <c r="H248" s="13"/>
      <c r="I248" s="117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 spans="1:26">
      <c r="A249" s="13"/>
      <c r="B249" s="13"/>
      <c r="C249" s="13"/>
      <c r="D249" s="13"/>
      <c r="E249" s="13"/>
      <c r="F249" s="13"/>
      <c r="G249" s="13"/>
      <c r="H249" s="13"/>
      <c r="I249" s="117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 spans="1:26">
      <c r="A250" s="13"/>
      <c r="B250" s="13"/>
      <c r="C250" s="13"/>
      <c r="D250" s="13"/>
      <c r="E250" s="13"/>
      <c r="F250" s="13"/>
      <c r="G250" s="13"/>
      <c r="H250" s="13"/>
      <c r="I250" s="117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 spans="1:26">
      <c r="A251" s="13"/>
      <c r="B251" s="13"/>
      <c r="C251" s="13"/>
      <c r="D251" s="13"/>
      <c r="E251" s="13"/>
      <c r="F251" s="13"/>
      <c r="G251" s="13"/>
      <c r="H251" s="13"/>
      <c r="I251" s="117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 spans="1:26">
      <c r="A252" s="13"/>
      <c r="B252" s="13"/>
      <c r="C252" s="13"/>
      <c r="D252" s="13"/>
      <c r="E252" s="13"/>
      <c r="F252" s="13"/>
      <c r="G252" s="13"/>
      <c r="H252" s="13"/>
      <c r="I252" s="117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 spans="1:26">
      <c r="A253" s="13"/>
      <c r="B253" s="13"/>
      <c r="C253" s="13"/>
      <c r="D253" s="13"/>
      <c r="E253" s="13"/>
      <c r="F253" s="13"/>
      <c r="G253" s="13"/>
      <c r="H253" s="13"/>
      <c r="I253" s="117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 spans="1:26">
      <c r="A254" s="13"/>
      <c r="B254" s="13"/>
      <c r="C254" s="13"/>
      <c r="D254" s="13"/>
      <c r="E254" s="13"/>
      <c r="F254" s="13"/>
      <c r="G254" s="13"/>
      <c r="H254" s="13"/>
      <c r="I254" s="117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 spans="1:26">
      <c r="A255" s="13"/>
      <c r="B255" s="13"/>
      <c r="C255" s="13"/>
      <c r="D255" s="13"/>
      <c r="E255" s="13"/>
      <c r="F255" s="13"/>
      <c r="G255" s="13"/>
      <c r="H255" s="13"/>
      <c r="I255" s="117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 spans="1:26">
      <c r="A256" s="13"/>
      <c r="B256" s="13"/>
      <c r="C256" s="13"/>
      <c r="D256" s="13"/>
      <c r="E256" s="13"/>
      <c r="F256" s="13"/>
      <c r="G256" s="13"/>
      <c r="H256" s="13"/>
      <c r="I256" s="117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 spans="1:26">
      <c r="A257" s="13"/>
      <c r="B257" s="13"/>
      <c r="C257" s="13"/>
      <c r="D257" s="13"/>
      <c r="E257" s="13"/>
      <c r="F257" s="13"/>
      <c r="G257" s="13"/>
      <c r="H257" s="13"/>
      <c r="I257" s="117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 spans="1:26">
      <c r="A258" s="13"/>
      <c r="B258" s="13"/>
      <c r="C258" s="13"/>
      <c r="D258" s="13"/>
      <c r="E258" s="13"/>
      <c r="F258" s="13"/>
      <c r="G258" s="13"/>
      <c r="H258" s="13"/>
      <c r="I258" s="117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 spans="1:26">
      <c r="A259" s="13"/>
      <c r="B259" s="13"/>
      <c r="C259" s="13"/>
      <c r="D259" s="13"/>
      <c r="E259" s="13"/>
      <c r="F259" s="13"/>
      <c r="G259" s="13"/>
      <c r="H259" s="13"/>
      <c r="I259" s="117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 spans="1:26">
      <c r="A260" s="13"/>
      <c r="B260" s="13"/>
      <c r="C260" s="13"/>
      <c r="D260" s="13"/>
      <c r="E260" s="13"/>
      <c r="F260" s="13"/>
      <c r="G260" s="13"/>
      <c r="H260" s="13"/>
      <c r="I260" s="117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 spans="1:26">
      <c r="A261" s="13"/>
      <c r="B261" s="13"/>
      <c r="C261" s="13"/>
      <c r="D261" s="13"/>
      <c r="E261" s="13"/>
      <c r="F261" s="13"/>
      <c r="G261" s="13"/>
      <c r="H261" s="13"/>
      <c r="I261" s="117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 spans="1:26">
      <c r="A262" s="13"/>
      <c r="B262" s="13"/>
      <c r="C262" s="13"/>
      <c r="D262" s="13"/>
      <c r="E262" s="13"/>
      <c r="F262" s="13"/>
      <c r="G262" s="13"/>
      <c r="H262" s="13"/>
      <c r="I262" s="117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 spans="1:26">
      <c r="A263" s="13"/>
      <c r="B263" s="13"/>
      <c r="C263" s="13"/>
      <c r="D263" s="13"/>
      <c r="E263" s="13"/>
      <c r="F263" s="13"/>
      <c r="G263" s="13"/>
      <c r="H263" s="13"/>
      <c r="I263" s="117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 spans="1:26">
      <c r="A264" s="13"/>
      <c r="B264" s="13"/>
      <c r="C264" s="13"/>
      <c r="D264" s="13"/>
      <c r="E264" s="13"/>
      <c r="F264" s="13"/>
      <c r="G264" s="13"/>
      <c r="H264" s="13"/>
      <c r="I264" s="117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 spans="1:26">
      <c r="A265" s="13"/>
      <c r="B265" s="13"/>
      <c r="C265" s="13"/>
      <c r="D265" s="13"/>
      <c r="E265" s="13"/>
      <c r="F265" s="13"/>
      <c r="G265" s="13"/>
      <c r="H265" s="13"/>
      <c r="I265" s="117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 spans="1:26">
      <c r="A266" s="13"/>
      <c r="B266" s="13"/>
      <c r="C266" s="13"/>
      <c r="D266" s="13"/>
      <c r="E266" s="13"/>
      <c r="F266" s="13"/>
      <c r="G266" s="13"/>
      <c r="H266" s="13"/>
      <c r="I266" s="117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 spans="1:26">
      <c r="A267" s="13"/>
      <c r="B267" s="13"/>
      <c r="C267" s="13"/>
      <c r="D267" s="13"/>
      <c r="E267" s="13"/>
      <c r="F267" s="13"/>
      <c r="G267" s="13"/>
      <c r="H267" s="13"/>
      <c r="I267" s="117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 spans="1:26">
      <c r="A268" s="13"/>
      <c r="B268" s="13"/>
      <c r="C268" s="13"/>
      <c r="D268" s="13"/>
      <c r="E268" s="13"/>
      <c r="F268" s="13"/>
      <c r="G268" s="13"/>
      <c r="H268" s="13"/>
      <c r="I268" s="117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 spans="1:26">
      <c r="A269" s="13"/>
      <c r="B269" s="13"/>
      <c r="C269" s="13"/>
      <c r="D269" s="13"/>
      <c r="E269" s="13"/>
      <c r="F269" s="13"/>
      <c r="G269" s="13"/>
      <c r="H269" s="13"/>
      <c r="I269" s="117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 spans="1:26">
      <c r="A270" s="13"/>
      <c r="B270" s="13"/>
      <c r="C270" s="13"/>
      <c r="D270" s="13"/>
      <c r="E270" s="13"/>
      <c r="F270" s="13"/>
      <c r="G270" s="13"/>
      <c r="H270" s="13"/>
      <c r="I270" s="117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 spans="1:26">
      <c r="A271" s="13"/>
      <c r="B271" s="13"/>
      <c r="C271" s="13"/>
      <c r="D271" s="13"/>
      <c r="E271" s="13"/>
      <c r="F271" s="13"/>
      <c r="G271" s="13"/>
      <c r="H271" s="13"/>
      <c r="I271" s="117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 spans="1:26">
      <c r="A272" s="13"/>
      <c r="B272" s="13"/>
      <c r="C272" s="13"/>
      <c r="D272" s="13"/>
      <c r="E272" s="13"/>
      <c r="F272" s="13"/>
      <c r="G272" s="13"/>
      <c r="H272" s="13"/>
      <c r="I272" s="117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 spans="1:26">
      <c r="A273" s="13"/>
      <c r="B273" s="13"/>
      <c r="C273" s="13"/>
      <c r="D273" s="13"/>
      <c r="E273" s="13"/>
      <c r="F273" s="13"/>
      <c r="G273" s="13"/>
      <c r="H273" s="13"/>
      <c r="I273" s="117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 spans="1:26">
      <c r="A274" s="13"/>
      <c r="B274" s="13"/>
      <c r="C274" s="13"/>
      <c r="D274" s="13"/>
      <c r="E274" s="13"/>
      <c r="F274" s="13"/>
      <c r="G274" s="13"/>
      <c r="H274" s="13"/>
      <c r="I274" s="117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 spans="1:26">
      <c r="A275" s="13"/>
      <c r="B275" s="13"/>
      <c r="C275" s="13"/>
      <c r="D275" s="13"/>
      <c r="E275" s="13"/>
      <c r="F275" s="13"/>
      <c r="G275" s="13"/>
      <c r="H275" s="13"/>
      <c r="I275" s="117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 spans="1:26">
      <c r="A276" s="13"/>
      <c r="B276" s="13"/>
      <c r="C276" s="13"/>
      <c r="D276" s="13"/>
      <c r="E276" s="13"/>
      <c r="F276" s="13"/>
      <c r="G276" s="13"/>
      <c r="H276" s="13"/>
      <c r="I276" s="117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 spans="1:26">
      <c r="A277" s="13"/>
      <c r="B277" s="13"/>
      <c r="C277" s="13"/>
      <c r="D277" s="13"/>
      <c r="E277" s="13"/>
      <c r="F277" s="13"/>
      <c r="G277" s="13"/>
      <c r="H277" s="13"/>
      <c r="I277" s="117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 spans="1:26">
      <c r="A278" s="13"/>
      <c r="B278" s="13"/>
      <c r="C278" s="13"/>
      <c r="D278" s="13"/>
      <c r="E278" s="13"/>
      <c r="F278" s="13"/>
      <c r="G278" s="13"/>
      <c r="H278" s="13"/>
      <c r="I278" s="117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 spans="1:26">
      <c r="A279" s="13"/>
      <c r="B279" s="13"/>
      <c r="C279" s="13"/>
      <c r="D279" s="13"/>
      <c r="E279" s="13"/>
      <c r="F279" s="13"/>
      <c r="G279" s="13"/>
      <c r="H279" s="13"/>
      <c r="I279" s="117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 spans="1:26">
      <c r="A280" s="13"/>
      <c r="B280" s="13"/>
      <c r="C280" s="13"/>
      <c r="D280" s="13"/>
      <c r="E280" s="13"/>
      <c r="F280" s="13"/>
      <c r="G280" s="13"/>
      <c r="H280" s="13"/>
      <c r="I280" s="117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 spans="1:26">
      <c r="A281" s="13"/>
      <c r="B281" s="13"/>
      <c r="C281" s="13"/>
      <c r="D281" s="13"/>
      <c r="E281" s="13"/>
      <c r="F281" s="13"/>
      <c r="G281" s="13"/>
      <c r="H281" s="13"/>
      <c r="I281" s="117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 spans="1:26">
      <c r="A282" s="13"/>
      <c r="B282" s="13"/>
      <c r="C282" s="13"/>
      <c r="D282" s="13"/>
      <c r="E282" s="13"/>
      <c r="F282" s="13"/>
      <c r="G282" s="13"/>
      <c r="H282" s="13"/>
      <c r="I282" s="117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 spans="1:26">
      <c r="A283" s="13"/>
      <c r="B283" s="13"/>
      <c r="C283" s="13"/>
      <c r="D283" s="13"/>
      <c r="E283" s="13"/>
      <c r="F283" s="13"/>
      <c r="G283" s="13"/>
      <c r="H283" s="13"/>
      <c r="I283" s="117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 spans="1:26">
      <c r="A284" s="13"/>
      <c r="B284" s="13"/>
      <c r="C284" s="13"/>
      <c r="D284" s="13"/>
      <c r="E284" s="13"/>
      <c r="F284" s="13"/>
      <c r="G284" s="13"/>
      <c r="H284" s="13"/>
      <c r="I284" s="117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 spans="1:26">
      <c r="A285" s="13"/>
      <c r="B285" s="13"/>
      <c r="C285" s="13"/>
      <c r="D285" s="13"/>
      <c r="E285" s="13"/>
      <c r="F285" s="13"/>
      <c r="G285" s="13"/>
      <c r="H285" s="13"/>
      <c r="I285" s="117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 spans="1:26">
      <c r="A286" s="13"/>
      <c r="B286" s="13"/>
      <c r="C286" s="13"/>
      <c r="D286" s="13"/>
      <c r="E286" s="13"/>
      <c r="F286" s="13"/>
      <c r="G286" s="13"/>
      <c r="H286" s="13"/>
      <c r="I286" s="117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 spans="1:26">
      <c r="A287" s="13"/>
      <c r="B287" s="13"/>
      <c r="C287" s="13"/>
      <c r="D287" s="13"/>
      <c r="E287" s="13"/>
      <c r="F287" s="13"/>
      <c r="G287" s="13"/>
      <c r="H287" s="13"/>
      <c r="I287" s="117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 spans="1:26">
      <c r="A288" s="13"/>
      <c r="B288" s="13"/>
      <c r="C288" s="13"/>
      <c r="D288" s="13"/>
      <c r="E288" s="13"/>
      <c r="F288" s="13"/>
      <c r="G288" s="13"/>
      <c r="H288" s="13"/>
      <c r="I288" s="117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 spans="1:26">
      <c r="A289" s="13"/>
      <c r="B289" s="13"/>
      <c r="C289" s="13"/>
      <c r="D289" s="13"/>
      <c r="E289" s="13"/>
      <c r="F289" s="13"/>
      <c r="G289" s="13"/>
      <c r="H289" s="13"/>
      <c r="I289" s="117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 spans="1:26">
      <c r="A290" s="13"/>
      <c r="B290" s="13"/>
      <c r="C290" s="13"/>
      <c r="D290" s="13"/>
      <c r="E290" s="13"/>
      <c r="F290" s="13"/>
      <c r="G290" s="13"/>
      <c r="H290" s="13"/>
      <c r="I290" s="117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 spans="1:26">
      <c r="A291" s="13"/>
      <c r="B291" s="13"/>
      <c r="C291" s="13"/>
      <c r="D291" s="13"/>
      <c r="E291" s="13"/>
      <c r="F291" s="13"/>
      <c r="G291" s="13"/>
      <c r="H291" s="13"/>
      <c r="I291" s="117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 spans="1:26">
      <c r="A292" s="13"/>
      <c r="B292" s="13"/>
      <c r="C292" s="13"/>
      <c r="D292" s="13"/>
      <c r="E292" s="13"/>
      <c r="F292" s="13"/>
      <c r="G292" s="13"/>
      <c r="H292" s="13"/>
      <c r="I292" s="117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 spans="1:26">
      <c r="A293" s="13"/>
      <c r="B293" s="13"/>
      <c r="C293" s="13"/>
      <c r="D293" s="13"/>
      <c r="E293" s="13"/>
      <c r="F293" s="13"/>
      <c r="G293" s="13"/>
      <c r="H293" s="13"/>
      <c r="I293" s="117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 spans="1:26">
      <c r="A294" s="13"/>
      <c r="B294" s="13"/>
      <c r="C294" s="13"/>
      <c r="D294" s="13"/>
      <c r="E294" s="13"/>
      <c r="F294" s="13"/>
      <c r="G294" s="13"/>
      <c r="H294" s="13"/>
      <c r="I294" s="117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 spans="1:26">
      <c r="A295" s="13"/>
      <c r="B295" s="13"/>
      <c r="C295" s="13"/>
      <c r="D295" s="13"/>
      <c r="E295" s="13"/>
      <c r="F295" s="13"/>
      <c r="G295" s="13"/>
      <c r="H295" s="13"/>
      <c r="I295" s="117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 spans="1:26">
      <c r="A296" s="13"/>
      <c r="B296" s="13"/>
      <c r="C296" s="13"/>
      <c r="D296" s="13"/>
      <c r="E296" s="13"/>
      <c r="F296" s="13"/>
      <c r="G296" s="13"/>
      <c r="H296" s="13"/>
      <c r="I296" s="117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 spans="1:26">
      <c r="A297" s="13"/>
      <c r="B297" s="13"/>
      <c r="C297" s="13"/>
      <c r="D297" s="13"/>
      <c r="E297" s="13"/>
      <c r="F297" s="13"/>
      <c r="G297" s="13"/>
      <c r="H297" s="13"/>
      <c r="I297" s="117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 spans="1:26">
      <c r="A298" s="13"/>
      <c r="B298" s="13"/>
      <c r="C298" s="13"/>
      <c r="D298" s="13"/>
      <c r="E298" s="13"/>
      <c r="F298" s="13"/>
      <c r="G298" s="13"/>
      <c r="H298" s="13"/>
      <c r="I298" s="117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 spans="1:26">
      <c r="A299" s="13"/>
      <c r="B299" s="13"/>
      <c r="C299" s="13"/>
      <c r="D299" s="13"/>
      <c r="E299" s="13"/>
      <c r="F299" s="13"/>
      <c r="G299" s="13"/>
      <c r="H299" s="13"/>
      <c r="I299" s="117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 spans="1:26">
      <c r="A300" s="13"/>
      <c r="B300" s="13"/>
      <c r="C300" s="13"/>
      <c r="D300" s="13"/>
      <c r="E300" s="13"/>
      <c r="F300" s="13"/>
      <c r="G300" s="13"/>
      <c r="H300" s="13"/>
      <c r="I300" s="117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 spans="1:26">
      <c r="A301" s="13"/>
      <c r="B301" s="13"/>
      <c r="C301" s="13"/>
      <c r="D301" s="13"/>
      <c r="E301" s="13"/>
      <c r="F301" s="13"/>
      <c r="G301" s="13"/>
      <c r="H301" s="13"/>
      <c r="I301" s="117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 spans="1:26">
      <c r="A302" s="13"/>
      <c r="B302" s="13"/>
      <c r="C302" s="13"/>
      <c r="D302" s="13"/>
      <c r="E302" s="13"/>
      <c r="F302" s="13"/>
      <c r="G302" s="13"/>
      <c r="H302" s="13"/>
      <c r="I302" s="117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 spans="1:26">
      <c r="A303" s="13"/>
      <c r="B303" s="13"/>
      <c r="C303" s="13"/>
      <c r="D303" s="13"/>
      <c r="E303" s="13"/>
      <c r="F303" s="13"/>
      <c r="G303" s="13"/>
      <c r="H303" s="13"/>
      <c r="I303" s="117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 spans="1:26">
      <c r="A304" s="13"/>
      <c r="B304" s="13"/>
      <c r="C304" s="13"/>
      <c r="D304" s="13"/>
      <c r="E304" s="13"/>
      <c r="F304" s="13"/>
      <c r="G304" s="13"/>
      <c r="H304" s="13"/>
      <c r="I304" s="117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 spans="1:26">
      <c r="A305" s="13"/>
      <c r="B305" s="13"/>
      <c r="C305" s="13"/>
      <c r="D305" s="13"/>
      <c r="E305" s="13"/>
      <c r="F305" s="13"/>
      <c r="G305" s="13"/>
      <c r="H305" s="13"/>
      <c r="I305" s="117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 spans="1:26">
      <c r="A306" s="13"/>
      <c r="B306" s="13"/>
      <c r="C306" s="13"/>
      <c r="D306" s="13"/>
      <c r="E306" s="13"/>
      <c r="F306" s="13"/>
      <c r="G306" s="13"/>
      <c r="H306" s="13"/>
      <c r="I306" s="117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 spans="1:26">
      <c r="A307" s="13"/>
      <c r="B307" s="13"/>
      <c r="C307" s="13"/>
      <c r="D307" s="13"/>
      <c r="E307" s="13"/>
      <c r="F307" s="13"/>
      <c r="G307" s="13"/>
      <c r="H307" s="13"/>
      <c r="I307" s="117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 spans="1:26">
      <c r="A308" s="13"/>
      <c r="B308" s="13"/>
      <c r="C308" s="13"/>
      <c r="D308" s="13"/>
      <c r="E308" s="13"/>
      <c r="F308" s="13"/>
      <c r="G308" s="13"/>
      <c r="H308" s="13"/>
      <c r="I308" s="117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 spans="1:26">
      <c r="A309" s="13"/>
      <c r="B309" s="13"/>
      <c r="C309" s="13"/>
      <c r="D309" s="13"/>
      <c r="E309" s="13"/>
      <c r="F309" s="13"/>
      <c r="G309" s="13"/>
      <c r="H309" s="13"/>
      <c r="I309" s="117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 spans="1:26">
      <c r="A310" s="13"/>
      <c r="B310" s="13"/>
      <c r="C310" s="13"/>
      <c r="D310" s="13"/>
      <c r="E310" s="13"/>
      <c r="F310" s="13"/>
      <c r="G310" s="13"/>
      <c r="H310" s="13"/>
      <c r="I310" s="117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 spans="1:26">
      <c r="A311" s="13"/>
      <c r="B311" s="13"/>
      <c r="C311" s="13"/>
      <c r="D311" s="13"/>
      <c r="E311" s="13"/>
      <c r="F311" s="13"/>
      <c r="G311" s="13"/>
      <c r="H311" s="13"/>
      <c r="I311" s="117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 spans="1:26">
      <c r="A312" s="13"/>
      <c r="B312" s="13"/>
      <c r="C312" s="13"/>
      <c r="D312" s="13"/>
      <c r="E312" s="13"/>
      <c r="F312" s="13"/>
      <c r="G312" s="13"/>
      <c r="H312" s="13"/>
      <c r="I312" s="117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 spans="1:26">
      <c r="A313" s="13"/>
      <c r="B313" s="13"/>
      <c r="C313" s="13"/>
      <c r="D313" s="13"/>
      <c r="E313" s="13"/>
      <c r="F313" s="13"/>
      <c r="G313" s="13"/>
      <c r="H313" s="13"/>
      <c r="I313" s="117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 spans="1:26">
      <c r="A314" s="13"/>
      <c r="B314" s="13"/>
      <c r="C314" s="13"/>
      <c r="D314" s="13"/>
      <c r="E314" s="13"/>
      <c r="F314" s="13"/>
      <c r="G314" s="13"/>
      <c r="H314" s="13"/>
      <c r="I314" s="117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 spans="1:26">
      <c r="A315" s="13"/>
      <c r="B315" s="13"/>
      <c r="C315" s="13"/>
      <c r="D315" s="13"/>
      <c r="E315" s="13"/>
      <c r="F315" s="13"/>
      <c r="G315" s="13"/>
      <c r="H315" s="13"/>
      <c r="I315" s="117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 spans="1:26">
      <c r="A316" s="13"/>
      <c r="B316" s="13"/>
      <c r="C316" s="13"/>
      <c r="D316" s="13"/>
      <c r="E316" s="13"/>
      <c r="F316" s="13"/>
      <c r="G316" s="13"/>
      <c r="H316" s="13"/>
      <c r="I316" s="117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 spans="1:26">
      <c r="A317" s="13"/>
      <c r="B317" s="13"/>
      <c r="C317" s="13"/>
      <c r="D317" s="13"/>
      <c r="E317" s="13"/>
      <c r="F317" s="13"/>
      <c r="G317" s="13"/>
      <c r="H317" s="13"/>
      <c r="I317" s="117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 spans="1:26">
      <c r="A318" s="13"/>
      <c r="B318" s="13"/>
      <c r="C318" s="13"/>
      <c r="D318" s="13"/>
      <c r="E318" s="13"/>
      <c r="F318" s="13"/>
      <c r="G318" s="13"/>
      <c r="H318" s="13"/>
      <c r="I318" s="117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 spans="1:26">
      <c r="A319" s="13"/>
      <c r="B319" s="13"/>
      <c r="C319" s="13"/>
      <c r="D319" s="13"/>
      <c r="E319" s="13"/>
      <c r="F319" s="13"/>
      <c r="G319" s="13"/>
      <c r="H319" s="13"/>
      <c r="I319" s="117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 spans="1:26">
      <c r="A320" s="13"/>
      <c r="B320" s="13"/>
      <c r="C320" s="13"/>
      <c r="D320" s="13"/>
      <c r="E320" s="13"/>
      <c r="F320" s="13"/>
      <c r="G320" s="13"/>
      <c r="H320" s="13"/>
      <c r="I320" s="117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 spans="1:26">
      <c r="A321" s="13"/>
      <c r="B321" s="13"/>
      <c r="C321" s="13"/>
      <c r="D321" s="13"/>
      <c r="E321" s="13"/>
      <c r="F321" s="13"/>
      <c r="G321" s="13"/>
      <c r="H321" s="13"/>
      <c r="I321" s="117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 spans="1:26">
      <c r="A322" s="13"/>
      <c r="B322" s="13"/>
      <c r="C322" s="13"/>
      <c r="D322" s="13"/>
      <c r="E322" s="13"/>
      <c r="F322" s="13"/>
      <c r="G322" s="13"/>
      <c r="H322" s="13"/>
      <c r="I322" s="117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 spans="1:26">
      <c r="A323" s="13"/>
      <c r="B323" s="13"/>
      <c r="C323" s="13"/>
      <c r="D323" s="13"/>
      <c r="E323" s="13"/>
      <c r="F323" s="13"/>
      <c r="G323" s="13"/>
      <c r="H323" s="13"/>
      <c r="I323" s="117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 spans="1:26">
      <c r="A324" s="13"/>
      <c r="B324" s="13"/>
      <c r="C324" s="13"/>
      <c r="D324" s="13"/>
      <c r="E324" s="13"/>
      <c r="F324" s="13"/>
      <c r="G324" s="13"/>
      <c r="H324" s="13"/>
      <c r="I324" s="117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 spans="1:26">
      <c r="A325" s="13"/>
      <c r="B325" s="13"/>
      <c r="C325" s="13"/>
      <c r="D325" s="13"/>
      <c r="E325" s="13"/>
      <c r="F325" s="13"/>
      <c r="G325" s="13"/>
      <c r="H325" s="13"/>
      <c r="I325" s="117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 spans="1:26">
      <c r="A326" s="13"/>
      <c r="B326" s="13"/>
      <c r="C326" s="13"/>
      <c r="D326" s="13"/>
      <c r="E326" s="13"/>
      <c r="F326" s="13"/>
      <c r="G326" s="13"/>
      <c r="H326" s="13"/>
      <c r="I326" s="117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 spans="1:26">
      <c r="A327" s="13"/>
      <c r="B327" s="13"/>
      <c r="C327" s="13"/>
      <c r="D327" s="13"/>
      <c r="E327" s="13"/>
      <c r="F327" s="13"/>
      <c r="G327" s="13"/>
      <c r="H327" s="13"/>
      <c r="I327" s="117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 spans="1:26">
      <c r="A328" s="13"/>
      <c r="B328" s="13"/>
      <c r="C328" s="13"/>
      <c r="D328" s="13"/>
      <c r="E328" s="13"/>
      <c r="F328" s="13"/>
      <c r="G328" s="13"/>
      <c r="H328" s="13"/>
      <c r="I328" s="117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 spans="1:26">
      <c r="A329" s="13"/>
      <c r="B329" s="13"/>
      <c r="C329" s="13"/>
      <c r="D329" s="13"/>
      <c r="E329" s="13"/>
      <c r="F329" s="13"/>
      <c r="G329" s="13"/>
      <c r="H329" s="13"/>
      <c r="I329" s="117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 spans="1:26">
      <c r="A330" s="13"/>
      <c r="B330" s="13"/>
      <c r="C330" s="13"/>
      <c r="D330" s="13"/>
      <c r="E330" s="13"/>
      <c r="F330" s="13"/>
      <c r="G330" s="13"/>
      <c r="H330" s="13"/>
      <c r="I330" s="117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 spans="1:26">
      <c r="A331" s="13"/>
      <c r="B331" s="13"/>
      <c r="C331" s="13"/>
      <c r="D331" s="13"/>
      <c r="E331" s="13"/>
      <c r="F331" s="13"/>
      <c r="G331" s="13"/>
      <c r="H331" s="13"/>
      <c r="I331" s="117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 spans="1:26">
      <c r="A332" s="13"/>
      <c r="B332" s="13"/>
      <c r="C332" s="13"/>
      <c r="D332" s="13"/>
      <c r="E332" s="13"/>
      <c r="F332" s="13"/>
      <c r="G332" s="13"/>
      <c r="H332" s="13"/>
      <c r="I332" s="117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 spans="1:26">
      <c r="A333" s="13"/>
      <c r="B333" s="13"/>
      <c r="C333" s="13"/>
      <c r="D333" s="13"/>
      <c r="E333" s="13"/>
      <c r="F333" s="13"/>
      <c r="G333" s="13"/>
      <c r="H333" s="13"/>
      <c r="I333" s="117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 spans="1:26">
      <c r="A334" s="13"/>
      <c r="B334" s="13"/>
      <c r="C334" s="13"/>
      <c r="D334" s="13"/>
      <c r="E334" s="13"/>
      <c r="F334" s="13"/>
      <c r="G334" s="13"/>
      <c r="H334" s="13"/>
      <c r="I334" s="117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 spans="1:26">
      <c r="A335" s="13"/>
      <c r="B335" s="13"/>
      <c r="C335" s="13"/>
      <c r="D335" s="13"/>
      <c r="E335" s="13"/>
      <c r="F335" s="13"/>
      <c r="G335" s="13"/>
      <c r="H335" s="13"/>
      <c r="I335" s="117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 spans="1:26">
      <c r="A336" s="13"/>
      <c r="B336" s="13"/>
      <c r="C336" s="13"/>
      <c r="D336" s="13"/>
      <c r="E336" s="13"/>
      <c r="F336" s="13"/>
      <c r="G336" s="13"/>
      <c r="H336" s="13"/>
      <c r="I336" s="117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 spans="1:26">
      <c r="A337" s="13"/>
      <c r="B337" s="13"/>
      <c r="C337" s="13"/>
      <c r="D337" s="13"/>
      <c r="E337" s="13"/>
      <c r="F337" s="13"/>
      <c r="G337" s="13"/>
      <c r="H337" s="13"/>
      <c r="I337" s="117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 spans="1:26">
      <c r="A338" s="13"/>
      <c r="B338" s="13"/>
      <c r="C338" s="13"/>
      <c r="D338" s="13"/>
      <c r="E338" s="13"/>
      <c r="F338" s="13"/>
      <c r="G338" s="13"/>
      <c r="H338" s="13"/>
      <c r="I338" s="117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 spans="1:26">
      <c r="A339" s="13"/>
      <c r="B339" s="13"/>
      <c r="C339" s="13"/>
      <c r="D339" s="13"/>
      <c r="E339" s="13"/>
      <c r="F339" s="13"/>
      <c r="G339" s="13"/>
      <c r="H339" s="13"/>
      <c r="I339" s="117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 spans="1:26">
      <c r="A340" s="13"/>
      <c r="B340" s="13"/>
      <c r="C340" s="13"/>
      <c r="D340" s="13"/>
      <c r="E340" s="13"/>
      <c r="F340" s="13"/>
      <c r="G340" s="13"/>
      <c r="H340" s="13"/>
      <c r="I340" s="117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 spans="1:26">
      <c r="A341" s="13"/>
      <c r="B341" s="13"/>
      <c r="C341" s="13"/>
      <c r="D341" s="13"/>
      <c r="E341" s="13"/>
      <c r="F341" s="13"/>
      <c r="G341" s="13"/>
      <c r="H341" s="13"/>
      <c r="I341" s="117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 spans="1:26">
      <c r="A342" s="13"/>
      <c r="B342" s="13"/>
      <c r="C342" s="13"/>
      <c r="D342" s="13"/>
      <c r="E342" s="13"/>
      <c r="F342" s="13"/>
      <c r="G342" s="13"/>
      <c r="H342" s="13"/>
      <c r="I342" s="117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 spans="1:26">
      <c r="A343" s="13"/>
      <c r="B343" s="13"/>
      <c r="C343" s="13"/>
      <c r="D343" s="13"/>
      <c r="E343" s="13"/>
      <c r="F343" s="13"/>
      <c r="G343" s="13"/>
      <c r="H343" s="13"/>
      <c r="I343" s="117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 spans="1:26">
      <c r="A344" s="13"/>
      <c r="B344" s="13"/>
      <c r="C344" s="13"/>
      <c r="D344" s="13"/>
      <c r="E344" s="13"/>
      <c r="F344" s="13"/>
      <c r="G344" s="13"/>
      <c r="H344" s="13"/>
      <c r="I344" s="117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 spans="1:26">
      <c r="A345" s="13"/>
      <c r="B345" s="13"/>
      <c r="C345" s="13"/>
      <c r="D345" s="13"/>
      <c r="E345" s="13"/>
      <c r="F345" s="13"/>
      <c r="G345" s="13"/>
      <c r="H345" s="13"/>
      <c r="I345" s="117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 spans="1:26">
      <c r="A346" s="13"/>
      <c r="B346" s="13"/>
      <c r="C346" s="13"/>
      <c r="D346" s="13"/>
      <c r="E346" s="13"/>
      <c r="F346" s="13"/>
      <c r="G346" s="13"/>
      <c r="H346" s="13"/>
      <c r="I346" s="117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 spans="1:26">
      <c r="A347" s="13"/>
      <c r="B347" s="13"/>
      <c r="C347" s="13"/>
      <c r="D347" s="13"/>
      <c r="E347" s="13"/>
      <c r="F347" s="13"/>
      <c r="G347" s="13"/>
      <c r="H347" s="13"/>
      <c r="I347" s="117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 spans="1:26">
      <c r="A348" s="13"/>
      <c r="B348" s="13"/>
      <c r="C348" s="13"/>
      <c r="D348" s="13"/>
      <c r="E348" s="13"/>
      <c r="F348" s="13"/>
      <c r="G348" s="13"/>
      <c r="H348" s="13"/>
      <c r="I348" s="117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 spans="1:26">
      <c r="A349" s="13"/>
      <c r="B349" s="13"/>
      <c r="C349" s="13"/>
      <c r="D349" s="13"/>
      <c r="E349" s="13"/>
      <c r="F349" s="13"/>
      <c r="G349" s="13"/>
      <c r="H349" s="13"/>
      <c r="I349" s="117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 spans="1:26">
      <c r="A350" s="13"/>
      <c r="B350" s="13"/>
      <c r="C350" s="13"/>
      <c r="D350" s="13"/>
      <c r="E350" s="13"/>
      <c r="F350" s="13"/>
      <c r="G350" s="13"/>
      <c r="H350" s="13"/>
      <c r="I350" s="117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 spans="1:26">
      <c r="A351" s="13"/>
      <c r="B351" s="13"/>
      <c r="C351" s="13"/>
      <c r="D351" s="13"/>
      <c r="E351" s="13"/>
      <c r="F351" s="13"/>
      <c r="G351" s="13"/>
      <c r="H351" s="13"/>
      <c r="I351" s="117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 spans="1:26">
      <c r="A352" s="13"/>
      <c r="B352" s="13"/>
      <c r="C352" s="13"/>
      <c r="D352" s="13"/>
      <c r="E352" s="13"/>
      <c r="F352" s="13"/>
      <c r="G352" s="13"/>
      <c r="H352" s="13"/>
      <c r="I352" s="117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 spans="1:26">
      <c r="A353" s="13"/>
      <c r="B353" s="13"/>
      <c r="C353" s="13"/>
      <c r="D353" s="13"/>
      <c r="E353" s="13"/>
      <c r="F353" s="13"/>
      <c r="G353" s="13"/>
      <c r="H353" s="13"/>
      <c r="I353" s="117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 spans="1:26">
      <c r="A354" s="13"/>
      <c r="B354" s="13"/>
      <c r="C354" s="13"/>
      <c r="D354" s="13"/>
      <c r="E354" s="13"/>
      <c r="F354" s="13"/>
      <c r="G354" s="13"/>
      <c r="H354" s="13"/>
      <c r="I354" s="117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 spans="1:26">
      <c r="A355" s="13"/>
      <c r="B355" s="13"/>
      <c r="C355" s="13"/>
      <c r="D355" s="13"/>
      <c r="E355" s="13"/>
      <c r="F355" s="13"/>
      <c r="G355" s="13"/>
      <c r="H355" s="13"/>
      <c r="I355" s="117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 spans="1:26">
      <c r="A356" s="13"/>
      <c r="B356" s="13"/>
      <c r="C356" s="13"/>
      <c r="D356" s="13"/>
      <c r="E356" s="13"/>
      <c r="F356" s="13"/>
      <c r="G356" s="13"/>
      <c r="H356" s="13"/>
      <c r="I356" s="117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 spans="1:26">
      <c r="A357" s="13"/>
      <c r="B357" s="13"/>
      <c r="C357" s="13"/>
      <c r="D357" s="13"/>
      <c r="E357" s="13"/>
      <c r="F357" s="13"/>
      <c r="G357" s="13"/>
      <c r="H357" s="13"/>
      <c r="I357" s="117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 spans="1:26">
      <c r="A358" s="13"/>
      <c r="B358" s="13"/>
      <c r="C358" s="13"/>
      <c r="D358" s="13"/>
      <c r="E358" s="13"/>
      <c r="F358" s="13"/>
      <c r="G358" s="13"/>
      <c r="H358" s="13"/>
      <c r="I358" s="117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 spans="1:26">
      <c r="A359" s="13"/>
      <c r="B359" s="13"/>
      <c r="C359" s="13"/>
      <c r="D359" s="13"/>
      <c r="E359" s="13"/>
      <c r="F359" s="13"/>
      <c r="G359" s="13"/>
      <c r="H359" s="13"/>
      <c r="I359" s="117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 spans="1:26">
      <c r="A360" s="13"/>
      <c r="B360" s="13"/>
      <c r="C360" s="13"/>
      <c r="D360" s="13"/>
      <c r="E360" s="13"/>
      <c r="F360" s="13"/>
      <c r="G360" s="13"/>
      <c r="H360" s="13"/>
      <c r="I360" s="117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 spans="1:26">
      <c r="A361" s="13"/>
      <c r="B361" s="13"/>
      <c r="C361" s="13"/>
      <c r="D361" s="13"/>
      <c r="E361" s="13"/>
      <c r="F361" s="13"/>
      <c r="G361" s="13"/>
      <c r="H361" s="13"/>
      <c r="I361" s="117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 spans="1:26">
      <c r="A362" s="13"/>
      <c r="B362" s="13"/>
      <c r="C362" s="13"/>
      <c r="D362" s="13"/>
      <c r="E362" s="13"/>
      <c r="F362" s="13"/>
      <c r="G362" s="13"/>
      <c r="H362" s="13"/>
      <c r="I362" s="117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 spans="1:26">
      <c r="A363" s="13"/>
      <c r="B363" s="13"/>
      <c r="C363" s="13"/>
      <c r="D363" s="13"/>
      <c r="E363" s="13"/>
      <c r="F363" s="13"/>
      <c r="G363" s="13"/>
      <c r="H363" s="13"/>
      <c r="I363" s="117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 spans="1:26">
      <c r="A364" s="13"/>
      <c r="B364" s="13"/>
      <c r="C364" s="13"/>
      <c r="D364" s="13"/>
      <c r="E364" s="13"/>
      <c r="F364" s="13"/>
      <c r="G364" s="13"/>
      <c r="H364" s="13"/>
      <c r="I364" s="117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 spans="1:26">
      <c r="A365" s="13"/>
      <c r="B365" s="13"/>
      <c r="C365" s="13"/>
      <c r="D365" s="13"/>
      <c r="E365" s="13"/>
      <c r="F365" s="13"/>
      <c r="G365" s="13"/>
      <c r="H365" s="13"/>
      <c r="I365" s="117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 spans="1:26">
      <c r="A366" s="13"/>
      <c r="B366" s="13"/>
      <c r="C366" s="13"/>
      <c r="D366" s="13"/>
      <c r="E366" s="13"/>
      <c r="F366" s="13"/>
      <c r="G366" s="13"/>
      <c r="H366" s="13"/>
      <c r="I366" s="117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 spans="1:26">
      <c r="A367" s="13"/>
      <c r="B367" s="13"/>
      <c r="C367" s="13"/>
      <c r="D367" s="13"/>
      <c r="E367" s="13"/>
      <c r="F367" s="13"/>
      <c r="G367" s="13"/>
      <c r="H367" s="13"/>
      <c r="I367" s="117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 spans="1:26">
      <c r="A368" s="13"/>
      <c r="B368" s="13"/>
      <c r="C368" s="13"/>
      <c r="D368" s="13"/>
      <c r="E368" s="13"/>
      <c r="F368" s="13"/>
      <c r="G368" s="13"/>
      <c r="H368" s="13"/>
      <c r="I368" s="117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 spans="1:26">
      <c r="A369" s="13"/>
      <c r="B369" s="13"/>
      <c r="C369" s="13"/>
      <c r="D369" s="13"/>
      <c r="E369" s="13"/>
      <c r="F369" s="13"/>
      <c r="G369" s="13"/>
      <c r="H369" s="13"/>
      <c r="I369" s="117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 spans="1:26">
      <c r="A370" s="13"/>
      <c r="B370" s="13"/>
      <c r="C370" s="13"/>
      <c r="D370" s="13"/>
      <c r="E370" s="13"/>
      <c r="F370" s="13"/>
      <c r="G370" s="13"/>
      <c r="H370" s="13"/>
      <c r="I370" s="117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 spans="1:26">
      <c r="A371" s="13"/>
      <c r="B371" s="13"/>
      <c r="C371" s="13"/>
      <c r="D371" s="13"/>
      <c r="E371" s="13"/>
      <c r="F371" s="13"/>
      <c r="G371" s="13"/>
      <c r="H371" s="13"/>
      <c r="I371" s="117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 spans="1:26">
      <c r="A372" s="13"/>
      <c r="B372" s="13"/>
      <c r="C372" s="13"/>
      <c r="D372" s="13"/>
      <c r="E372" s="13"/>
      <c r="F372" s="13"/>
      <c r="G372" s="13"/>
      <c r="H372" s="13"/>
      <c r="I372" s="117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 spans="1:26">
      <c r="A373" s="13"/>
      <c r="B373" s="13"/>
      <c r="C373" s="13"/>
      <c r="D373" s="13"/>
      <c r="E373" s="13"/>
      <c r="F373" s="13"/>
      <c r="G373" s="13"/>
      <c r="H373" s="13"/>
      <c r="I373" s="117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 spans="1:26">
      <c r="A374" s="13"/>
      <c r="B374" s="13"/>
      <c r="C374" s="13"/>
      <c r="D374" s="13"/>
      <c r="E374" s="13"/>
      <c r="F374" s="13"/>
      <c r="G374" s="13"/>
      <c r="H374" s="13"/>
      <c r="I374" s="117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 spans="1:26">
      <c r="A375" s="13"/>
      <c r="B375" s="13"/>
      <c r="C375" s="13"/>
      <c r="D375" s="13"/>
      <c r="E375" s="13"/>
      <c r="F375" s="13"/>
      <c r="G375" s="13"/>
      <c r="H375" s="13"/>
      <c r="I375" s="117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 spans="1:26">
      <c r="A376" s="13"/>
      <c r="B376" s="13"/>
      <c r="C376" s="13"/>
      <c r="D376" s="13"/>
      <c r="E376" s="13"/>
      <c r="F376" s="13"/>
      <c r="G376" s="13"/>
      <c r="H376" s="13"/>
      <c r="I376" s="117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 spans="1:26">
      <c r="A377" s="13"/>
      <c r="B377" s="13"/>
      <c r="C377" s="13"/>
      <c r="D377" s="13"/>
      <c r="E377" s="13"/>
      <c r="F377" s="13"/>
      <c r="G377" s="13"/>
      <c r="H377" s="13"/>
      <c r="I377" s="117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 spans="1:26">
      <c r="A378" s="13"/>
      <c r="B378" s="13"/>
      <c r="C378" s="13"/>
      <c r="D378" s="13"/>
      <c r="E378" s="13"/>
      <c r="F378" s="13"/>
      <c r="G378" s="13"/>
      <c r="H378" s="13"/>
      <c r="I378" s="117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 spans="1:26">
      <c r="A379" s="13"/>
      <c r="B379" s="13"/>
      <c r="C379" s="13"/>
      <c r="D379" s="13"/>
      <c r="E379" s="13"/>
      <c r="F379" s="13"/>
      <c r="G379" s="13"/>
      <c r="H379" s="13"/>
      <c r="I379" s="117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 spans="1:26">
      <c r="A380" s="13"/>
      <c r="B380" s="13"/>
      <c r="C380" s="13"/>
      <c r="D380" s="13"/>
      <c r="E380" s="13"/>
      <c r="F380" s="13"/>
      <c r="G380" s="13"/>
      <c r="H380" s="13"/>
      <c r="I380" s="117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 spans="1:26">
      <c r="A381" s="13"/>
      <c r="B381" s="13"/>
      <c r="C381" s="13"/>
      <c r="D381" s="13"/>
      <c r="E381" s="13"/>
      <c r="F381" s="13"/>
      <c r="G381" s="13"/>
      <c r="H381" s="13"/>
      <c r="I381" s="117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 spans="1:26">
      <c r="A382" s="13"/>
      <c r="B382" s="13"/>
      <c r="C382" s="13"/>
      <c r="D382" s="13"/>
      <c r="E382" s="13"/>
      <c r="F382" s="13"/>
      <c r="G382" s="13"/>
      <c r="H382" s="13"/>
      <c r="I382" s="117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 spans="1:26">
      <c r="A383" s="13"/>
      <c r="B383" s="13"/>
      <c r="C383" s="13"/>
      <c r="D383" s="13"/>
      <c r="E383" s="13"/>
      <c r="F383" s="13"/>
      <c r="G383" s="13"/>
      <c r="H383" s="13"/>
      <c r="I383" s="117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 spans="1:26">
      <c r="A384" s="13"/>
      <c r="B384" s="13"/>
      <c r="C384" s="13"/>
      <c r="D384" s="13"/>
      <c r="E384" s="13"/>
      <c r="F384" s="13"/>
      <c r="G384" s="13"/>
      <c r="H384" s="13"/>
      <c r="I384" s="117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 spans="1:26">
      <c r="A385" s="13"/>
      <c r="B385" s="13"/>
      <c r="C385" s="13"/>
      <c r="D385" s="13"/>
      <c r="E385" s="13"/>
      <c r="F385" s="13"/>
      <c r="G385" s="13"/>
      <c r="H385" s="13"/>
      <c r="I385" s="117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 spans="1:26">
      <c r="A386" s="13"/>
      <c r="B386" s="13"/>
      <c r="C386" s="13"/>
      <c r="D386" s="13"/>
      <c r="E386" s="13"/>
      <c r="F386" s="13"/>
      <c r="G386" s="13"/>
      <c r="H386" s="13"/>
      <c r="I386" s="117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 spans="1:26">
      <c r="A387" s="13"/>
      <c r="B387" s="13"/>
      <c r="C387" s="13"/>
      <c r="D387" s="13"/>
      <c r="E387" s="13"/>
      <c r="F387" s="13"/>
      <c r="G387" s="13"/>
      <c r="H387" s="13"/>
      <c r="I387" s="117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 spans="1:26">
      <c r="A388" s="13"/>
      <c r="B388" s="13"/>
      <c r="C388" s="13"/>
      <c r="D388" s="13"/>
      <c r="E388" s="13"/>
      <c r="F388" s="13"/>
      <c r="G388" s="13"/>
      <c r="H388" s="13"/>
      <c r="I388" s="117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 spans="1:26">
      <c r="A389" s="13"/>
      <c r="B389" s="13"/>
      <c r="C389" s="13"/>
      <c r="D389" s="13"/>
      <c r="E389" s="13"/>
      <c r="F389" s="13"/>
      <c r="G389" s="13"/>
      <c r="H389" s="13"/>
      <c r="I389" s="117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 spans="1:26">
      <c r="A390" s="13"/>
      <c r="B390" s="13"/>
      <c r="C390" s="13"/>
      <c r="D390" s="13"/>
      <c r="E390" s="13"/>
      <c r="F390" s="13"/>
      <c r="G390" s="13"/>
      <c r="H390" s="13"/>
      <c r="I390" s="117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 spans="1:26">
      <c r="A391" s="13"/>
      <c r="B391" s="13"/>
      <c r="C391" s="13"/>
      <c r="D391" s="13"/>
      <c r="E391" s="13"/>
      <c r="F391" s="13"/>
      <c r="G391" s="13"/>
      <c r="H391" s="13"/>
      <c r="I391" s="117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 spans="1:26">
      <c r="A392" s="13"/>
      <c r="B392" s="13"/>
      <c r="C392" s="13"/>
      <c r="D392" s="13"/>
      <c r="E392" s="13"/>
      <c r="F392" s="13"/>
      <c r="G392" s="13"/>
      <c r="H392" s="13"/>
      <c r="I392" s="117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 spans="1:26">
      <c r="A393" s="13"/>
      <c r="B393" s="13"/>
      <c r="C393" s="13"/>
      <c r="D393" s="13"/>
      <c r="E393" s="13"/>
      <c r="F393" s="13"/>
      <c r="G393" s="13"/>
      <c r="H393" s="13"/>
      <c r="I393" s="117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 spans="1:26">
      <c r="A394" s="13"/>
      <c r="B394" s="13"/>
      <c r="C394" s="13"/>
      <c r="D394" s="13"/>
      <c r="E394" s="13"/>
      <c r="F394" s="13"/>
      <c r="G394" s="13"/>
      <c r="H394" s="13"/>
      <c r="I394" s="117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 spans="1:26">
      <c r="A395" s="13"/>
      <c r="B395" s="13"/>
      <c r="C395" s="13"/>
      <c r="D395" s="13"/>
      <c r="E395" s="13"/>
      <c r="F395" s="13"/>
      <c r="G395" s="13"/>
      <c r="H395" s="13"/>
      <c r="I395" s="117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 spans="1:26">
      <c r="A396" s="13"/>
      <c r="B396" s="13"/>
      <c r="C396" s="13"/>
      <c r="D396" s="13"/>
      <c r="E396" s="13"/>
      <c r="F396" s="13"/>
      <c r="G396" s="13"/>
      <c r="H396" s="13"/>
      <c r="I396" s="117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 spans="1:26">
      <c r="A397" s="13"/>
      <c r="B397" s="13"/>
      <c r="C397" s="13"/>
      <c r="D397" s="13"/>
      <c r="E397" s="13"/>
      <c r="F397" s="13"/>
      <c r="G397" s="13"/>
      <c r="H397" s="13"/>
      <c r="I397" s="117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 spans="1:26">
      <c r="A398" s="13"/>
      <c r="B398" s="13"/>
      <c r="C398" s="13"/>
      <c r="D398" s="13"/>
      <c r="E398" s="13"/>
      <c r="F398" s="13"/>
      <c r="G398" s="13"/>
      <c r="H398" s="13"/>
      <c r="I398" s="117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 spans="1:26">
      <c r="A399" s="13"/>
      <c r="B399" s="13"/>
      <c r="C399" s="13"/>
      <c r="D399" s="13"/>
      <c r="E399" s="13"/>
      <c r="F399" s="13"/>
      <c r="G399" s="13"/>
      <c r="H399" s="13"/>
      <c r="I399" s="117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 spans="1:26">
      <c r="A400" s="13"/>
      <c r="B400" s="13"/>
      <c r="C400" s="13"/>
      <c r="D400" s="13"/>
      <c r="E400" s="13"/>
      <c r="F400" s="13"/>
      <c r="G400" s="13"/>
      <c r="H400" s="13"/>
      <c r="I400" s="117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 spans="1:26">
      <c r="A401" s="13"/>
      <c r="B401" s="13"/>
      <c r="C401" s="13"/>
      <c r="D401" s="13"/>
      <c r="E401" s="13"/>
      <c r="F401" s="13"/>
      <c r="G401" s="13"/>
      <c r="H401" s="13"/>
      <c r="I401" s="117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 spans="1:26">
      <c r="A402" s="13"/>
      <c r="B402" s="13"/>
      <c r="C402" s="13"/>
      <c r="D402" s="13"/>
      <c r="E402" s="13"/>
      <c r="F402" s="13"/>
      <c r="G402" s="13"/>
      <c r="H402" s="13"/>
      <c r="I402" s="117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 spans="1:26">
      <c r="A403" s="13"/>
      <c r="B403" s="13"/>
      <c r="C403" s="13"/>
      <c r="D403" s="13"/>
      <c r="E403" s="13"/>
      <c r="F403" s="13"/>
      <c r="G403" s="13"/>
      <c r="H403" s="13"/>
      <c r="I403" s="117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 spans="1:26">
      <c r="A404" s="13"/>
      <c r="B404" s="13"/>
      <c r="C404" s="13"/>
      <c r="D404" s="13"/>
      <c r="E404" s="13"/>
      <c r="F404" s="13"/>
      <c r="G404" s="13"/>
      <c r="H404" s="13"/>
      <c r="I404" s="117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 spans="1:26">
      <c r="A405" s="13"/>
      <c r="B405" s="13"/>
      <c r="C405" s="13"/>
      <c r="D405" s="13"/>
      <c r="E405" s="13"/>
      <c r="F405" s="13"/>
      <c r="G405" s="13"/>
      <c r="H405" s="13"/>
      <c r="I405" s="117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 spans="1:26">
      <c r="A406" s="13"/>
      <c r="B406" s="13"/>
      <c r="C406" s="13"/>
      <c r="D406" s="13"/>
      <c r="E406" s="13"/>
      <c r="F406" s="13"/>
      <c r="G406" s="13"/>
      <c r="H406" s="13"/>
      <c r="I406" s="117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 spans="1:26">
      <c r="A407" s="13"/>
      <c r="B407" s="13"/>
      <c r="C407" s="13"/>
      <c r="D407" s="13"/>
      <c r="E407" s="13"/>
      <c r="F407" s="13"/>
      <c r="G407" s="13"/>
      <c r="H407" s="13"/>
      <c r="I407" s="117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 spans="1:26">
      <c r="A408" s="13"/>
      <c r="B408" s="13"/>
      <c r="C408" s="13"/>
      <c r="D408" s="13"/>
      <c r="E408" s="13"/>
      <c r="F408" s="13"/>
      <c r="G408" s="13"/>
      <c r="H408" s="13"/>
      <c r="I408" s="117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 spans="1:26">
      <c r="A409" s="13"/>
      <c r="B409" s="13"/>
      <c r="C409" s="13"/>
      <c r="D409" s="13"/>
      <c r="E409" s="13"/>
      <c r="F409" s="13"/>
      <c r="G409" s="13"/>
      <c r="H409" s="13"/>
      <c r="I409" s="117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 spans="1:26">
      <c r="A410" s="13"/>
      <c r="B410" s="13"/>
      <c r="C410" s="13"/>
      <c r="D410" s="13"/>
      <c r="E410" s="13"/>
      <c r="F410" s="13"/>
      <c r="G410" s="13"/>
      <c r="H410" s="13"/>
      <c r="I410" s="117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 spans="1:26">
      <c r="A411" s="13"/>
      <c r="B411" s="13"/>
      <c r="C411" s="13"/>
      <c r="D411" s="13"/>
      <c r="E411" s="13"/>
      <c r="F411" s="13"/>
      <c r="G411" s="13"/>
      <c r="H411" s="13"/>
      <c r="I411" s="117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 spans="1:26">
      <c r="A412" s="13"/>
      <c r="B412" s="13"/>
      <c r="C412" s="13"/>
      <c r="D412" s="13"/>
      <c r="E412" s="13"/>
      <c r="F412" s="13"/>
      <c r="G412" s="13"/>
      <c r="H412" s="13"/>
      <c r="I412" s="117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 spans="1:26">
      <c r="A413" s="13"/>
      <c r="B413" s="13"/>
      <c r="C413" s="13"/>
      <c r="D413" s="13"/>
      <c r="E413" s="13"/>
      <c r="F413" s="13"/>
      <c r="G413" s="13"/>
      <c r="H413" s="13"/>
      <c r="I413" s="117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 spans="1:26">
      <c r="A414" s="13"/>
      <c r="B414" s="13"/>
      <c r="C414" s="13"/>
      <c r="D414" s="13"/>
      <c r="E414" s="13"/>
      <c r="F414" s="13"/>
      <c r="G414" s="13"/>
      <c r="H414" s="13"/>
      <c r="I414" s="117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 spans="1:26">
      <c r="A415" s="13"/>
      <c r="B415" s="13"/>
      <c r="C415" s="13"/>
      <c r="D415" s="13"/>
      <c r="E415" s="13"/>
      <c r="F415" s="13"/>
      <c r="G415" s="13"/>
      <c r="H415" s="13"/>
      <c r="I415" s="117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 spans="1:26">
      <c r="A416" s="13"/>
      <c r="B416" s="13"/>
      <c r="C416" s="13"/>
      <c r="D416" s="13"/>
      <c r="E416" s="13"/>
      <c r="F416" s="13"/>
      <c r="G416" s="13"/>
      <c r="H416" s="13"/>
      <c r="I416" s="117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 spans="1:26">
      <c r="A417" s="13"/>
      <c r="B417" s="13"/>
      <c r="C417" s="13"/>
      <c r="D417" s="13"/>
      <c r="E417" s="13"/>
      <c r="F417" s="13"/>
      <c r="G417" s="13"/>
      <c r="H417" s="13"/>
      <c r="I417" s="117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 spans="1:26">
      <c r="A418" s="13"/>
      <c r="B418" s="13"/>
      <c r="C418" s="13"/>
      <c r="D418" s="13"/>
      <c r="E418" s="13"/>
      <c r="F418" s="13"/>
      <c r="G418" s="13"/>
      <c r="H418" s="13"/>
      <c r="I418" s="117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 spans="1:26">
      <c r="A419" s="13"/>
      <c r="B419" s="13"/>
      <c r="C419" s="13"/>
      <c r="D419" s="13"/>
      <c r="E419" s="13"/>
      <c r="F419" s="13"/>
      <c r="G419" s="13"/>
      <c r="H419" s="13"/>
      <c r="I419" s="117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 spans="1:26">
      <c r="A420" s="13"/>
      <c r="B420" s="13"/>
      <c r="C420" s="13"/>
      <c r="D420" s="13"/>
      <c r="E420" s="13"/>
      <c r="F420" s="13"/>
      <c r="G420" s="13"/>
      <c r="H420" s="13"/>
      <c r="I420" s="117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 spans="1:26">
      <c r="A421" s="13"/>
      <c r="B421" s="13"/>
      <c r="C421" s="13"/>
      <c r="D421" s="13"/>
      <c r="E421" s="13"/>
      <c r="F421" s="13"/>
      <c r="G421" s="13"/>
      <c r="H421" s="13"/>
      <c r="I421" s="117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 spans="1:26">
      <c r="A422" s="13"/>
      <c r="B422" s="13"/>
      <c r="C422" s="13"/>
      <c r="D422" s="13"/>
      <c r="E422" s="13"/>
      <c r="F422" s="13"/>
      <c r="G422" s="13"/>
      <c r="H422" s="13"/>
      <c r="I422" s="117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 spans="1:26">
      <c r="A423" s="13"/>
      <c r="B423" s="13"/>
      <c r="C423" s="13"/>
      <c r="D423" s="13"/>
      <c r="E423" s="13"/>
      <c r="F423" s="13"/>
      <c r="G423" s="13"/>
      <c r="H423" s="13"/>
      <c r="I423" s="117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 spans="1:26">
      <c r="A424" s="13"/>
      <c r="B424" s="13"/>
      <c r="C424" s="13"/>
      <c r="D424" s="13"/>
      <c r="E424" s="13"/>
      <c r="F424" s="13"/>
      <c r="G424" s="13"/>
      <c r="H424" s="13"/>
      <c r="I424" s="117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 spans="1:26">
      <c r="A425" s="13"/>
      <c r="B425" s="13"/>
      <c r="C425" s="13"/>
      <c r="D425" s="13"/>
      <c r="E425" s="13"/>
      <c r="F425" s="13"/>
      <c r="G425" s="13"/>
      <c r="H425" s="13"/>
      <c r="I425" s="117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 spans="1:26">
      <c r="A426" s="13"/>
      <c r="B426" s="13"/>
      <c r="C426" s="13"/>
      <c r="D426" s="13"/>
      <c r="E426" s="13"/>
      <c r="F426" s="13"/>
      <c r="G426" s="13"/>
      <c r="H426" s="13"/>
      <c r="I426" s="117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 spans="1:26">
      <c r="A427" s="13"/>
      <c r="B427" s="13"/>
      <c r="C427" s="13"/>
      <c r="D427" s="13"/>
      <c r="E427" s="13"/>
      <c r="F427" s="13"/>
      <c r="G427" s="13"/>
      <c r="H427" s="13"/>
      <c r="I427" s="117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 spans="1:26">
      <c r="A428" s="13"/>
      <c r="B428" s="13"/>
      <c r="C428" s="13"/>
      <c r="D428" s="13"/>
      <c r="E428" s="13"/>
      <c r="F428" s="13"/>
      <c r="G428" s="13"/>
      <c r="H428" s="13"/>
      <c r="I428" s="117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 spans="1:26">
      <c r="A429" s="13"/>
      <c r="B429" s="13"/>
      <c r="C429" s="13"/>
      <c r="D429" s="13"/>
      <c r="E429" s="13"/>
      <c r="F429" s="13"/>
      <c r="G429" s="13"/>
      <c r="H429" s="13"/>
      <c r="I429" s="117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 spans="1:26">
      <c r="A430" s="13"/>
      <c r="B430" s="13"/>
      <c r="C430" s="13"/>
      <c r="D430" s="13"/>
      <c r="E430" s="13"/>
      <c r="F430" s="13"/>
      <c r="G430" s="13"/>
      <c r="H430" s="13"/>
      <c r="I430" s="117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 spans="1:26">
      <c r="A431" s="13"/>
      <c r="B431" s="13"/>
      <c r="C431" s="13"/>
      <c r="D431" s="13"/>
      <c r="E431" s="13"/>
      <c r="F431" s="13"/>
      <c r="G431" s="13"/>
      <c r="H431" s="13"/>
      <c r="I431" s="117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 spans="1:26">
      <c r="A432" s="13"/>
      <c r="B432" s="13"/>
      <c r="C432" s="13"/>
      <c r="D432" s="13"/>
      <c r="E432" s="13"/>
      <c r="F432" s="13"/>
      <c r="G432" s="13"/>
      <c r="H432" s="13"/>
      <c r="I432" s="117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 spans="1:26">
      <c r="A433" s="13"/>
      <c r="B433" s="13"/>
      <c r="C433" s="13"/>
      <c r="D433" s="13"/>
      <c r="E433" s="13"/>
      <c r="F433" s="13"/>
      <c r="G433" s="13"/>
      <c r="H433" s="13"/>
      <c r="I433" s="117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 spans="1:26">
      <c r="A434" s="13"/>
      <c r="B434" s="13"/>
      <c r="C434" s="13"/>
      <c r="D434" s="13"/>
      <c r="E434" s="13"/>
      <c r="F434" s="13"/>
      <c r="G434" s="13"/>
      <c r="H434" s="13"/>
      <c r="I434" s="117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 spans="1:26">
      <c r="A435" s="13"/>
      <c r="B435" s="13"/>
      <c r="C435" s="13"/>
      <c r="D435" s="13"/>
      <c r="E435" s="13"/>
      <c r="F435" s="13"/>
      <c r="G435" s="13"/>
      <c r="H435" s="13"/>
      <c r="I435" s="117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 spans="1:26">
      <c r="A436" s="13"/>
      <c r="B436" s="13"/>
      <c r="C436" s="13"/>
      <c r="D436" s="13"/>
      <c r="E436" s="13"/>
      <c r="F436" s="13"/>
      <c r="G436" s="13"/>
      <c r="H436" s="13"/>
      <c r="I436" s="117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 spans="1:26">
      <c r="A437" s="13"/>
      <c r="B437" s="13"/>
      <c r="C437" s="13"/>
      <c r="D437" s="13"/>
      <c r="E437" s="13"/>
      <c r="F437" s="13"/>
      <c r="G437" s="13"/>
      <c r="H437" s="13"/>
      <c r="I437" s="117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 spans="1:26">
      <c r="A438" s="13"/>
      <c r="B438" s="13"/>
      <c r="C438" s="13"/>
      <c r="D438" s="13"/>
      <c r="E438" s="13"/>
      <c r="F438" s="13"/>
      <c r="G438" s="13"/>
      <c r="H438" s="13"/>
      <c r="I438" s="117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 spans="1:26">
      <c r="A439" s="13"/>
      <c r="B439" s="13"/>
      <c r="C439" s="13"/>
      <c r="D439" s="13"/>
      <c r="E439" s="13"/>
      <c r="F439" s="13"/>
      <c r="G439" s="13"/>
      <c r="H439" s="13"/>
      <c r="I439" s="117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 spans="1:26">
      <c r="A440" s="13"/>
      <c r="B440" s="13"/>
      <c r="C440" s="13"/>
      <c r="D440" s="13"/>
      <c r="E440" s="13"/>
      <c r="F440" s="13"/>
      <c r="G440" s="13"/>
      <c r="H440" s="13"/>
      <c r="I440" s="117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 spans="1:26">
      <c r="A441" s="13"/>
      <c r="B441" s="13"/>
      <c r="C441" s="13"/>
      <c r="D441" s="13"/>
      <c r="E441" s="13"/>
      <c r="F441" s="13"/>
      <c r="G441" s="13"/>
      <c r="H441" s="13"/>
      <c r="I441" s="117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 spans="1:26">
      <c r="A442" s="13"/>
      <c r="B442" s="13"/>
      <c r="C442" s="13"/>
      <c r="D442" s="13"/>
      <c r="E442" s="13"/>
      <c r="F442" s="13"/>
      <c r="G442" s="13"/>
      <c r="H442" s="13"/>
      <c r="I442" s="117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 spans="1:26">
      <c r="A443" s="13"/>
      <c r="B443" s="13"/>
      <c r="C443" s="13"/>
      <c r="D443" s="13"/>
      <c r="E443" s="13"/>
      <c r="F443" s="13"/>
      <c r="G443" s="13"/>
      <c r="H443" s="13"/>
      <c r="I443" s="117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 spans="1:26">
      <c r="A444" s="13"/>
      <c r="B444" s="13"/>
      <c r="C444" s="13"/>
      <c r="D444" s="13"/>
      <c r="E444" s="13"/>
      <c r="F444" s="13"/>
      <c r="G444" s="13"/>
      <c r="H444" s="13"/>
      <c r="I444" s="117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 spans="1:26">
      <c r="A445" s="13"/>
      <c r="B445" s="13"/>
      <c r="C445" s="13"/>
      <c r="D445" s="13"/>
      <c r="E445" s="13"/>
      <c r="F445" s="13"/>
      <c r="G445" s="13"/>
      <c r="H445" s="13"/>
      <c r="I445" s="117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 spans="1:26">
      <c r="A446" s="13"/>
      <c r="B446" s="13"/>
      <c r="C446" s="13"/>
      <c r="D446" s="13"/>
      <c r="E446" s="13"/>
      <c r="F446" s="13"/>
      <c r="G446" s="13"/>
      <c r="H446" s="13"/>
      <c r="I446" s="117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 spans="1:26">
      <c r="A447" s="13"/>
      <c r="B447" s="13"/>
      <c r="C447" s="13"/>
      <c r="D447" s="13"/>
      <c r="E447" s="13"/>
      <c r="F447" s="13"/>
      <c r="G447" s="13"/>
      <c r="H447" s="13"/>
      <c r="I447" s="117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 spans="1:26">
      <c r="A448" s="13"/>
      <c r="B448" s="13"/>
      <c r="C448" s="13"/>
      <c r="D448" s="13"/>
      <c r="E448" s="13"/>
      <c r="F448" s="13"/>
      <c r="G448" s="13"/>
      <c r="H448" s="13"/>
      <c r="I448" s="117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 spans="1:26">
      <c r="A449" s="13"/>
      <c r="B449" s="13"/>
      <c r="C449" s="13"/>
      <c r="D449" s="13"/>
      <c r="E449" s="13"/>
      <c r="F449" s="13"/>
      <c r="G449" s="13"/>
      <c r="H449" s="13"/>
      <c r="I449" s="117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 spans="1:26">
      <c r="A450" s="13"/>
      <c r="B450" s="13"/>
      <c r="C450" s="13"/>
      <c r="D450" s="13"/>
      <c r="E450" s="13"/>
      <c r="F450" s="13"/>
      <c r="G450" s="13"/>
      <c r="H450" s="13"/>
      <c r="I450" s="117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 spans="1:26">
      <c r="A451" s="13"/>
      <c r="B451" s="13"/>
      <c r="C451" s="13"/>
      <c r="D451" s="13"/>
      <c r="E451" s="13"/>
      <c r="F451" s="13"/>
      <c r="G451" s="13"/>
      <c r="H451" s="13"/>
      <c r="I451" s="117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 spans="1:26">
      <c r="A452" s="13"/>
      <c r="B452" s="13"/>
      <c r="C452" s="13"/>
      <c r="D452" s="13"/>
      <c r="E452" s="13"/>
      <c r="F452" s="13"/>
      <c r="G452" s="13"/>
      <c r="H452" s="13"/>
      <c r="I452" s="117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 spans="1:26">
      <c r="A453" s="13"/>
      <c r="B453" s="13"/>
      <c r="C453" s="13"/>
      <c r="D453" s="13"/>
      <c r="E453" s="13"/>
      <c r="F453" s="13"/>
      <c r="G453" s="13"/>
      <c r="H453" s="13"/>
      <c r="I453" s="117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 spans="1:26">
      <c r="A454" s="13"/>
      <c r="B454" s="13"/>
      <c r="C454" s="13"/>
      <c r="D454" s="13"/>
      <c r="E454" s="13"/>
      <c r="F454" s="13"/>
      <c r="G454" s="13"/>
      <c r="H454" s="13"/>
      <c r="I454" s="117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 spans="1:26">
      <c r="A455" s="13"/>
      <c r="B455" s="13"/>
      <c r="C455" s="13"/>
      <c r="D455" s="13"/>
      <c r="E455" s="13"/>
      <c r="F455" s="13"/>
      <c r="G455" s="13"/>
      <c r="H455" s="13"/>
      <c r="I455" s="117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 spans="1:26">
      <c r="A456" s="13"/>
      <c r="B456" s="13"/>
      <c r="C456" s="13"/>
      <c r="D456" s="13"/>
      <c r="E456" s="13"/>
      <c r="F456" s="13"/>
      <c r="G456" s="13"/>
      <c r="H456" s="13"/>
      <c r="I456" s="117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 spans="1:26">
      <c r="A457" s="13"/>
      <c r="B457" s="13"/>
      <c r="C457" s="13"/>
      <c r="D457" s="13"/>
      <c r="E457" s="13"/>
      <c r="F457" s="13"/>
      <c r="G457" s="13"/>
      <c r="H457" s="13"/>
      <c r="I457" s="117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 spans="1:26">
      <c r="A458" s="13"/>
      <c r="B458" s="13"/>
      <c r="C458" s="13"/>
      <c r="D458" s="13"/>
      <c r="E458" s="13"/>
      <c r="F458" s="13"/>
      <c r="G458" s="13"/>
      <c r="H458" s="13"/>
      <c r="I458" s="117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 spans="1:26">
      <c r="A459" s="13"/>
      <c r="B459" s="13"/>
      <c r="C459" s="13"/>
      <c r="D459" s="13"/>
      <c r="E459" s="13"/>
      <c r="F459" s="13"/>
      <c r="G459" s="13"/>
      <c r="H459" s="13"/>
      <c r="I459" s="117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 spans="1:26">
      <c r="A460" s="13"/>
      <c r="B460" s="13"/>
      <c r="C460" s="13"/>
      <c r="D460" s="13"/>
      <c r="E460" s="13"/>
      <c r="F460" s="13"/>
      <c r="G460" s="13"/>
      <c r="H460" s="13"/>
      <c r="I460" s="117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 spans="1:26">
      <c r="A461" s="13"/>
      <c r="B461" s="13"/>
      <c r="C461" s="13"/>
      <c r="D461" s="13"/>
      <c r="E461" s="13"/>
      <c r="F461" s="13"/>
      <c r="G461" s="13"/>
      <c r="H461" s="13"/>
      <c r="I461" s="117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 spans="1:26">
      <c r="A462" s="13"/>
      <c r="B462" s="13"/>
      <c r="C462" s="13"/>
      <c r="D462" s="13"/>
      <c r="E462" s="13"/>
      <c r="F462" s="13"/>
      <c r="G462" s="13"/>
      <c r="H462" s="13"/>
      <c r="I462" s="117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 spans="1:26">
      <c r="A463" s="13"/>
      <c r="B463" s="13"/>
      <c r="C463" s="13"/>
      <c r="D463" s="13"/>
      <c r="E463" s="13"/>
      <c r="F463" s="13"/>
      <c r="G463" s="13"/>
      <c r="H463" s="13"/>
      <c r="I463" s="117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 spans="1:26">
      <c r="A464" s="13"/>
      <c r="B464" s="13"/>
      <c r="C464" s="13"/>
      <c r="D464" s="13"/>
      <c r="E464" s="13"/>
      <c r="F464" s="13"/>
      <c r="G464" s="13"/>
      <c r="H464" s="13"/>
      <c r="I464" s="117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 spans="1:26">
      <c r="A465" s="13"/>
      <c r="B465" s="13"/>
      <c r="C465" s="13"/>
      <c r="D465" s="13"/>
      <c r="E465" s="13"/>
      <c r="F465" s="13"/>
      <c r="G465" s="13"/>
      <c r="H465" s="13"/>
      <c r="I465" s="117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 spans="1:26">
      <c r="A466" s="13"/>
      <c r="B466" s="13"/>
      <c r="C466" s="13"/>
      <c r="D466" s="13"/>
      <c r="E466" s="13"/>
      <c r="F466" s="13"/>
      <c r="G466" s="13"/>
      <c r="H466" s="13"/>
      <c r="I466" s="117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 spans="1:26">
      <c r="A467" s="13"/>
      <c r="B467" s="13"/>
      <c r="C467" s="13"/>
      <c r="D467" s="13"/>
      <c r="E467" s="13"/>
      <c r="F467" s="13"/>
      <c r="G467" s="13"/>
      <c r="H467" s="13"/>
      <c r="I467" s="117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 spans="1:26">
      <c r="A468" s="13"/>
      <c r="B468" s="13"/>
      <c r="C468" s="13"/>
      <c r="D468" s="13"/>
      <c r="E468" s="13"/>
      <c r="F468" s="13"/>
      <c r="G468" s="13"/>
      <c r="H468" s="13"/>
      <c r="I468" s="117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 spans="1:26">
      <c r="A469" s="13"/>
      <c r="B469" s="13"/>
      <c r="C469" s="13"/>
      <c r="D469" s="13"/>
      <c r="E469" s="13"/>
      <c r="F469" s="13"/>
      <c r="G469" s="13"/>
      <c r="H469" s="13"/>
      <c r="I469" s="117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 spans="1:26">
      <c r="A470" s="13"/>
      <c r="B470" s="13"/>
      <c r="C470" s="13"/>
      <c r="D470" s="13"/>
      <c r="E470" s="13"/>
      <c r="F470" s="13"/>
      <c r="G470" s="13"/>
      <c r="H470" s="13"/>
      <c r="I470" s="117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 spans="1:26">
      <c r="A471" s="13"/>
      <c r="B471" s="13"/>
      <c r="C471" s="13"/>
      <c r="D471" s="13"/>
      <c r="E471" s="13"/>
      <c r="F471" s="13"/>
      <c r="G471" s="13"/>
      <c r="H471" s="13"/>
      <c r="I471" s="117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 spans="1:26">
      <c r="A472" s="13"/>
      <c r="B472" s="13"/>
      <c r="C472" s="13"/>
      <c r="D472" s="13"/>
      <c r="E472" s="13"/>
      <c r="F472" s="13"/>
      <c r="G472" s="13"/>
      <c r="H472" s="13"/>
      <c r="I472" s="117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 spans="1:26">
      <c r="A473" s="13"/>
      <c r="B473" s="13"/>
      <c r="C473" s="13"/>
      <c r="D473" s="13"/>
      <c r="E473" s="13"/>
      <c r="F473" s="13"/>
      <c r="G473" s="13"/>
      <c r="H473" s="13"/>
      <c r="I473" s="117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 spans="1:26">
      <c r="A474" s="13"/>
      <c r="B474" s="13"/>
      <c r="C474" s="13"/>
      <c r="D474" s="13"/>
      <c r="E474" s="13"/>
      <c r="F474" s="13"/>
      <c r="G474" s="13"/>
      <c r="H474" s="13"/>
      <c r="I474" s="117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 spans="1:26">
      <c r="A475" s="13"/>
      <c r="B475" s="13"/>
      <c r="C475" s="13"/>
      <c r="D475" s="13"/>
      <c r="E475" s="13"/>
      <c r="F475" s="13"/>
      <c r="G475" s="13"/>
      <c r="H475" s="13"/>
      <c r="I475" s="117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 spans="1:26">
      <c r="A476" s="13"/>
      <c r="B476" s="13"/>
      <c r="C476" s="13"/>
      <c r="D476" s="13"/>
      <c r="E476" s="13"/>
      <c r="F476" s="13"/>
      <c r="G476" s="13"/>
      <c r="H476" s="13"/>
      <c r="I476" s="117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 spans="1:26">
      <c r="A477" s="13"/>
      <c r="B477" s="13"/>
      <c r="C477" s="13"/>
      <c r="D477" s="13"/>
      <c r="E477" s="13"/>
      <c r="F477" s="13"/>
      <c r="G477" s="13"/>
      <c r="H477" s="13"/>
      <c r="I477" s="117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 spans="1:26">
      <c r="A478" s="13"/>
      <c r="B478" s="13"/>
      <c r="C478" s="13"/>
      <c r="D478" s="13"/>
      <c r="E478" s="13"/>
      <c r="F478" s="13"/>
      <c r="G478" s="13"/>
      <c r="H478" s="13"/>
      <c r="I478" s="117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 spans="1:26">
      <c r="A479" s="13"/>
      <c r="B479" s="13"/>
      <c r="C479" s="13"/>
      <c r="D479" s="13"/>
      <c r="E479" s="13"/>
      <c r="F479" s="13"/>
      <c r="G479" s="13"/>
      <c r="H479" s="13"/>
      <c r="I479" s="117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 spans="1:26">
      <c r="A480" s="13"/>
      <c r="B480" s="13"/>
      <c r="C480" s="13"/>
      <c r="D480" s="13"/>
      <c r="E480" s="13"/>
      <c r="F480" s="13"/>
      <c r="G480" s="13"/>
      <c r="H480" s="13"/>
      <c r="I480" s="117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 spans="1:26">
      <c r="A481" s="13"/>
      <c r="B481" s="13"/>
      <c r="C481" s="13"/>
      <c r="D481" s="13"/>
      <c r="E481" s="13"/>
      <c r="F481" s="13"/>
      <c r="G481" s="13"/>
      <c r="H481" s="13"/>
      <c r="I481" s="117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 spans="1:26">
      <c r="A482" s="13"/>
      <c r="B482" s="13"/>
      <c r="C482" s="13"/>
      <c r="D482" s="13"/>
      <c r="E482" s="13"/>
      <c r="F482" s="13"/>
      <c r="G482" s="13"/>
      <c r="H482" s="13"/>
      <c r="I482" s="117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 spans="1:26">
      <c r="A483" s="13"/>
      <c r="B483" s="13"/>
      <c r="C483" s="13"/>
      <c r="D483" s="13"/>
      <c r="E483" s="13"/>
      <c r="F483" s="13"/>
      <c r="G483" s="13"/>
      <c r="H483" s="13"/>
      <c r="I483" s="117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 spans="1:26">
      <c r="A484" s="13"/>
      <c r="B484" s="13"/>
      <c r="C484" s="13"/>
      <c r="D484" s="13"/>
      <c r="E484" s="13"/>
      <c r="F484" s="13"/>
      <c r="G484" s="13"/>
      <c r="H484" s="13"/>
      <c r="I484" s="117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 spans="1:26">
      <c r="A485" s="13"/>
      <c r="B485" s="13"/>
      <c r="C485" s="13"/>
      <c r="D485" s="13"/>
      <c r="E485" s="13"/>
      <c r="F485" s="13"/>
      <c r="G485" s="13"/>
      <c r="H485" s="13"/>
      <c r="I485" s="117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 spans="1:26">
      <c r="A486" s="13"/>
      <c r="B486" s="13"/>
      <c r="C486" s="13"/>
      <c r="D486" s="13"/>
      <c r="E486" s="13"/>
      <c r="F486" s="13"/>
      <c r="G486" s="13"/>
      <c r="H486" s="13"/>
      <c r="I486" s="117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 spans="1:26">
      <c r="A487" s="13"/>
      <c r="B487" s="13"/>
      <c r="C487" s="13"/>
      <c r="D487" s="13"/>
      <c r="E487" s="13"/>
      <c r="F487" s="13"/>
      <c r="G487" s="13"/>
      <c r="H487" s="13"/>
      <c r="I487" s="117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 spans="1:26">
      <c r="A488" s="13"/>
      <c r="B488" s="13"/>
      <c r="C488" s="13"/>
      <c r="D488" s="13"/>
      <c r="E488" s="13"/>
      <c r="F488" s="13"/>
      <c r="G488" s="13"/>
      <c r="H488" s="13"/>
      <c r="I488" s="117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 spans="1:26">
      <c r="A489" s="13"/>
      <c r="B489" s="13"/>
      <c r="C489" s="13"/>
      <c r="D489" s="13"/>
      <c r="E489" s="13"/>
      <c r="F489" s="13"/>
      <c r="G489" s="13"/>
      <c r="H489" s="13"/>
      <c r="I489" s="117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 spans="1:26">
      <c r="A490" s="13"/>
      <c r="B490" s="13"/>
      <c r="C490" s="13"/>
      <c r="D490" s="13"/>
      <c r="E490" s="13"/>
      <c r="F490" s="13"/>
      <c r="G490" s="13"/>
      <c r="H490" s="13"/>
      <c r="I490" s="117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 spans="1:26">
      <c r="A491" s="13"/>
      <c r="B491" s="13"/>
      <c r="C491" s="13"/>
      <c r="D491" s="13"/>
      <c r="E491" s="13"/>
      <c r="F491" s="13"/>
      <c r="G491" s="13"/>
      <c r="H491" s="13"/>
      <c r="I491" s="117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 spans="1:26">
      <c r="A492" s="13"/>
      <c r="B492" s="13"/>
      <c r="C492" s="13"/>
      <c r="D492" s="13"/>
      <c r="E492" s="13"/>
      <c r="F492" s="13"/>
      <c r="G492" s="13"/>
      <c r="H492" s="13"/>
      <c r="I492" s="117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 spans="1:26">
      <c r="A493" s="13"/>
      <c r="B493" s="13"/>
      <c r="C493" s="13"/>
      <c r="D493" s="13"/>
      <c r="E493" s="13"/>
      <c r="F493" s="13"/>
      <c r="G493" s="13"/>
      <c r="H493" s="13"/>
      <c r="I493" s="117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 spans="1:26">
      <c r="A494" s="13"/>
      <c r="B494" s="13"/>
      <c r="C494" s="13"/>
      <c r="D494" s="13"/>
      <c r="E494" s="13"/>
      <c r="F494" s="13"/>
      <c r="G494" s="13"/>
      <c r="H494" s="13"/>
      <c r="I494" s="117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 spans="1:26">
      <c r="A495" s="13"/>
      <c r="B495" s="13"/>
      <c r="C495" s="13"/>
      <c r="D495" s="13"/>
      <c r="E495" s="13"/>
      <c r="F495" s="13"/>
      <c r="G495" s="13"/>
      <c r="H495" s="13"/>
      <c r="I495" s="117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 spans="1:26">
      <c r="A496" s="13"/>
      <c r="B496" s="13"/>
      <c r="C496" s="13"/>
      <c r="D496" s="13"/>
      <c r="E496" s="13"/>
      <c r="F496" s="13"/>
      <c r="G496" s="13"/>
      <c r="H496" s="13"/>
      <c r="I496" s="117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 spans="1:26">
      <c r="A497" s="13"/>
      <c r="B497" s="13"/>
      <c r="C497" s="13"/>
      <c r="D497" s="13"/>
      <c r="E497" s="13"/>
      <c r="F497" s="13"/>
      <c r="G497" s="13"/>
      <c r="H497" s="13"/>
      <c r="I497" s="117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 spans="1:26">
      <c r="A498" s="13"/>
      <c r="B498" s="13"/>
      <c r="C498" s="13"/>
      <c r="D498" s="13"/>
      <c r="E498" s="13"/>
      <c r="F498" s="13"/>
      <c r="G498" s="13"/>
      <c r="H498" s="13"/>
      <c r="I498" s="117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 spans="1:26">
      <c r="A499" s="13"/>
      <c r="B499" s="13"/>
      <c r="C499" s="13"/>
      <c r="D499" s="13"/>
      <c r="E499" s="13"/>
      <c r="F499" s="13"/>
      <c r="G499" s="13"/>
      <c r="H499" s="13"/>
      <c r="I499" s="117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 spans="1:26">
      <c r="A500" s="13"/>
      <c r="B500" s="13"/>
      <c r="C500" s="13"/>
      <c r="D500" s="13"/>
      <c r="E500" s="13"/>
      <c r="F500" s="13"/>
      <c r="G500" s="13"/>
      <c r="H500" s="13"/>
      <c r="I500" s="117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 spans="1:26">
      <c r="A501" s="13"/>
      <c r="B501" s="13"/>
      <c r="C501" s="13"/>
      <c r="D501" s="13"/>
      <c r="E501" s="13"/>
      <c r="F501" s="13"/>
      <c r="G501" s="13"/>
      <c r="H501" s="13"/>
      <c r="I501" s="117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 spans="1:26">
      <c r="A502" s="13"/>
      <c r="B502" s="13"/>
      <c r="C502" s="13"/>
      <c r="D502" s="13"/>
      <c r="E502" s="13"/>
      <c r="F502" s="13"/>
      <c r="G502" s="13"/>
      <c r="H502" s="13"/>
      <c r="I502" s="117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 spans="1:26">
      <c r="A503" s="13"/>
      <c r="B503" s="13"/>
      <c r="C503" s="13"/>
      <c r="D503" s="13"/>
      <c r="E503" s="13"/>
      <c r="F503" s="13"/>
      <c r="G503" s="13"/>
      <c r="H503" s="13"/>
      <c r="I503" s="117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 spans="1:26">
      <c r="A504" s="13"/>
      <c r="B504" s="13"/>
      <c r="C504" s="13"/>
      <c r="D504" s="13"/>
      <c r="E504" s="13"/>
      <c r="F504" s="13"/>
      <c r="G504" s="13"/>
      <c r="H504" s="13"/>
      <c r="I504" s="117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 spans="1:26">
      <c r="A505" s="13"/>
      <c r="B505" s="13"/>
      <c r="C505" s="13"/>
      <c r="D505" s="13"/>
      <c r="E505" s="13"/>
      <c r="F505" s="13"/>
      <c r="G505" s="13"/>
      <c r="H505" s="13"/>
      <c r="I505" s="117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 spans="1:26">
      <c r="A506" s="13"/>
      <c r="B506" s="13"/>
      <c r="C506" s="13"/>
      <c r="D506" s="13"/>
      <c r="E506" s="13"/>
      <c r="F506" s="13"/>
      <c r="G506" s="13"/>
      <c r="H506" s="13"/>
      <c r="I506" s="117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 spans="1:26">
      <c r="A507" s="13"/>
      <c r="B507" s="13"/>
      <c r="C507" s="13"/>
      <c r="D507" s="13"/>
      <c r="E507" s="13"/>
      <c r="F507" s="13"/>
      <c r="G507" s="13"/>
      <c r="H507" s="13"/>
      <c r="I507" s="117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 spans="1:26">
      <c r="A508" s="13"/>
      <c r="B508" s="13"/>
      <c r="C508" s="13"/>
      <c r="D508" s="13"/>
      <c r="E508" s="13"/>
      <c r="F508" s="13"/>
      <c r="G508" s="13"/>
      <c r="H508" s="13"/>
      <c r="I508" s="117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 spans="1:26">
      <c r="A509" s="13"/>
      <c r="B509" s="13"/>
      <c r="C509" s="13"/>
      <c r="D509" s="13"/>
      <c r="E509" s="13"/>
      <c r="F509" s="13"/>
      <c r="G509" s="13"/>
      <c r="H509" s="13"/>
      <c r="I509" s="117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 spans="1:26">
      <c r="A510" s="13"/>
      <c r="B510" s="13"/>
      <c r="C510" s="13"/>
      <c r="D510" s="13"/>
      <c r="E510" s="13"/>
      <c r="F510" s="13"/>
      <c r="G510" s="13"/>
      <c r="H510" s="13"/>
      <c r="I510" s="117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 spans="1:26">
      <c r="A511" s="13"/>
      <c r="B511" s="13"/>
      <c r="C511" s="13"/>
      <c r="D511" s="13"/>
      <c r="E511" s="13"/>
      <c r="F511" s="13"/>
      <c r="G511" s="13"/>
      <c r="H511" s="13"/>
      <c r="I511" s="117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 spans="1:26">
      <c r="A512" s="13"/>
      <c r="B512" s="13"/>
      <c r="C512" s="13"/>
      <c r="D512" s="13"/>
      <c r="E512" s="13"/>
      <c r="F512" s="13"/>
      <c r="G512" s="13"/>
      <c r="H512" s="13"/>
      <c r="I512" s="117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 spans="1:26">
      <c r="A513" s="13"/>
      <c r="B513" s="13"/>
      <c r="C513" s="13"/>
      <c r="D513" s="13"/>
      <c r="E513" s="13"/>
      <c r="F513" s="13"/>
      <c r="G513" s="13"/>
      <c r="H513" s="13"/>
      <c r="I513" s="117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 spans="1:26">
      <c r="A514" s="13"/>
      <c r="B514" s="13"/>
      <c r="C514" s="13"/>
      <c r="D514" s="13"/>
      <c r="E514" s="13"/>
      <c r="F514" s="13"/>
      <c r="G514" s="13"/>
      <c r="H514" s="13"/>
      <c r="I514" s="117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 spans="1:26">
      <c r="A515" s="13"/>
      <c r="B515" s="13"/>
      <c r="C515" s="13"/>
      <c r="D515" s="13"/>
      <c r="E515" s="13"/>
      <c r="F515" s="13"/>
      <c r="G515" s="13"/>
      <c r="H515" s="13"/>
      <c r="I515" s="117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 spans="1:26">
      <c r="A516" s="13"/>
      <c r="B516" s="13"/>
      <c r="C516" s="13"/>
      <c r="D516" s="13"/>
      <c r="E516" s="13"/>
      <c r="F516" s="13"/>
      <c r="G516" s="13"/>
      <c r="H516" s="13"/>
      <c r="I516" s="117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 spans="1:26">
      <c r="A517" s="13"/>
      <c r="B517" s="13"/>
      <c r="C517" s="13"/>
      <c r="D517" s="13"/>
      <c r="E517" s="13"/>
      <c r="F517" s="13"/>
      <c r="G517" s="13"/>
      <c r="H517" s="13"/>
      <c r="I517" s="117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 spans="1:26">
      <c r="A518" s="13"/>
      <c r="B518" s="13"/>
      <c r="C518" s="13"/>
      <c r="D518" s="13"/>
      <c r="E518" s="13"/>
      <c r="F518" s="13"/>
      <c r="G518" s="13"/>
      <c r="H518" s="13"/>
      <c r="I518" s="117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 spans="1:26">
      <c r="A519" s="13"/>
      <c r="B519" s="13"/>
      <c r="C519" s="13"/>
      <c r="D519" s="13"/>
      <c r="E519" s="13"/>
      <c r="F519" s="13"/>
      <c r="G519" s="13"/>
      <c r="H519" s="13"/>
      <c r="I519" s="117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 spans="1:26">
      <c r="A520" s="13"/>
      <c r="B520" s="13"/>
      <c r="C520" s="13"/>
      <c r="D520" s="13"/>
      <c r="E520" s="13"/>
      <c r="F520" s="13"/>
      <c r="G520" s="13"/>
      <c r="H520" s="13"/>
      <c r="I520" s="117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 spans="1:26">
      <c r="A521" s="13"/>
      <c r="B521" s="13"/>
      <c r="C521" s="13"/>
      <c r="D521" s="13"/>
      <c r="E521" s="13"/>
      <c r="F521" s="13"/>
      <c r="G521" s="13"/>
      <c r="H521" s="13"/>
      <c r="I521" s="117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 spans="1:26">
      <c r="A522" s="13"/>
      <c r="B522" s="13"/>
      <c r="C522" s="13"/>
      <c r="D522" s="13"/>
      <c r="E522" s="13"/>
      <c r="F522" s="13"/>
      <c r="G522" s="13"/>
      <c r="H522" s="13"/>
      <c r="I522" s="117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 spans="1:26">
      <c r="A523" s="13"/>
      <c r="B523" s="13"/>
      <c r="C523" s="13"/>
      <c r="D523" s="13"/>
      <c r="E523" s="13"/>
      <c r="F523" s="13"/>
      <c r="G523" s="13"/>
      <c r="H523" s="13"/>
      <c r="I523" s="117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 spans="1:26">
      <c r="A524" s="13"/>
      <c r="B524" s="13"/>
      <c r="C524" s="13"/>
      <c r="D524" s="13"/>
      <c r="E524" s="13"/>
      <c r="F524" s="13"/>
      <c r="G524" s="13"/>
      <c r="H524" s="13"/>
      <c r="I524" s="117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 spans="1:26">
      <c r="A525" s="13"/>
      <c r="B525" s="13"/>
      <c r="C525" s="13"/>
      <c r="D525" s="13"/>
      <c r="E525" s="13"/>
      <c r="F525" s="13"/>
      <c r="G525" s="13"/>
      <c r="H525" s="13"/>
      <c r="I525" s="117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 spans="1:26">
      <c r="A526" s="13"/>
      <c r="B526" s="13"/>
      <c r="C526" s="13"/>
      <c r="D526" s="13"/>
      <c r="E526" s="13"/>
      <c r="F526" s="13"/>
      <c r="G526" s="13"/>
      <c r="H526" s="13"/>
      <c r="I526" s="117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 spans="1:26">
      <c r="A527" s="13"/>
      <c r="B527" s="13"/>
      <c r="C527" s="13"/>
      <c r="D527" s="13"/>
      <c r="E527" s="13"/>
      <c r="F527" s="13"/>
      <c r="G527" s="13"/>
      <c r="H527" s="13"/>
      <c r="I527" s="117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 spans="1:26">
      <c r="A528" s="13"/>
      <c r="B528" s="13"/>
      <c r="C528" s="13"/>
      <c r="D528" s="13"/>
      <c r="E528" s="13"/>
      <c r="F528" s="13"/>
      <c r="G528" s="13"/>
      <c r="H528" s="13"/>
      <c r="I528" s="117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 spans="1:26">
      <c r="A529" s="13"/>
      <c r="B529" s="13"/>
      <c r="C529" s="13"/>
      <c r="D529" s="13"/>
      <c r="E529" s="13"/>
      <c r="F529" s="13"/>
      <c r="G529" s="13"/>
      <c r="H529" s="13"/>
      <c r="I529" s="117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 spans="1:26">
      <c r="A530" s="13"/>
      <c r="B530" s="13"/>
      <c r="C530" s="13"/>
      <c r="D530" s="13"/>
      <c r="E530" s="13"/>
      <c r="F530" s="13"/>
      <c r="G530" s="13"/>
      <c r="H530" s="13"/>
      <c r="I530" s="117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 spans="1:26">
      <c r="A531" s="13"/>
      <c r="B531" s="13"/>
      <c r="C531" s="13"/>
      <c r="D531" s="13"/>
      <c r="E531" s="13"/>
      <c r="F531" s="13"/>
      <c r="G531" s="13"/>
      <c r="H531" s="13"/>
      <c r="I531" s="117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 spans="1:26">
      <c r="A532" s="13"/>
      <c r="B532" s="13"/>
      <c r="C532" s="13"/>
      <c r="D532" s="13"/>
      <c r="E532" s="13"/>
      <c r="F532" s="13"/>
      <c r="G532" s="13"/>
      <c r="H532" s="13"/>
      <c r="I532" s="117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 spans="1:26">
      <c r="A533" s="13"/>
      <c r="B533" s="13"/>
      <c r="C533" s="13"/>
      <c r="D533" s="13"/>
      <c r="E533" s="13"/>
      <c r="F533" s="13"/>
      <c r="G533" s="13"/>
      <c r="H533" s="13"/>
      <c r="I533" s="117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 spans="1:26">
      <c r="A534" s="13"/>
      <c r="B534" s="13"/>
      <c r="C534" s="13"/>
      <c r="D534" s="13"/>
      <c r="E534" s="13"/>
      <c r="F534" s="13"/>
      <c r="G534" s="13"/>
      <c r="H534" s="13"/>
      <c r="I534" s="117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 spans="1:26">
      <c r="A535" s="13"/>
      <c r="B535" s="13"/>
      <c r="C535" s="13"/>
      <c r="D535" s="13"/>
      <c r="E535" s="13"/>
      <c r="F535" s="13"/>
      <c r="G535" s="13"/>
      <c r="H535" s="13"/>
      <c r="I535" s="117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 spans="1:26">
      <c r="A536" s="13"/>
      <c r="B536" s="13"/>
      <c r="C536" s="13"/>
      <c r="D536" s="13"/>
      <c r="E536" s="13"/>
      <c r="F536" s="13"/>
      <c r="G536" s="13"/>
      <c r="H536" s="13"/>
      <c r="I536" s="117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 spans="1:26">
      <c r="A537" s="13"/>
      <c r="B537" s="13"/>
      <c r="C537" s="13"/>
      <c r="D537" s="13"/>
      <c r="E537" s="13"/>
      <c r="F537" s="13"/>
      <c r="G537" s="13"/>
      <c r="H537" s="13"/>
      <c r="I537" s="117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 spans="1:26">
      <c r="A538" s="13"/>
      <c r="B538" s="13"/>
      <c r="C538" s="13"/>
      <c r="D538" s="13"/>
      <c r="E538" s="13"/>
      <c r="F538" s="13"/>
      <c r="G538" s="13"/>
      <c r="H538" s="13"/>
      <c r="I538" s="117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 spans="1:26">
      <c r="A539" s="13"/>
      <c r="B539" s="13"/>
      <c r="C539" s="13"/>
      <c r="D539" s="13"/>
      <c r="E539" s="13"/>
      <c r="F539" s="13"/>
      <c r="G539" s="13"/>
      <c r="H539" s="13"/>
      <c r="I539" s="117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 spans="1:26">
      <c r="A540" s="13"/>
      <c r="B540" s="13"/>
      <c r="C540" s="13"/>
      <c r="D540" s="13"/>
      <c r="E540" s="13"/>
      <c r="F540" s="13"/>
      <c r="G540" s="13"/>
      <c r="H540" s="13"/>
      <c r="I540" s="117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 spans="1:26">
      <c r="A541" s="13"/>
      <c r="B541" s="13"/>
      <c r="C541" s="13"/>
      <c r="D541" s="13"/>
      <c r="E541" s="13"/>
      <c r="F541" s="13"/>
      <c r="G541" s="13"/>
      <c r="H541" s="13"/>
      <c r="I541" s="117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 spans="1:26">
      <c r="A542" s="13"/>
      <c r="B542" s="13"/>
      <c r="C542" s="13"/>
      <c r="D542" s="13"/>
      <c r="E542" s="13"/>
      <c r="F542" s="13"/>
      <c r="G542" s="13"/>
      <c r="H542" s="13"/>
      <c r="I542" s="117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 spans="1:26">
      <c r="A543" s="13"/>
      <c r="B543" s="13"/>
      <c r="C543" s="13"/>
      <c r="D543" s="13"/>
      <c r="E543" s="13"/>
      <c r="F543" s="13"/>
      <c r="G543" s="13"/>
      <c r="H543" s="13"/>
      <c r="I543" s="117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 spans="1:26">
      <c r="A544" s="13"/>
      <c r="B544" s="13"/>
      <c r="C544" s="13"/>
      <c r="D544" s="13"/>
      <c r="E544" s="13"/>
      <c r="F544" s="13"/>
      <c r="G544" s="13"/>
      <c r="H544" s="13"/>
      <c r="I544" s="117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 spans="1:26">
      <c r="A545" s="13"/>
      <c r="B545" s="13"/>
      <c r="C545" s="13"/>
      <c r="D545" s="13"/>
      <c r="E545" s="13"/>
      <c r="F545" s="13"/>
      <c r="G545" s="13"/>
      <c r="H545" s="13"/>
      <c r="I545" s="117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 spans="1:26">
      <c r="A546" s="13"/>
      <c r="B546" s="13"/>
      <c r="C546" s="13"/>
      <c r="D546" s="13"/>
      <c r="E546" s="13"/>
      <c r="F546" s="13"/>
      <c r="G546" s="13"/>
      <c r="H546" s="13"/>
      <c r="I546" s="117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 spans="1:26">
      <c r="A547" s="13"/>
      <c r="B547" s="13"/>
      <c r="C547" s="13"/>
      <c r="D547" s="13"/>
      <c r="E547" s="13"/>
      <c r="F547" s="13"/>
      <c r="G547" s="13"/>
      <c r="H547" s="13"/>
      <c r="I547" s="117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 spans="1:26">
      <c r="A548" s="13"/>
      <c r="B548" s="13"/>
      <c r="C548" s="13"/>
      <c r="D548" s="13"/>
      <c r="E548" s="13"/>
      <c r="F548" s="13"/>
      <c r="G548" s="13"/>
      <c r="H548" s="13"/>
      <c r="I548" s="117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 spans="1:26">
      <c r="A549" s="13"/>
      <c r="B549" s="13"/>
      <c r="C549" s="13"/>
      <c r="D549" s="13"/>
      <c r="E549" s="13"/>
      <c r="F549" s="13"/>
      <c r="G549" s="13"/>
      <c r="H549" s="13"/>
      <c r="I549" s="117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 spans="1:26">
      <c r="A550" s="13"/>
      <c r="B550" s="13"/>
      <c r="C550" s="13"/>
      <c r="D550" s="13"/>
      <c r="E550" s="13"/>
      <c r="F550" s="13"/>
      <c r="G550" s="13"/>
      <c r="H550" s="13"/>
      <c r="I550" s="117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 spans="1:26">
      <c r="A551" s="13"/>
      <c r="B551" s="13"/>
      <c r="C551" s="13"/>
      <c r="D551" s="13"/>
      <c r="E551" s="13"/>
      <c r="F551" s="13"/>
      <c r="G551" s="13"/>
      <c r="H551" s="13"/>
      <c r="I551" s="117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 spans="1:26">
      <c r="A552" s="13"/>
      <c r="B552" s="13"/>
      <c r="C552" s="13"/>
      <c r="D552" s="13"/>
      <c r="E552" s="13"/>
      <c r="F552" s="13"/>
      <c r="G552" s="13"/>
      <c r="H552" s="13"/>
      <c r="I552" s="117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 spans="1:26">
      <c r="A553" s="13"/>
      <c r="B553" s="13"/>
      <c r="C553" s="13"/>
      <c r="D553" s="13"/>
      <c r="E553" s="13"/>
      <c r="F553" s="13"/>
      <c r="G553" s="13"/>
      <c r="H553" s="13"/>
      <c r="I553" s="117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 spans="1:26">
      <c r="A554" s="13"/>
      <c r="B554" s="13"/>
      <c r="C554" s="13"/>
      <c r="D554" s="13"/>
      <c r="E554" s="13"/>
      <c r="F554" s="13"/>
      <c r="G554" s="13"/>
      <c r="H554" s="13"/>
      <c r="I554" s="117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 spans="1:26">
      <c r="A555" s="13"/>
      <c r="B555" s="13"/>
      <c r="C555" s="13"/>
      <c r="D555" s="13"/>
      <c r="E555" s="13"/>
      <c r="F555" s="13"/>
      <c r="G555" s="13"/>
      <c r="H555" s="13"/>
      <c r="I555" s="117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 spans="1:26">
      <c r="A556" s="13"/>
      <c r="B556" s="13"/>
      <c r="C556" s="13"/>
      <c r="D556" s="13"/>
      <c r="E556" s="13"/>
      <c r="F556" s="13"/>
      <c r="G556" s="13"/>
      <c r="H556" s="13"/>
      <c r="I556" s="117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 spans="1:26">
      <c r="A557" s="13"/>
      <c r="B557" s="13"/>
      <c r="C557" s="13"/>
      <c r="D557" s="13"/>
      <c r="E557" s="13"/>
      <c r="F557" s="13"/>
      <c r="G557" s="13"/>
      <c r="H557" s="13"/>
      <c r="I557" s="117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 spans="1:26">
      <c r="A558" s="13"/>
      <c r="B558" s="13"/>
      <c r="C558" s="13"/>
      <c r="D558" s="13"/>
      <c r="E558" s="13"/>
      <c r="F558" s="13"/>
      <c r="G558" s="13"/>
      <c r="H558" s="13"/>
      <c r="I558" s="117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 spans="1:26">
      <c r="A559" s="13"/>
      <c r="B559" s="13"/>
      <c r="C559" s="13"/>
      <c r="D559" s="13"/>
      <c r="E559" s="13"/>
      <c r="F559" s="13"/>
      <c r="G559" s="13"/>
      <c r="H559" s="13"/>
      <c r="I559" s="117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 spans="1:26">
      <c r="A560" s="13"/>
      <c r="B560" s="13"/>
      <c r="C560" s="13"/>
      <c r="D560" s="13"/>
      <c r="E560" s="13"/>
      <c r="F560" s="13"/>
      <c r="G560" s="13"/>
      <c r="H560" s="13"/>
      <c r="I560" s="117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 spans="1:26">
      <c r="A561" s="13"/>
      <c r="B561" s="13"/>
      <c r="C561" s="13"/>
      <c r="D561" s="13"/>
      <c r="E561" s="13"/>
      <c r="F561" s="13"/>
      <c r="G561" s="13"/>
      <c r="H561" s="13"/>
      <c r="I561" s="117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 spans="1:26">
      <c r="A562" s="13"/>
      <c r="B562" s="13"/>
      <c r="C562" s="13"/>
      <c r="D562" s="13"/>
      <c r="E562" s="13"/>
      <c r="F562" s="13"/>
      <c r="G562" s="13"/>
      <c r="H562" s="13"/>
      <c r="I562" s="117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 spans="1:26">
      <c r="A563" s="13"/>
      <c r="B563" s="13"/>
      <c r="C563" s="13"/>
      <c r="D563" s="13"/>
      <c r="E563" s="13"/>
      <c r="F563" s="13"/>
      <c r="G563" s="13"/>
      <c r="H563" s="13"/>
      <c r="I563" s="117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 spans="1:26">
      <c r="A564" s="13"/>
      <c r="B564" s="13"/>
      <c r="C564" s="13"/>
      <c r="D564" s="13"/>
      <c r="E564" s="13"/>
      <c r="F564" s="13"/>
      <c r="G564" s="13"/>
      <c r="H564" s="13"/>
      <c r="I564" s="117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 spans="1:26">
      <c r="A565" s="13"/>
      <c r="B565" s="13"/>
      <c r="C565" s="13"/>
      <c r="D565" s="13"/>
      <c r="E565" s="13"/>
      <c r="F565" s="13"/>
      <c r="G565" s="13"/>
      <c r="H565" s="13"/>
      <c r="I565" s="117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 spans="1:26">
      <c r="A566" s="13"/>
      <c r="B566" s="13"/>
      <c r="C566" s="13"/>
      <c r="D566" s="13"/>
      <c r="E566" s="13"/>
      <c r="F566" s="13"/>
      <c r="G566" s="13"/>
      <c r="H566" s="13"/>
      <c r="I566" s="117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 spans="1:26">
      <c r="A567" s="13"/>
      <c r="B567" s="13"/>
      <c r="C567" s="13"/>
      <c r="D567" s="13"/>
      <c r="E567" s="13"/>
      <c r="F567" s="13"/>
      <c r="G567" s="13"/>
      <c r="H567" s="13"/>
      <c r="I567" s="117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 spans="1:26">
      <c r="A568" s="13"/>
      <c r="B568" s="13"/>
      <c r="C568" s="13"/>
      <c r="D568" s="13"/>
      <c r="E568" s="13"/>
      <c r="F568" s="13"/>
      <c r="G568" s="13"/>
      <c r="H568" s="13"/>
      <c r="I568" s="117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 spans="1:26">
      <c r="A569" s="13"/>
      <c r="B569" s="13"/>
      <c r="C569" s="13"/>
      <c r="D569" s="13"/>
      <c r="E569" s="13"/>
      <c r="F569" s="13"/>
      <c r="G569" s="13"/>
      <c r="H569" s="13"/>
      <c r="I569" s="117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 spans="1:26">
      <c r="A570" s="13"/>
      <c r="B570" s="13"/>
      <c r="C570" s="13"/>
      <c r="D570" s="13"/>
      <c r="E570" s="13"/>
      <c r="F570" s="13"/>
      <c r="G570" s="13"/>
      <c r="H570" s="13"/>
      <c r="I570" s="117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 spans="1:26">
      <c r="A571" s="13"/>
      <c r="B571" s="13"/>
      <c r="C571" s="13"/>
      <c r="D571" s="13"/>
      <c r="E571" s="13"/>
      <c r="F571" s="13"/>
      <c r="G571" s="13"/>
      <c r="H571" s="13"/>
      <c r="I571" s="117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 spans="1:26">
      <c r="A572" s="13"/>
      <c r="B572" s="13"/>
      <c r="C572" s="13"/>
      <c r="D572" s="13"/>
      <c r="E572" s="13"/>
      <c r="F572" s="13"/>
      <c r="G572" s="13"/>
      <c r="H572" s="13"/>
      <c r="I572" s="117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 spans="1:26">
      <c r="A573" s="13"/>
      <c r="B573" s="13"/>
      <c r="C573" s="13"/>
      <c r="D573" s="13"/>
      <c r="E573" s="13"/>
      <c r="F573" s="13"/>
      <c r="G573" s="13"/>
      <c r="H573" s="13"/>
      <c r="I573" s="117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 spans="1:26">
      <c r="A574" s="13"/>
      <c r="B574" s="13"/>
      <c r="C574" s="13"/>
      <c r="D574" s="13"/>
      <c r="E574" s="13"/>
      <c r="F574" s="13"/>
      <c r="G574" s="13"/>
      <c r="H574" s="13"/>
      <c r="I574" s="117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 spans="1:26">
      <c r="A575" s="13"/>
      <c r="B575" s="13"/>
      <c r="C575" s="13"/>
      <c r="D575" s="13"/>
      <c r="E575" s="13"/>
      <c r="F575" s="13"/>
      <c r="G575" s="13"/>
      <c r="H575" s="13"/>
      <c r="I575" s="117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 spans="1:26">
      <c r="A576" s="13"/>
      <c r="B576" s="13"/>
      <c r="C576" s="13"/>
      <c r="D576" s="13"/>
      <c r="E576" s="13"/>
      <c r="F576" s="13"/>
      <c r="G576" s="13"/>
      <c r="H576" s="13"/>
      <c r="I576" s="117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 spans="1:26">
      <c r="A577" s="13"/>
      <c r="B577" s="13"/>
      <c r="C577" s="13"/>
      <c r="D577" s="13"/>
      <c r="E577" s="13"/>
      <c r="F577" s="13"/>
      <c r="G577" s="13"/>
      <c r="H577" s="13"/>
      <c r="I577" s="117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 spans="1:26">
      <c r="A578" s="13"/>
      <c r="B578" s="13"/>
      <c r="C578" s="13"/>
      <c r="D578" s="13"/>
      <c r="E578" s="13"/>
      <c r="F578" s="13"/>
      <c r="G578" s="13"/>
      <c r="H578" s="13"/>
      <c r="I578" s="117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 spans="1:26">
      <c r="A579" s="13"/>
      <c r="B579" s="13"/>
      <c r="C579" s="13"/>
      <c r="D579" s="13"/>
      <c r="E579" s="13"/>
      <c r="F579" s="13"/>
      <c r="G579" s="13"/>
      <c r="H579" s="13"/>
      <c r="I579" s="117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 spans="1:26">
      <c r="A580" s="13"/>
      <c r="B580" s="13"/>
      <c r="C580" s="13"/>
      <c r="D580" s="13"/>
      <c r="E580" s="13"/>
      <c r="F580" s="13"/>
      <c r="G580" s="13"/>
      <c r="H580" s="13"/>
      <c r="I580" s="117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 spans="1:26">
      <c r="A581" s="13"/>
      <c r="B581" s="13"/>
      <c r="C581" s="13"/>
      <c r="D581" s="13"/>
      <c r="E581" s="13"/>
      <c r="F581" s="13"/>
      <c r="G581" s="13"/>
      <c r="H581" s="13"/>
      <c r="I581" s="117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 spans="1:26">
      <c r="A582" s="13"/>
      <c r="B582" s="13"/>
      <c r="C582" s="13"/>
      <c r="D582" s="13"/>
      <c r="E582" s="13"/>
      <c r="F582" s="13"/>
      <c r="G582" s="13"/>
      <c r="H582" s="13"/>
      <c r="I582" s="117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 spans="1:26">
      <c r="A583" s="13"/>
      <c r="B583" s="13"/>
      <c r="C583" s="13"/>
      <c r="D583" s="13"/>
      <c r="E583" s="13"/>
      <c r="F583" s="13"/>
      <c r="G583" s="13"/>
      <c r="H583" s="13"/>
      <c r="I583" s="117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 spans="1:26">
      <c r="A584" s="13"/>
      <c r="B584" s="13"/>
      <c r="C584" s="13"/>
      <c r="D584" s="13"/>
      <c r="E584" s="13"/>
      <c r="F584" s="13"/>
      <c r="G584" s="13"/>
      <c r="H584" s="13"/>
      <c r="I584" s="117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 spans="1:26">
      <c r="A585" s="13"/>
      <c r="B585" s="13"/>
      <c r="C585" s="13"/>
      <c r="D585" s="13"/>
      <c r="E585" s="13"/>
      <c r="F585" s="13"/>
      <c r="G585" s="13"/>
      <c r="H585" s="13"/>
      <c r="I585" s="117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 spans="1:26">
      <c r="A586" s="13"/>
      <c r="B586" s="13"/>
      <c r="C586" s="13"/>
      <c r="D586" s="13"/>
      <c r="E586" s="13"/>
      <c r="F586" s="13"/>
      <c r="G586" s="13"/>
      <c r="H586" s="13"/>
      <c r="I586" s="117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 spans="1:26">
      <c r="A587" s="13"/>
      <c r="B587" s="13"/>
      <c r="C587" s="13"/>
      <c r="D587" s="13"/>
      <c r="E587" s="13"/>
      <c r="F587" s="13"/>
      <c r="G587" s="13"/>
      <c r="H587" s="13"/>
      <c r="I587" s="117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 spans="1:26">
      <c r="A588" s="13"/>
      <c r="B588" s="13"/>
      <c r="C588" s="13"/>
      <c r="D588" s="13"/>
      <c r="E588" s="13"/>
      <c r="F588" s="13"/>
      <c r="G588" s="13"/>
      <c r="H588" s="13"/>
      <c r="I588" s="117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 spans="1:26">
      <c r="A589" s="13"/>
      <c r="B589" s="13"/>
      <c r="C589" s="13"/>
      <c r="D589" s="13"/>
      <c r="E589" s="13"/>
      <c r="F589" s="13"/>
      <c r="G589" s="13"/>
      <c r="H589" s="13"/>
      <c r="I589" s="117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 spans="1:26">
      <c r="A590" s="13"/>
      <c r="B590" s="13"/>
      <c r="C590" s="13"/>
      <c r="D590" s="13"/>
      <c r="E590" s="13"/>
      <c r="F590" s="13"/>
      <c r="G590" s="13"/>
      <c r="H590" s="13"/>
      <c r="I590" s="117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 spans="1:26">
      <c r="A591" s="13"/>
      <c r="B591" s="13"/>
      <c r="C591" s="13"/>
      <c r="D591" s="13"/>
      <c r="E591" s="13"/>
      <c r="F591" s="13"/>
      <c r="G591" s="13"/>
      <c r="H591" s="13"/>
      <c r="I591" s="117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 spans="1:26">
      <c r="A592" s="13"/>
      <c r="B592" s="13"/>
      <c r="C592" s="13"/>
      <c r="D592" s="13"/>
      <c r="E592" s="13"/>
      <c r="F592" s="13"/>
      <c r="G592" s="13"/>
      <c r="H592" s="13"/>
      <c r="I592" s="117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 spans="1:26">
      <c r="A593" s="13"/>
      <c r="B593" s="13"/>
      <c r="C593" s="13"/>
      <c r="D593" s="13"/>
      <c r="E593" s="13"/>
      <c r="F593" s="13"/>
      <c r="G593" s="13"/>
      <c r="H593" s="13"/>
      <c r="I593" s="117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 spans="1:26">
      <c r="A594" s="13"/>
      <c r="B594" s="13"/>
      <c r="C594" s="13"/>
      <c r="D594" s="13"/>
      <c r="E594" s="13"/>
      <c r="F594" s="13"/>
      <c r="G594" s="13"/>
      <c r="H594" s="13"/>
      <c r="I594" s="117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 spans="1:26">
      <c r="A595" s="13"/>
      <c r="B595" s="13"/>
      <c r="C595" s="13"/>
      <c r="D595" s="13"/>
      <c r="E595" s="13"/>
      <c r="F595" s="13"/>
      <c r="G595" s="13"/>
      <c r="H595" s="13"/>
      <c r="I595" s="117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 spans="1:26">
      <c r="A596" s="13"/>
      <c r="B596" s="13"/>
      <c r="C596" s="13"/>
      <c r="D596" s="13"/>
      <c r="E596" s="13"/>
      <c r="F596" s="13"/>
      <c r="G596" s="13"/>
      <c r="H596" s="13"/>
      <c r="I596" s="117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 spans="1:26">
      <c r="A597" s="13"/>
      <c r="B597" s="13"/>
      <c r="C597" s="13"/>
      <c r="D597" s="13"/>
      <c r="E597" s="13"/>
      <c r="F597" s="13"/>
      <c r="G597" s="13"/>
      <c r="H597" s="13"/>
      <c r="I597" s="117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 spans="1:26">
      <c r="A598" s="13"/>
      <c r="B598" s="13"/>
      <c r="C598" s="13"/>
      <c r="D598" s="13"/>
      <c r="E598" s="13"/>
      <c r="F598" s="13"/>
      <c r="G598" s="13"/>
      <c r="H598" s="13"/>
      <c r="I598" s="117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 spans="1:26">
      <c r="A599" s="13"/>
      <c r="B599" s="13"/>
      <c r="C599" s="13"/>
      <c r="D599" s="13"/>
      <c r="E599" s="13"/>
      <c r="F599" s="13"/>
      <c r="G599" s="13"/>
      <c r="H599" s="13"/>
      <c r="I599" s="117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 spans="1:26">
      <c r="A600" s="13"/>
      <c r="B600" s="13"/>
      <c r="C600" s="13"/>
      <c r="D600" s="13"/>
      <c r="E600" s="13"/>
      <c r="F600" s="13"/>
      <c r="G600" s="13"/>
      <c r="H600" s="13"/>
      <c r="I600" s="117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 spans="1:26">
      <c r="A601" s="13"/>
      <c r="B601" s="13"/>
      <c r="C601" s="13"/>
      <c r="D601" s="13"/>
      <c r="E601" s="13"/>
      <c r="F601" s="13"/>
      <c r="G601" s="13"/>
      <c r="H601" s="13"/>
      <c r="I601" s="117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 spans="1:26">
      <c r="A602" s="13"/>
      <c r="B602" s="13"/>
      <c r="C602" s="13"/>
      <c r="D602" s="13"/>
      <c r="E602" s="13"/>
      <c r="F602" s="13"/>
      <c r="G602" s="13"/>
      <c r="H602" s="13"/>
      <c r="I602" s="117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 spans="1:26">
      <c r="A603" s="13"/>
      <c r="B603" s="13"/>
      <c r="C603" s="13"/>
      <c r="D603" s="13"/>
      <c r="E603" s="13"/>
      <c r="F603" s="13"/>
      <c r="G603" s="13"/>
      <c r="H603" s="13"/>
      <c r="I603" s="117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 spans="1:26">
      <c r="A604" s="13"/>
      <c r="B604" s="13"/>
      <c r="C604" s="13"/>
      <c r="D604" s="13"/>
      <c r="E604" s="13"/>
      <c r="F604" s="13"/>
      <c r="G604" s="13"/>
      <c r="H604" s="13"/>
      <c r="I604" s="117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 spans="1:26">
      <c r="A605" s="13"/>
      <c r="B605" s="13"/>
      <c r="C605" s="13"/>
      <c r="D605" s="13"/>
      <c r="E605" s="13"/>
      <c r="F605" s="13"/>
      <c r="G605" s="13"/>
      <c r="H605" s="13"/>
      <c r="I605" s="117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 spans="1:26">
      <c r="A606" s="13"/>
      <c r="B606" s="13"/>
      <c r="C606" s="13"/>
      <c r="D606" s="13"/>
      <c r="E606" s="13"/>
      <c r="F606" s="13"/>
      <c r="G606" s="13"/>
      <c r="H606" s="13"/>
      <c r="I606" s="117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 spans="1:26">
      <c r="A607" s="13"/>
      <c r="B607" s="13"/>
      <c r="C607" s="13"/>
      <c r="D607" s="13"/>
      <c r="E607" s="13"/>
      <c r="F607" s="13"/>
      <c r="G607" s="13"/>
      <c r="H607" s="13"/>
      <c r="I607" s="117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 spans="1:26">
      <c r="A608" s="13"/>
      <c r="B608" s="13"/>
      <c r="C608" s="13"/>
      <c r="D608" s="13"/>
      <c r="E608" s="13"/>
      <c r="F608" s="13"/>
      <c r="G608" s="13"/>
      <c r="H608" s="13"/>
      <c r="I608" s="117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 spans="1:26">
      <c r="A609" s="13"/>
      <c r="B609" s="13"/>
      <c r="C609" s="13"/>
      <c r="D609" s="13"/>
      <c r="E609" s="13"/>
      <c r="F609" s="13"/>
      <c r="G609" s="13"/>
      <c r="H609" s="13"/>
      <c r="I609" s="117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 spans="1:26">
      <c r="A610" s="13"/>
      <c r="B610" s="13"/>
      <c r="C610" s="13"/>
      <c r="D610" s="13"/>
      <c r="E610" s="13"/>
      <c r="F610" s="13"/>
      <c r="G610" s="13"/>
      <c r="H610" s="13"/>
      <c r="I610" s="117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 spans="1:26">
      <c r="A611" s="13"/>
      <c r="B611" s="13"/>
      <c r="C611" s="13"/>
      <c r="D611" s="13"/>
      <c r="E611" s="13"/>
      <c r="F611" s="13"/>
      <c r="G611" s="13"/>
      <c r="H611" s="13"/>
      <c r="I611" s="117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 spans="1:26">
      <c r="A612" s="13"/>
      <c r="B612" s="13"/>
      <c r="C612" s="13"/>
      <c r="D612" s="13"/>
      <c r="E612" s="13"/>
      <c r="F612" s="13"/>
      <c r="G612" s="13"/>
      <c r="H612" s="13"/>
      <c r="I612" s="117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 spans="1:26">
      <c r="A613" s="13"/>
      <c r="B613" s="13"/>
      <c r="C613" s="13"/>
      <c r="D613" s="13"/>
      <c r="E613" s="13"/>
      <c r="F613" s="13"/>
      <c r="G613" s="13"/>
      <c r="H613" s="13"/>
      <c r="I613" s="117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 spans="1:26">
      <c r="A614" s="13"/>
      <c r="B614" s="13"/>
      <c r="C614" s="13"/>
      <c r="D614" s="13"/>
      <c r="E614" s="13"/>
      <c r="F614" s="13"/>
      <c r="G614" s="13"/>
      <c r="H614" s="13"/>
      <c r="I614" s="117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 spans="1:26">
      <c r="A615" s="13"/>
      <c r="B615" s="13"/>
      <c r="C615" s="13"/>
      <c r="D615" s="13"/>
      <c r="E615" s="13"/>
      <c r="F615" s="13"/>
      <c r="G615" s="13"/>
      <c r="H615" s="13"/>
      <c r="I615" s="117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 spans="1:26">
      <c r="A616" s="13"/>
      <c r="B616" s="13"/>
      <c r="C616" s="13"/>
      <c r="D616" s="13"/>
      <c r="E616" s="13"/>
      <c r="F616" s="13"/>
      <c r="G616" s="13"/>
      <c r="H616" s="13"/>
      <c r="I616" s="117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 spans="1:26">
      <c r="A617" s="13"/>
      <c r="B617" s="13"/>
      <c r="C617" s="13"/>
      <c r="D617" s="13"/>
      <c r="E617" s="13"/>
      <c r="F617" s="13"/>
      <c r="G617" s="13"/>
      <c r="H617" s="13"/>
      <c r="I617" s="117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 spans="1:26">
      <c r="A618" s="13"/>
      <c r="B618" s="13"/>
      <c r="C618" s="13"/>
      <c r="D618" s="13"/>
      <c r="E618" s="13"/>
      <c r="F618" s="13"/>
      <c r="G618" s="13"/>
      <c r="H618" s="13"/>
      <c r="I618" s="117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 spans="1:26">
      <c r="A619" s="13"/>
      <c r="B619" s="13"/>
      <c r="C619" s="13"/>
      <c r="D619" s="13"/>
      <c r="E619" s="13"/>
      <c r="F619" s="13"/>
      <c r="G619" s="13"/>
      <c r="H619" s="13"/>
      <c r="I619" s="117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 spans="1:26">
      <c r="A620" s="13"/>
      <c r="B620" s="13"/>
      <c r="C620" s="13"/>
      <c r="D620" s="13"/>
      <c r="E620" s="13"/>
      <c r="F620" s="13"/>
      <c r="G620" s="13"/>
      <c r="H620" s="13"/>
      <c r="I620" s="117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 spans="1:26">
      <c r="A621" s="13"/>
      <c r="B621" s="13"/>
      <c r="C621" s="13"/>
      <c r="D621" s="13"/>
      <c r="E621" s="13"/>
      <c r="F621" s="13"/>
      <c r="G621" s="13"/>
      <c r="H621" s="13"/>
      <c r="I621" s="117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 spans="1:26">
      <c r="A622" s="13"/>
      <c r="B622" s="13"/>
      <c r="C622" s="13"/>
      <c r="D622" s="13"/>
      <c r="E622" s="13"/>
      <c r="F622" s="13"/>
      <c r="G622" s="13"/>
      <c r="H622" s="13"/>
      <c r="I622" s="117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 spans="1:26">
      <c r="A623" s="13"/>
      <c r="B623" s="13"/>
      <c r="C623" s="13"/>
      <c r="D623" s="13"/>
      <c r="E623" s="13"/>
      <c r="F623" s="13"/>
      <c r="G623" s="13"/>
      <c r="H623" s="13"/>
      <c r="I623" s="117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 spans="1:26">
      <c r="A624" s="13"/>
      <c r="B624" s="13"/>
      <c r="C624" s="13"/>
      <c r="D624" s="13"/>
      <c r="E624" s="13"/>
      <c r="F624" s="13"/>
      <c r="G624" s="13"/>
      <c r="H624" s="13"/>
      <c r="I624" s="117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 spans="1:26">
      <c r="A625" s="13"/>
      <c r="B625" s="13"/>
      <c r="C625" s="13"/>
      <c r="D625" s="13"/>
      <c r="E625" s="13"/>
      <c r="F625" s="13"/>
      <c r="G625" s="13"/>
      <c r="H625" s="13"/>
      <c r="I625" s="117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 spans="1:26">
      <c r="A626" s="13"/>
      <c r="B626" s="13"/>
      <c r="C626" s="13"/>
      <c r="D626" s="13"/>
      <c r="E626" s="13"/>
      <c r="F626" s="13"/>
      <c r="G626" s="13"/>
      <c r="H626" s="13"/>
      <c r="I626" s="117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 spans="1:26">
      <c r="A627" s="13"/>
      <c r="B627" s="13"/>
      <c r="C627" s="13"/>
      <c r="D627" s="13"/>
      <c r="E627" s="13"/>
      <c r="F627" s="13"/>
      <c r="G627" s="13"/>
      <c r="H627" s="13"/>
      <c r="I627" s="117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 spans="1:26">
      <c r="A628" s="13"/>
      <c r="B628" s="13"/>
      <c r="C628" s="13"/>
      <c r="D628" s="13"/>
      <c r="E628" s="13"/>
      <c r="F628" s="13"/>
      <c r="G628" s="13"/>
      <c r="H628" s="13"/>
      <c r="I628" s="117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 spans="1:26">
      <c r="A629" s="13"/>
      <c r="B629" s="13"/>
      <c r="C629" s="13"/>
      <c r="D629" s="13"/>
      <c r="E629" s="13"/>
      <c r="F629" s="13"/>
      <c r="G629" s="13"/>
      <c r="H629" s="13"/>
      <c r="I629" s="117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 spans="1:26">
      <c r="A630" s="13"/>
      <c r="B630" s="13"/>
      <c r="C630" s="13"/>
      <c r="D630" s="13"/>
      <c r="E630" s="13"/>
      <c r="F630" s="13"/>
      <c r="G630" s="13"/>
      <c r="H630" s="13"/>
      <c r="I630" s="117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 spans="1:26">
      <c r="A631" s="13"/>
      <c r="B631" s="13"/>
      <c r="C631" s="13"/>
      <c r="D631" s="13"/>
      <c r="E631" s="13"/>
      <c r="F631" s="13"/>
      <c r="G631" s="13"/>
      <c r="H631" s="13"/>
      <c r="I631" s="117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 spans="1:26">
      <c r="A632" s="13"/>
      <c r="B632" s="13"/>
      <c r="C632" s="13"/>
      <c r="D632" s="13"/>
      <c r="E632" s="13"/>
      <c r="F632" s="13"/>
      <c r="G632" s="13"/>
      <c r="H632" s="13"/>
      <c r="I632" s="117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 spans="1:26">
      <c r="A633" s="13"/>
      <c r="B633" s="13"/>
      <c r="C633" s="13"/>
      <c r="D633" s="13"/>
      <c r="E633" s="13"/>
      <c r="F633" s="13"/>
      <c r="G633" s="13"/>
      <c r="H633" s="13"/>
      <c r="I633" s="117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 spans="1:26">
      <c r="A634" s="13"/>
      <c r="B634" s="13"/>
      <c r="C634" s="13"/>
      <c r="D634" s="13"/>
      <c r="E634" s="13"/>
      <c r="F634" s="13"/>
      <c r="G634" s="13"/>
      <c r="H634" s="13"/>
      <c r="I634" s="117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 spans="1:26">
      <c r="A635" s="13"/>
      <c r="B635" s="13"/>
      <c r="C635" s="13"/>
      <c r="D635" s="13"/>
      <c r="E635" s="13"/>
      <c r="F635" s="13"/>
      <c r="G635" s="13"/>
      <c r="H635" s="13"/>
      <c r="I635" s="117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 spans="1:26">
      <c r="A636" s="13"/>
      <c r="B636" s="13"/>
      <c r="C636" s="13"/>
      <c r="D636" s="13"/>
      <c r="E636" s="13"/>
      <c r="F636" s="13"/>
      <c r="G636" s="13"/>
      <c r="H636" s="13"/>
      <c r="I636" s="117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 spans="1:26">
      <c r="A637" s="13"/>
      <c r="B637" s="13"/>
      <c r="C637" s="13"/>
      <c r="D637" s="13"/>
      <c r="E637" s="13"/>
      <c r="F637" s="13"/>
      <c r="G637" s="13"/>
      <c r="H637" s="13"/>
      <c r="I637" s="117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 spans="1:26">
      <c r="A638" s="13"/>
      <c r="B638" s="13"/>
      <c r="C638" s="13"/>
      <c r="D638" s="13"/>
      <c r="E638" s="13"/>
      <c r="F638" s="13"/>
      <c r="G638" s="13"/>
      <c r="H638" s="13"/>
      <c r="I638" s="117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 spans="1:26">
      <c r="A639" s="13"/>
      <c r="B639" s="13"/>
      <c r="C639" s="13"/>
      <c r="D639" s="13"/>
      <c r="E639" s="13"/>
      <c r="F639" s="13"/>
      <c r="G639" s="13"/>
      <c r="H639" s="13"/>
      <c r="I639" s="117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 spans="1:26">
      <c r="A640" s="13"/>
      <c r="B640" s="13"/>
      <c r="C640" s="13"/>
      <c r="D640" s="13"/>
      <c r="E640" s="13"/>
      <c r="F640" s="13"/>
      <c r="G640" s="13"/>
      <c r="H640" s="13"/>
      <c r="I640" s="117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 spans="1:26">
      <c r="A641" s="13"/>
      <c r="B641" s="13"/>
      <c r="C641" s="13"/>
      <c r="D641" s="13"/>
      <c r="E641" s="13"/>
      <c r="F641" s="13"/>
      <c r="G641" s="13"/>
      <c r="H641" s="13"/>
      <c r="I641" s="117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 spans="1:26">
      <c r="A642" s="13"/>
      <c r="B642" s="13"/>
      <c r="C642" s="13"/>
      <c r="D642" s="13"/>
      <c r="E642" s="13"/>
      <c r="F642" s="13"/>
      <c r="G642" s="13"/>
      <c r="H642" s="13"/>
      <c r="I642" s="117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 spans="1:26">
      <c r="A643" s="13"/>
      <c r="B643" s="13"/>
      <c r="C643" s="13"/>
      <c r="D643" s="13"/>
      <c r="E643" s="13"/>
      <c r="F643" s="13"/>
      <c r="G643" s="13"/>
      <c r="H643" s="13"/>
      <c r="I643" s="117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 spans="1:26">
      <c r="A644" s="13"/>
      <c r="B644" s="13"/>
      <c r="C644" s="13"/>
      <c r="D644" s="13"/>
      <c r="E644" s="13"/>
      <c r="F644" s="13"/>
      <c r="G644" s="13"/>
      <c r="H644" s="13"/>
      <c r="I644" s="117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 spans="1:26">
      <c r="A645" s="13"/>
      <c r="B645" s="13"/>
      <c r="C645" s="13"/>
      <c r="D645" s="13"/>
      <c r="E645" s="13"/>
      <c r="F645" s="13"/>
      <c r="G645" s="13"/>
      <c r="H645" s="13"/>
      <c r="I645" s="117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 spans="1:26">
      <c r="A646" s="13"/>
      <c r="B646" s="13"/>
      <c r="C646" s="13"/>
      <c r="D646" s="13"/>
      <c r="E646" s="13"/>
      <c r="F646" s="13"/>
      <c r="G646" s="13"/>
      <c r="H646" s="13"/>
      <c r="I646" s="117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 spans="1:26">
      <c r="A647" s="13"/>
      <c r="B647" s="13"/>
      <c r="C647" s="13"/>
      <c r="D647" s="13"/>
      <c r="E647" s="13"/>
      <c r="F647" s="13"/>
      <c r="G647" s="13"/>
      <c r="H647" s="13"/>
      <c r="I647" s="117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 spans="1:26">
      <c r="A648" s="13"/>
      <c r="B648" s="13"/>
      <c r="C648" s="13"/>
      <c r="D648" s="13"/>
      <c r="E648" s="13"/>
      <c r="F648" s="13"/>
      <c r="G648" s="13"/>
      <c r="H648" s="13"/>
      <c r="I648" s="117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 spans="1:26">
      <c r="A649" s="13"/>
      <c r="B649" s="13"/>
      <c r="C649" s="13"/>
      <c r="D649" s="13"/>
      <c r="E649" s="13"/>
      <c r="F649" s="13"/>
      <c r="G649" s="13"/>
      <c r="H649" s="13"/>
      <c r="I649" s="117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 spans="1:26">
      <c r="A650" s="13"/>
      <c r="B650" s="13"/>
      <c r="C650" s="13"/>
      <c r="D650" s="13"/>
      <c r="E650" s="13"/>
      <c r="F650" s="13"/>
      <c r="G650" s="13"/>
      <c r="H650" s="13"/>
      <c r="I650" s="117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 spans="1:26">
      <c r="A651" s="13"/>
      <c r="B651" s="13"/>
      <c r="C651" s="13"/>
      <c r="D651" s="13"/>
      <c r="E651" s="13"/>
      <c r="F651" s="13"/>
      <c r="G651" s="13"/>
      <c r="H651" s="13"/>
      <c r="I651" s="117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 spans="1:26">
      <c r="A652" s="13"/>
      <c r="B652" s="13"/>
      <c r="C652" s="13"/>
      <c r="D652" s="13"/>
      <c r="E652" s="13"/>
      <c r="F652" s="13"/>
      <c r="G652" s="13"/>
      <c r="H652" s="13"/>
      <c r="I652" s="117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 spans="1:26">
      <c r="A653" s="13"/>
      <c r="B653" s="13"/>
      <c r="C653" s="13"/>
      <c r="D653" s="13"/>
      <c r="E653" s="13"/>
      <c r="F653" s="13"/>
      <c r="G653" s="13"/>
      <c r="H653" s="13"/>
      <c r="I653" s="117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 spans="1:26">
      <c r="A654" s="13"/>
      <c r="B654" s="13"/>
      <c r="C654" s="13"/>
      <c r="D654" s="13"/>
      <c r="E654" s="13"/>
      <c r="F654" s="13"/>
      <c r="G654" s="13"/>
      <c r="H654" s="13"/>
      <c r="I654" s="117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 spans="1:26">
      <c r="A655" s="13"/>
      <c r="B655" s="13"/>
      <c r="C655" s="13"/>
      <c r="D655" s="13"/>
      <c r="E655" s="13"/>
      <c r="F655" s="13"/>
      <c r="G655" s="13"/>
      <c r="H655" s="13"/>
      <c r="I655" s="117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 spans="1:26">
      <c r="A656" s="13"/>
      <c r="B656" s="13"/>
      <c r="C656" s="13"/>
      <c r="D656" s="13"/>
      <c r="E656" s="13"/>
      <c r="F656" s="13"/>
      <c r="G656" s="13"/>
      <c r="H656" s="13"/>
      <c r="I656" s="117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 spans="1:26">
      <c r="A657" s="13"/>
      <c r="B657" s="13"/>
      <c r="C657" s="13"/>
      <c r="D657" s="13"/>
      <c r="E657" s="13"/>
      <c r="F657" s="13"/>
      <c r="G657" s="13"/>
      <c r="H657" s="13"/>
      <c r="I657" s="117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 spans="1:26">
      <c r="A658" s="13"/>
      <c r="B658" s="13"/>
      <c r="C658" s="13"/>
      <c r="D658" s="13"/>
      <c r="E658" s="13"/>
      <c r="F658" s="13"/>
      <c r="G658" s="13"/>
      <c r="H658" s="13"/>
      <c r="I658" s="117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 spans="1:26">
      <c r="A659" s="13"/>
      <c r="B659" s="13"/>
      <c r="C659" s="13"/>
      <c r="D659" s="13"/>
      <c r="E659" s="13"/>
      <c r="F659" s="13"/>
      <c r="G659" s="13"/>
      <c r="H659" s="13"/>
      <c r="I659" s="117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 spans="1:26">
      <c r="A660" s="13"/>
      <c r="B660" s="13"/>
      <c r="C660" s="13"/>
      <c r="D660" s="13"/>
      <c r="E660" s="13"/>
      <c r="F660" s="13"/>
      <c r="G660" s="13"/>
      <c r="H660" s="13"/>
      <c r="I660" s="117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 spans="1:26">
      <c r="A661" s="13"/>
      <c r="B661" s="13"/>
      <c r="C661" s="13"/>
      <c r="D661" s="13"/>
      <c r="E661" s="13"/>
      <c r="F661" s="13"/>
      <c r="G661" s="13"/>
      <c r="H661" s="13"/>
      <c r="I661" s="117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 spans="1:26">
      <c r="A662" s="13"/>
      <c r="B662" s="13"/>
      <c r="C662" s="13"/>
      <c r="D662" s="13"/>
      <c r="E662" s="13"/>
      <c r="F662" s="13"/>
      <c r="G662" s="13"/>
      <c r="H662" s="13"/>
      <c r="I662" s="117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 spans="1:26">
      <c r="A663" s="13"/>
      <c r="B663" s="13"/>
      <c r="C663" s="13"/>
      <c r="D663" s="13"/>
      <c r="E663" s="13"/>
      <c r="F663" s="13"/>
      <c r="G663" s="13"/>
      <c r="H663" s="13"/>
      <c r="I663" s="117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 spans="1:26">
      <c r="A664" s="13"/>
      <c r="B664" s="13"/>
      <c r="C664" s="13"/>
      <c r="D664" s="13"/>
      <c r="E664" s="13"/>
      <c r="F664" s="13"/>
      <c r="G664" s="13"/>
      <c r="H664" s="13"/>
      <c r="I664" s="117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 spans="1:26">
      <c r="A665" s="13"/>
      <c r="B665" s="13"/>
      <c r="C665" s="13"/>
      <c r="D665" s="13"/>
      <c r="E665" s="13"/>
      <c r="F665" s="13"/>
      <c r="G665" s="13"/>
      <c r="H665" s="13"/>
      <c r="I665" s="117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 spans="1:26">
      <c r="A666" s="13"/>
      <c r="B666" s="13"/>
      <c r="C666" s="13"/>
      <c r="D666" s="13"/>
      <c r="E666" s="13"/>
      <c r="F666" s="13"/>
      <c r="G666" s="13"/>
      <c r="H666" s="13"/>
      <c r="I666" s="117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 spans="1:26">
      <c r="A667" s="13"/>
      <c r="B667" s="13"/>
      <c r="C667" s="13"/>
      <c r="D667" s="13"/>
      <c r="E667" s="13"/>
      <c r="F667" s="13"/>
      <c r="G667" s="13"/>
      <c r="H667" s="13"/>
      <c r="I667" s="117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 spans="1:26">
      <c r="A668" s="13"/>
      <c r="B668" s="13"/>
      <c r="C668" s="13"/>
      <c r="D668" s="13"/>
      <c r="E668" s="13"/>
      <c r="F668" s="13"/>
      <c r="G668" s="13"/>
      <c r="H668" s="13"/>
      <c r="I668" s="117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 spans="1:26">
      <c r="A669" s="13"/>
      <c r="B669" s="13"/>
      <c r="C669" s="13"/>
      <c r="D669" s="13"/>
      <c r="E669" s="13"/>
      <c r="F669" s="13"/>
      <c r="G669" s="13"/>
      <c r="H669" s="13"/>
      <c r="I669" s="117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 spans="1:26">
      <c r="A670" s="13"/>
      <c r="B670" s="13"/>
      <c r="C670" s="13"/>
      <c r="D670" s="13"/>
      <c r="E670" s="13"/>
      <c r="F670" s="13"/>
      <c r="G670" s="13"/>
      <c r="H670" s="13"/>
      <c r="I670" s="117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 spans="1:26">
      <c r="A671" s="13"/>
      <c r="B671" s="13"/>
      <c r="C671" s="13"/>
      <c r="D671" s="13"/>
      <c r="E671" s="13"/>
      <c r="F671" s="13"/>
      <c r="G671" s="13"/>
      <c r="H671" s="13"/>
      <c r="I671" s="117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 spans="1:26">
      <c r="A672" s="13"/>
      <c r="B672" s="13"/>
      <c r="C672" s="13"/>
      <c r="D672" s="13"/>
      <c r="E672" s="13"/>
      <c r="F672" s="13"/>
      <c r="G672" s="13"/>
      <c r="H672" s="13"/>
      <c r="I672" s="117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 spans="1:26">
      <c r="A673" s="13"/>
      <c r="B673" s="13"/>
      <c r="C673" s="13"/>
      <c r="D673" s="13"/>
      <c r="E673" s="13"/>
      <c r="F673" s="13"/>
      <c r="G673" s="13"/>
      <c r="H673" s="13"/>
      <c r="I673" s="117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 spans="1:26">
      <c r="A674" s="13"/>
      <c r="B674" s="13"/>
      <c r="C674" s="13"/>
      <c r="D674" s="13"/>
      <c r="E674" s="13"/>
      <c r="F674" s="13"/>
      <c r="G674" s="13"/>
      <c r="H674" s="13"/>
      <c r="I674" s="117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 spans="1:26">
      <c r="A675" s="13"/>
      <c r="B675" s="13"/>
      <c r="C675" s="13"/>
      <c r="D675" s="13"/>
      <c r="E675" s="13"/>
      <c r="F675" s="13"/>
      <c r="G675" s="13"/>
      <c r="H675" s="13"/>
      <c r="I675" s="117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 spans="1:26">
      <c r="A676" s="13"/>
      <c r="B676" s="13"/>
      <c r="C676" s="13"/>
      <c r="D676" s="13"/>
      <c r="E676" s="13"/>
      <c r="F676" s="13"/>
      <c r="G676" s="13"/>
      <c r="H676" s="13"/>
      <c r="I676" s="117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 spans="1:26">
      <c r="A677" s="13"/>
      <c r="B677" s="13"/>
      <c r="C677" s="13"/>
      <c r="D677" s="13"/>
      <c r="E677" s="13"/>
      <c r="F677" s="13"/>
      <c r="G677" s="13"/>
      <c r="H677" s="13"/>
      <c r="I677" s="117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 spans="1:26">
      <c r="A678" s="13"/>
      <c r="B678" s="13"/>
      <c r="C678" s="13"/>
      <c r="D678" s="13"/>
      <c r="E678" s="13"/>
      <c r="F678" s="13"/>
      <c r="G678" s="13"/>
      <c r="H678" s="13"/>
      <c r="I678" s="117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 spans="1:26">
      <c r="A679" s="13"/>
      <c r="B679" s="13"/>
      <c r="C679" s="13"/>
      <c r="D679" s="13"/>
      <c r="E679" s="13"/>
      <c r="F679" s="13"/>
      <c r="G679" s="13"/>
      <c r="H679" s="13"/>
      <c r="I679" s="117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 spans="1:26">
      <c r="A680" s="13"/>
      <c r="B680" s="13"/>
      <c r="C680" s="13"/>
      <c r="D680" s="13"/>
      <c r="E680" s="13"/>
      <c r="F680" s="13"/>
      <c r="G680" s="13"/>
      <c r="H680" s="13"/>
      <c r="I680" s="117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 spans="1:26">
      <c r="A681" s="13"/>
      <c r="B681" s="13"/>
      <c r="C681" s="13"/>
      <c r="D681" s="13"/>
      <c r="E681" s="13"/>
      <c r="F681" s="13"/>
      <c r="G681" s="13"/>
      <c r="H681" s="13"/>
      <c r="I681" s="117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 spans="1:26">
      <c r="A682" s="13"/>
      <c r="B682" s="13"/>
      <c r="C682" s="13"/>
      <c r="D682" s="13"/>
      <c r="E682" s="13"/>
      <c r="F682" s="13"/>
      <c r="G682" s="13"/>
      <c r="H682" s="13"/>
      <c r="I682" s="117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 spans="1:26">
      <c r="A683" s="13"/>
      <c r="B683" s="13"/>
      <c r="C683" s="13"/>
      <c r="D683" s="13"/>
      <c r="E683" s="13"/>
      <c r="F683" s="13"/>
      <c r="G683" s="13"/>
      <c r="H683" s="13"/>
      <c r="I683" s="117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 spans="1:26">
      <c r="A684" s="13"/>
      <c r="B684" s="13"/>
      <c r="C684" s="13"/>
      <c r="D684" s="13"/>
      <c r="E684" s="13"/>
      <c r="F684" s="13"/>
      <c r="G684" s="13"/>
      <c r="H684" s="13"/>
      <c r="I684" s="117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 spans="1:26">
      <c r="A685" s="13"/>
      <c r="B685" s="13"/>
      <c r="C685" s="13"/>
      <c r="D685" s="13"/>
      <c r="E685" s="13"/>
      <c r="F685" s="13"/>
      <c r="G685" s="13"/>
      <c r="H685" s="13"/>
      <c r="I685" s="117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 spans="1:26">
      <c r="A686" s="13"/>
      <c r="B686" s="13"/>
      <c r="C686" s="13"/>
      <c r="D686" s="13"/>
      <c r="E686" s="13"/>
      <c r="F686" s="13"/>
      <c r="G686" s="13"/>
      <c r="H686" s="13"/>
      <c r="I686" s="117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 spans="1:26">
      <c r="A687" s="13"/>
      <c r="B687" s="13"/>
      <c r="C687" s="13"/>
      <c r="D687" s="13"/>
      <c r="E687" s="13"/>
      <c r="F687" s="13"/>
      <c r="G687" s="13"/>
      <c r="H687" s="13"/>
      <c r="I687" s="117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 spans="1:26">
      <c r="A688" s="13"/>
      <c r="B688" s="13"/>
      <c r="C688" s="13"/>
      <c r="D688" s="13"/>
      <c r="E688" s="13"/>
      <c r="F688" s="13"/>
      <c r="G688" s="13"/>
      <c r="H688" s="13"/>
      <c r="I688" s="117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 spans="1:26">
      <c r="A689" s="13"/>
      <c r="B689" s="13"/>
      <c r="C689" s="13"/>
      <c r="D689" s="13"/>
      <c r="E689" s="13"/>
      <c r="F689" s="13"/>
      <c r="G689" s="13"/>
      <c r="H689" s="13"/>
      <c r="I689" s="117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 spans="1:26">
      <c r="A690" s="13"/>
      <c r="B690" s="13"/>
      <c r="C690" s="13"/>
      <c r="D690" s="13"/>
      <c r="E690" s="13"/>
      <c r="F690" s="13"/>
      <c r="G690" s="13"/>
      <c r="H690" s="13"/>
      <c r="I690" s="117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 spans="1:26">
      <c r="A691" s="13"/>
      <c r="B691" s="13"/>
      <c r="C691" s="13"/>
      <c r="D691" s="13"/>
      <c r="E691" s="13"/>
      <c r="F691" s="13"/>
      <c r="G691" s="13"/>
      <c r="H691" s="13"/>
      <c r="I691" s="117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 spans="1:26">
      <c r="A692" s="13"/>
      <c r="B692" s="13"/>
      <c r="C692" s="13"/>
      <c r="D692" s="13"/>
      <c r="E692" s="13"/>
      <c r="F692" s="13"/>
      <c r="G692" s="13"/>
      <c r="H692" s="13"/>
      <c r="I692" s="117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 spans="1:26">
      <c r="A693" s="13"/>
      <c r="B693" s="13"/>
      <c r="C693" s="13"/>
      <c r="D693" s="13"/>
      <c r="E693" s="13"/>
      <c r="F693" s="13"/>
      <c r="G693" s="13"/>
      <c r="H693" s="13"/>
      <c r="I693" s="117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 spans="1:26">
      <c r="A694" s="13"/>
      <c r="B694" s="13"/>
      <c r="C694" s="13"/>
      <c r="D694" s="13"/>
      <c r="E694" s="13"/>
      <c r="F694" s="13"/>
      <c r="G694" s="13"/>
      <c r="H694" s="13"/>
      <c r="I694" s="117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 spans="1:26">
      <c r="A695" s="13"/>
      <c r="B695" s="13"/>
      <c r="C695" s="13"/>
      <c r="D695" s="13"/>
      <c r="E695" s="13"/>
      <c r="F695" s="13"/>
      <c r="G695" s="13"/>
      <c r="H695" s="13"/>
      <c r="I695" s="117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 spans="1:26">
      <c r="A696" s="13"/>
      <c r="B696" s="13"/>
      <c r="C696" s="13"/>
      <c r="D696" s="13"/>
      <c r="E696" s="13"/>
      <c r="F696" s="13"/>
      <c r="G696" s="13"/>
      <c r="H696" s="13"/>
      <c r="I696" s="117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 spans="1:26">
      <c r="A697" s="13"/>
      <c r="B697" s="13"/>
      <c r="C697" s="13"/>
      <c r="D697" s="13"/>
      <c r="E697" s="13"/>
      <c r="F697" s="13"/>
      <c r="G697" s="13"/>
      <c r="H697" s="13"/>
      <c r="I697" s="117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 spans="1:26">
      <c r="A698" s="13"/>
      <c r="B698" s="13"/>
      <c r="C698" s="13"/>
      <c r="D698" s="13"/>
      <c r="E698" s="13"/>
      <c r="F698" s="13"/>
      <c r="G698" s="13"/>
      <c r="H698" s="13"/>
      <c r="I698" s="117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 spans="1:26">
      <c r="A699" s="13"/>
      <c r="B699" s="13"/>
      <c r="C699" s="13"/>
      <c r="D699" s="13"/>
      <c r="E699" s="13"/>
      <c r="F699" s="13"/>
      <c r="G699" s="13"/>
      <c r="H699" s="13"/>
      <c r="I699" s="117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 spans="1:26">
      <c r="A700" s="13"/>
      <c r="B700" s="13"/>
      <c r="C700" s="13"/>
      <c r="D700" s="13"/>
      <c r="E700" s="13"/>
      <c r="F700" s="13"/>
      <c r="G700" s="13"/>
      <c r="H700" s="13"/>
      <c r="I700" s="117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 spans="1:26">
      <c r="A701" s="13"/>
      <c r="B701" s="13"/>
      <c r="C701" s="13"/>
      <c r="D701" s="13"/>
      <c r="E701" s="13"/>
      <c r="F701" s="13"/>
      <c r="G701" s="13"/>
      <c r="H701" s="13"/>
      <c r="I701" s="117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 spans="1:26">
      <c r="A702" s="13"/>
      <c r="B702" s="13"/>
      <c r="C702" s="13"/>
      <c r="D702" s="13"/>
      <c r="E702" s="13"/>
      <c r="F702" s="13"/>
      <c r="G702" s="13"/>
      <c r="H702" s="13"/>
      <c r="I702" s="117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 spans="1:26">
      <c r="A703" s="13"/>
      <c r="B703" s="13"/>
      <c r="C703" s="13"/>
      <c r="D703" s="13"/>
      <c r="E703" s="13"/>
      <c r="F703" s="13"/>
      <c r="G703" s="13"/>
      <c r="H703" s="13"/>
      <c r="I703" s="117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 spans="1:26">
      <c r="A704" s="13"/>
      <c r="B704" s="13"/>
      <c r="C704" s="13"/>
      <c r="D704" s="13"/>
      <c r="E704" s="13"/>
      <c r="F704" s="13"/>
      <c r="G704" s="13"/>
      <c r="H704" s="13"/>
      <c r="I704" s="117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 spans="1:26">
      <c r="A705" s="13"/>
      <c r="B705" s="13"/>
      <c r="C705" s="13"/>
      <c r="D705" s="13"/>
      <c r="E705" s="13"/>
      <c r="F705" s="13"/>
      <c r="G705" s="13"/>
      <c r="H705" s="13"/>
      <c r="I705" s="117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 spans="1:26">
      <c r="A706" s="13"/>
      <c r="B706" s="13"/>
      <c r="C706" s="13"/>
      <c r="D706" s="13"/>
      <c r="E706" s="13"/>
      <c r="F706" s="13"/>
      <c r="G706" s="13"/>
      <c r="H706" s="13"/>
      <c r="I706" s="117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 spans="1:26">
      <c r="A707" s="13"/>
      <c r="B707" s="13"/>
      <c r="C707" s="13"/>
      <c r="D707" s="13"/>
      <c r="E707" s="13"/>
      <c r="F707" s="13"/>
      <c r="G707" s="13"/>
      <c r="H707" s="13"/>
      <c r="I707" s="117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 spans="1:26">
      <c r="A708" s="13"/>
      <c r="B708" s="13"/>
      <c r="C708" s="13"/>
      <c r="D708" s="13"/>
      <c r="E708" s="13"/>
      <c r="F708" s="13"/>
      <c r="G708" s="13"/>
      <c r="H708" s="13"/>
      <c r="I708" s="117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 spans="1:26">
      <c r="A709" s="13"/>
      <c r="B709" s="13"/>
      <c r="C709" s="13"/>
      <c r="D709" s="13"/>
      <c r="E709" s="13"/>
      <c r="F709" s="13"/>
      <c r="G709" s="13"/>
      <c r="H709" s="13"/>
      <c r="I709" s="117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 spans="1:26">
      <c r="A710" s="13"/>
      <c r="B710" s="13"/>
      <c r="C710" s="13"/>
      <c r="D710" s="13"/>
      <c r="E710" s="13"/>
      <c r="F710" s="13"/>
      <c r="G710" s="13"/>
      <c r="H710" s="13"/>
      <c r="I710" s="117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 spans="1:26">
      <c r="A711" s="13"/>
      <c r="B711" s="13"/>
      <c r="C711" s="13"/>
      <c r="D711" s="13"/>
      <c r="E711" s="13"/>
      <c r="F711" s="13"/>
      <c r="G711" s="13"/>
      <c r="H711" s="13"/>
      <c r="I711" s="117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 spans="1:26">
      <c r="A712" s="13"/>
      <c r="B712" s="13"/>
      <c r="C712" s="13"/>
      <c r="D712" s="13"/>
      <c r="E712" s="13"/>
      <c r="F712" s="13"/>
      <c r="G712" s="13"/>
      <c r="H712" s="13"/>
      <c r="I712" s="117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 spans="1:26">
      <c r="A713" s="13"/>
      <c r="B713" s="13"/>
      <c r="C713" s="13"/>
      <c r="D713" s="13"/>
      <c r="E713" s="13"/>
      <c r="F713" s="13"/>
      <c r="G713" s="13"/>
      <c r="H713" s="13"/>
      <c r="I713" s="117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 spans="1:26">
      <c r="A714" s="13"/>
      <c r="B714" s="13"/>
      <c r="C714" s="13"/>
      <c r="D714" s="13"/>
      <c r="E714" s="13"/>
      <c r="F714" s="13"/>
      <c r="G714" s="13"/>
      <c r="H714" s="13"/>
      <c r="I714" s="117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 spans="1:26">
      <c r="A715" s="13"/>
      <c r="B715" s="13"/>
      <c r="C715" s="13"/>
      <c r="D715" s="13"/>
      <c r="E715" s="13"/>
      <c r="F715" s="13"/>
      <c r="G715" s="13"/>
      <c r="H715" s="13"/>
      <c r="I715" s="117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 spans="1:26">
      <c r="A716" s="13"/>
      <c r="B716" s="13"/>
      <c r="C716" s="13"/>
      <c r="D716" s="13"/>
      <c r="E716" s="13"/>
      <c r="F716" s="13"/>
      <c r="G716" s="13"/>
      <c r="H716" s="13"/>
      <c r="I716" s="117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 spans="1:26">
      <c r="A717" s="13"/>
      <c r="B717" s="13"/>
      <c r="C717" s="13"/>
      <c r="D717" s="13"/>
      <c r="E717" s="13"/>
      <c r="F717" s="13"/>
      <c r="G717" s="13"/>
      <c r="H717" s="13"/>
      <c r="I717" s="117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 spans="1:26">
      <c r="A718" s="13"/>
      <c r="B718" s="13"/>
      <c r="C718" s="13"/>
      <c r="D718" s="13"/>
      <c r="E718" s="13"/>
      <c r="F718" s="13"/>
      <c r="G718" s="13"/>
      <c r="H718" s="13"/>
      <c r="I718" s="117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 spans="1:26">
      <c r="A719" s="13"/>
      <c r="B719" s="13"/>
      <c r="C719" s="13"/>
      <c r="D719" s="13"/>
      <c r="E719" s="13"/>
      <c r="F719" s="13"/>
      <c r="G719" s="13"/>
      <c r="H719" s="13"/>
      <c r="I719" s="117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 spans="1:26">
      <c r="A720" s="13"/>
      <c r="B720" s="13"/>
      <c r="C720" s="13"/>
      <c r="D720" s="13"/>
      <c r="E720" s="13"/>
      <c r="F720" s="13"/>
      <c r="G720" s="13"/>
      <c r="H720" s="13"/>
      <c r="I720" s="117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 spans="1:26">
      <c r="A721" s="13"/>
      <c r="B721" s="13"/>
      <c r="C721" s="13"/>
      <c r="D721" s="13"/>
      <c r="E721" s="13"/>
      <c r="F721" s="13"/>
      <c r="G721" s="13"/>
      <c r="H721" s="13"/>
      <c r="I721" s="117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 spans="1:26">
      <c r="A722" s="13"/>
      <c r="B722" s="13"/>
      <c r="C722" s="13"/>
      <c r="D722" s="13"/>
      <c r="E722" s="13"/>
      <c r="F722" s="13"/>
      <c r="G722" s="13"/>
      <c r="H722" s="13"/>
      <c r="I722" s="117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 spans="1:26">
      <c r="A723" s="13"/>
      <c r="B723" s="13"/>
      <c r="C723" s="13"/>
      <c r="D723" s="13"/>
      <c r="E723" s="13"/>
      <c r="F723" s="13"/>
      <c r="G723" s="13"/>
      <c r="H723" s="13"/>
      <c r="I723" s="117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 spans="1:26">
      <c r="A724" s="13"/>
      <c r="B724" s="13"/>
      <c r="C724" s="13"/>
      <c r="D724" s="13"/>
      <c r="E724" s="13"/>
      <c r="F724" s="13"/>
      <c r="G724" s="13"/>
      <c r="H724" s="13"/>
      <c r="I724" s="117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 spans="1:26">
      <c r="A725" s="13"/>
      <c r="B725" s="13"/>
      <c r="C725" s="13"/>
      <c r="D725" s="13"/>
      <c r="E725" s="13"/>
      <c r="F725" s="13"/>
      <c r="G725" s="13"/>
      <c r="H725" s="13"/>
      <c r="I725" s="117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 spans="1:26">
      <c r="A726" s="13"/>
      <c r="B726" s="13"/>
      <c r="C726" s="13"/>
      <c r="D726" s="13"/>
      <c r="E726" s="13"/>
      <c r="F726" s="13"/>
      <c r="G726" s="13"/>
      <c r="H726" s="13"/>
      <c r="I726" s="117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 spans="1:26">
      <c r="A727" s="13"/>
      <c r="B727" s="13"/>
      <c r="C727" s="13"/>
      <c r="D727" s="13"/>
      <c r="E727" s="13"/>
      <c r="F727" s="13"/>
      <c r="G727" s="13"/>
      <c r="H727" s="13"/>
      <c r="I727" s="117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 spans="1:26">
      <c r="A728" s="13"/>
      <c r="B728" s="13"/>
      <c r="C728" s="13"/>
      <c r="D728" s="13"/>
      <c r="E728" s="13"/>
      <c r="F728" s="13"/>
      <c r="G728" s="13"/>
      <c r="H728" s="13"/>
      <c r="I728" s="117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 spans="1:26">
      <c r="A729" s="13"/>
      <c r="B729" s="13"/>
      <c r="C729" s="13"/>
      <c r="D729" s="13"/>
      <c r="E729" s="13"/>
      <c r="F729" s="13"/>
      <c r="G729" s="13"/>
      <c r="H729" s="13"/>
      <c r="I729" s="117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 spans="1:26">
      <c r="A730" s="13"/>
      <c r="B730" s="13"/>
      <c r="C730" s="13"/>
      <c r="D730" s="13"/>
      <c r="E730" s="13"/>
      <c r="F730" s="13"/>
      <c r="G730" s="13"/>
      <c r="H730" s="13"/>
      <c r="I730" s="117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 spans="1:26">
      <c r="A731" s="13"/>
      <c r="B731" s="13"/>
      <c r="C731" s="13"/>
      <c r="D731" s="13"/>
      <c r="E731" s="13"/>
      <c r="F731" s="13"/>
      <c r="G731" s="13"/>
      <c r="H731" s="13"/>
      <c r="I731" s="117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 spans="1:26">
      <c r="A732" s="13"/>
      <c r="B732" s="13"/>
      <c r="C732" s="13"/>
      <c r="D732" s="13"/>
      <c r="E732" s="13"/>
      <c r="F732" s="13"/>
      <c r="G732" s="13"/>
      <c r="H732" s="13"/>
      <c r="I732" s="117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 spans="1:26">
      <c r="A733" s="13"/>
      <c r="B733" s="13"/>
      <c r="C733" s="13"/>
      <c r="D733" s="13"/>
      <c r="E733" s="13"/>
      <c r="F733" s="13"/>
      <c r="G733" s="13"/>
      <c r="H733" s="13"/>
      <c r="I733" s="117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 spans="1:26">
      <c r="A734" s="13"/>
      <c r="B734" s="13"/>
      <c r="C734" s="13"/>
      <c r="D734" s="13"/>
      <c r="E734" s="13"/>
      <c r="F734" s="13"/>
      <c r="G734" s="13"/>
      <c r="H734" s="13"/>
      <c r="I734" s="117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 spans="1:26">
      <c r="A735" s="13"/>
      <c r="B735" s="13"/>
      <c r="C735" s="13"/>
      <c r="D735" s="13"/>
      <c r="E735" s="13"/>
      <c r="F735" s="13"/>
      <c r="G735" s="13"/>
      <c r="H735" s="13"/>
      <c r="I735" s="117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 spans="1:26">
      <c r="A736" s="13"/>
      <c r="B736" s="13"/>
      <c r="C736" s="13"/>
      <c r="D736" s="13"/>
      <c r="E736" s="13"/>
      <c r="F736" s="13"/>
      <c r="G736" s="13"/>
      <c r="H736" s="13"/>
      <c r="I736" s="117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 spans="1:26">
      <c r="A737" s="13"/>
      <c r="B737" s="13"/>
      <c r="C737" s="13"/>
      <c r="D737" s="13"/>
      <c r="E737" s="13"/>
      <c r="F737" s="13"/>
      <c r="G737" s="13"/>
      <c r="H737" s="13"/>
      <c r="I737" s="117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 spans="1:26">
      <c r="A738" s="13"/>
      <c r="B738" s="13"/>
      <c r="C738" s="13"/>
      <c r="D738" s="13"/>
      <c r="E738" s="13"/>
      <c r="F738" s="13"/>
      <c r="G738" s="13"/>
      <c r="H738" s="13"/>
      <c r="I738" s="117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 spans="1:26">
      <c r="A739" s="13"/>
      <c r="B739" s="13"/>
      <c r="C739" s="13"/>
      <c r="D739" s="13"/>
      <c r="E739" s="13"/>
      <c r="F739" s="13"/>
      <c r="G739" s="13"/>
      <c r="H739" s="13"/>
      <c r="I739" s="117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 spans="1:26">
      <c r="A740" s="13"/>
      <c r="B740" s="13"/>
      <c r="C740" s="13"/>
      <c r="D740" s="13"/>
      <c r="E740" s="13"/>
      <c r="F740" s="13"/>
      <c r="G740" s="13"/>
      <c r="H740" s="13"/>
      <c r="I740" s="117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 spans="1:26">
      <c r="A741" s="13"/>
      <c r="B741" s="13"/>
      <c r="C741" s="13"/>
      <c r="D741" s="13"/>
      <c r="E741" s="13"/>
      <c r="F741" s="13"/>
      <c r="G741" s="13"/>
      <c r="H741" s="13"/>
      <c r="I741" s="117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 spans="1:26">
      <c r="A742" s="13"/>
      <c r="B742" s="13"/>
      <c r="C742" s="13"/>
      <c r="D742" s="13"/>
      <c r="E742" s="13"/>
      <c r="F742" s="13"/>
      <c r="G742" s="13"/>
      <c r="H742" s="13"/>
      <c r="I742" s="117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 spans="1:26">
      <c r="A743" s="13"/>
      <c r="B743" s="13"/>
      <c r="C743" s="13"/>
      <c r="D743" s="13"/>
      <c r="E743" s="13"/>
      <c r="F743" s="13"/>
      <c r="G743" s="13"/>
      <c r="H743" s="13"/>
      <c r="I743" s="117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 spans="1:26">
      <c r="A744" s="13"/>
      <c r="B744" s="13"/>
      <c r="C744" s="13"/>
      <c r="D744" s="13"/>
      <c r="E744" s="13"/>
      <c r="F744" s="13"/>
      <c r="G744" s="13"/>
      <c r="H744" s="13"/>
      <c r="I744" s="117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 spans="1:26">
      <c r="A745" s="13"/>
      <c r="B745" s="13"/>
      <c r="C745" s="13"/>
      <c r="D745" s="13"/>
      <c r="E745" s="13"/>
      <c r="F745" s="13"/>
      <c r="G745" s="13"/>
      <c r="H745" s="13"/>
      <c r="I745" s="117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 spans="1:26">
      <c r="A746" s="13"/>
      <c r="B746" s="13"/>
      <c r="C746" s="13"/>
      <c r="D746" s="13"/>
      <c r="E746" s="13"/>
      <c r="F746" s="13"/>
      <c r="G746" s="13"/>
      <c r="H746" s="13"/>
      <c r="I746" s="117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 spans="1:26">
      <c r="A747" s="13"/>
      <c r="B747" s="13"/>
      <c r="C747" s="13"/>
      <c r="D747" s="13"/>
      <c r="E747" s="13"/>
      <c r="F747" s="13"/>
      <c r="G747" s="13"/>
      <c r="H747" s="13"/>
      <c r="I747" s="117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 spans="1:26">
      <c r="A748" s="13"/>
      <c r="B748" s="13"/>
      <c r="C748" s="13"/>
      <c r="D748" s="13"/>
      <c r="E748" s="13"/>
      <c r="F748" s="13"/>
      <c r="G748" s="13"/>
      <c r="H748" s="13"/>
      <c r="I748" s="117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 spans="1:26">
      <c r="A749" s="13"/>
      <c r="B749" s="13"/>
      <c r="C749" s="13"/>
      <c r="D749" s="13"/>
      <c r="E749" s="13"/>
      <c r="F749" s="13"/>
      <c r="G749" s="13"/>
      <c r="H749" s="13"/>
      <c r="I749" s="117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 spans="1:26">
      <c r="A750" s="13"/>
      <c r="B750" s="13"/>
      <c r="C750" s="13"/>
      <c r="D750" s="13"/>
      <c r="E750" s="13"/>
      <c r="F750" s="13"/>
      <c r="G750" s="13"/>
      <c r="H750" s="13"/>
      <c r="I750" s="117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 spans="1:26">
      <c r="A751" s="13"/>
      <c r="B751" s="13"/>
      <c r="C751" s="13"/>
      <c r="D751" s="13"/>
      <c r="E751" s="13"/>
      <c r="F751" s="13"/>
      <c r="G751" s="13"/>
      <c r="H751" s="13"/>
      <c r="I751" s="117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 spans="1:26">
      <c r="A752" s="13"/>
      <c r="B752" s="13"/>
      <c r="C752" s="13"/>
      <c r="D752" s="13"/>
      <c r="E752" s="13"/>
      <c r="F752" s="13"/>
      <c r="G752" s="13"/>
      <c r="H752" s="13"/>
      <c r="I752" s="117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 spans="1:26">
      <c r="A753" s="13"/>
      <c r="B753" s="13"/>
      <c r="C753" s="13"/>
      <c r="D753" s="13"/>
      <c r="E753" s="13"/>
      <c r="F753" s="13"/>
      <c r="G753" s="13"/>
      <c r="H753" s="13"/>
      <c r="I753" s="117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 spans="1:26">
      <c r="A754" s="13"/>
      <c r="B754" s="13"/>
      <c r="C754" s="13"/>
      <c r="D754" s="13"/>
      <c r="E754" s="13"/>
      <c r="F754" s="13"/>
      <c r="G754" s="13"/>
      <c r="H754" s="13"/>
      <c r="I754" s="117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 spans="1:26">
      <c r="A755" s="13"/>
      <c r="B755" s="13"/>
      <c r="C755" s="13"/>
      <c r="D755" s="13"/>
      <c r="E755" s="13"/>
      <c r="F755" s="13"/>
      <c r="G755" s="13"/>
      <c r="H755" s="13"/>
      <c r="I755" s="117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 spans="1:26">
      <c r="A756" s="13"/>
      <c r="B756" s="13"/>
      <c r="C756" s="13"/>
      <c r="D756" s="13"/>
      <c r="E756" s="13"/>
      <c r="F756" s="13"/>
      <c r="G756" s="13"/>
      <c r="H756" s="13"/>
      <c r="I756" s="117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 spans="1:26">
      <c r="A757" s="13"/>
      <c r="B757" s="13"/>
      <c r="C757" s="13"/>
      <c r="D757" s="13"/>
      <c r="E757" s="13"/>
      <c r="F757" s="13"/>
      <c r="G757" s="13"/>
      <c r="H757" s="13"/>
      <c r="I757" s="117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 spans="1:26">
      <c r="A758" s="13"/>
      <c r="B758" s="13"/>
      <c r="C758" s="13"/>
      <c r="D758" s="13"/>
      <c r="E758" s="13"/>
      <c r="F758" s="13"/>
      <c r="G758" s="13"/>
      <c r="H758" s="13"/>
      <c r="I758" s="117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 spans="1:26">
      <c r="A759" s="13"/>
      <c r="B759" s="13"/>
      <c r="C759" s="13"/>
      <c r="D759" s="13"/>
      <c r="E759" s="13"/>
      <c r="F759" s="13"/>
      <c r="G759" s="13"/>
      <c r="H759" s="13"/>
      <c r="I759" s="117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 spans="1:26">
      <c r="A760" s="13"/>
      <c r="B760" s="13"/>
      <c r="C760" s="13"/>
      <c r="D760" s="13"/>
      <c r="E760" s="13"/>
      <c r="F760" s="13"/>
      <c r="G760" s="13"/>
      <c r="H760" s="13"/>
      <c r="I760" s="117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 spans="1:26">
      <c r="A761" s="13"/>
      <c r="B761" s="13"/>
      <c r="C761" s="13"/>
      <c r="D761" s="13"/>
      <c r="E761" s="13"/>
      <c r="F761" s="13"/>
      <c r="G761" s="13"/>
      <c r="H761" s="13"/>
      <c r="I761" s="117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 spans="1:26">
      <c r="A762" s="13"/>
      <c r="B762" s="13"/>
      <c r="C762" s="13"/>
      <c r="D762" s="13"/>
      <c r="E762" s="13"/>
      <c r="F762" s="13"/>
      <c r="G762" s="13"/>
      <c r="H762" s="13"/>
      <c r="I762" s="117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 spans="1:26">
      <c r="A763" s="13"/>
      <c r="B763" s="13"/>
      <c r="C763" s="13"/>
      <c r="D763" s="13"/>
      <c r="E763" s="13"/>
      <c r="F763" s="13"/>
      <c r="G763" s="13"/>
      <c r="H763" s="13"/>
      <c r="I763" s="117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 spans="1:26">
      <c r="A764" s="13"/>
      <c r="B764" s="13"/>
      <c r="C764" s="13"/>
      <c r="D764" s="13"/>
      <c r="E764" s="13"/>
      <c r="F764" s="13"/>
      <c r="G764" s="13"/>
      <c r="H764" s="13"/>
      <c r="I764" s="117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 spans="1:26">
      <c r="A765" s="13"/>
      <c r="B765" s="13"/>
      <c r="C765" s="13"/>
      <c r="D765" s="13"/>
      <c r="E765" s="13"/>
      <c r="F765" s="13"/>
      <c r="G765" s="13"/>
      <c r="H765" s="13"/>
      <c r="I765" s="117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 spans="1:26">
      <c r="A766" s="13"/>
      <c r="B766" s="13"/>
      <c r="C766" s="13"/>
      <c r="D766" s="13"/>
      <c r="E766" s="13"/>
      <c r="F766" s="13"/>
      <c r="G766" s="13"/>
      <c r="H766" s="13"/>
      <c r="I766" s="117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 spans="1:26">
      <c r="A767" s="13"/>
      <c r="B767" s="13"/>
      <c r="C767" s="13"/>
      <c r="D767" s="13"/>
      <c r="E767" s="13"/>
      <c r="F767" s="13"/>
      <c r="G767" s="13"/>
      <c r="H767" s="13"/>
      <c r="I767" s="117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 spans="1:26">
      <c r="A768" s="13"/>
      <c r="B768" s="13"/>
      <c r="C768" s="13"/>
      <c r="D768" s="13"/>
      <c r="E768" s="13"/>
      <c r="F768" s="13"/>
      <c r="G768" s="13"/>
      <c r="H768" s="13"/>
      <c r="I768" s="117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 spans="1:26">
      <c r="A769" s="13"/>
      <c r="B769" s="13"/>
      <c r="C769" s="13"/>
      <c r="D769" s="13"/>
      <c r="E769" s="13"/>
      <c r="F769" s="13"/>
      <c r="G769" s="13"/>
      <c r="H769" s="13"/>
      <c r="I769" s="117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 spans="1:26">
      <c r="A770" s="13"/>
      <c r="B770" s="13"/>
      <c r="C770" s="13"/>
      <c r="D770" s="13"/>
      <c r="E770" s="13"/>
      <c r="F770" s="13"/>
      <c r="G770" s="13"/>
      <c r="H770" s="13"/>
      <c r="I770" s="117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 spans="1:26">
      <c r="A771" s="13"/>
      <c r="B771" s="13"/>
      <c r="C771" s="13"/>
      <c r="D771" s="13"/>
      <c r="E771" s="13"/>
      <c r="F771" s="13"/>
      <c r="G771" s="13"/>
      <c r="H771" s="13"/>
      <c r="I771" s="117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 spans="1:26">
      <c r="A772" s="13"/>
      <c r="B772" s="13"/>
      <c r="C772" s="13"/>
      <c r="D772" s="13"/>
      <c r="E772" s="13"/>
      <c r="F772" s="13"/>
      <c r="G772" s="13"/>
      <c r="H772" s="13"/>
      <c r="I772" s="117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 spans="1:26">
      <c r="A773" s="13"/>
      <c r="B773" s="13"/>
      <c r="C773" s="13"/>
      <c r="D773" s="13"/>
      <c r="E773" s="13"/>
      <c r="F773" s="13"/>
      <c r="G773" s="13"/>
      <c r="H773" s="13"/>
      <c r="I773" s="117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 spans="1:26">
      <c r="A774" s="13"/>
      <c r="B774" s="13"/>
      <c r="C774" s="13"/>
      <c r="D774" s="13"/>
      <c r="E774" s="13"/>
      <c r="F774" s="13"/>
      <c r="G774" s="13"/>
      <c r="H774" s="13"/>
      <c r="I774" s="117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 spans="1:26">
      <c r="A775" s="13"/>
      <c r="B775" s="13"/>
      <c r="C775" s="13"/>
      <c r="D775" s="13"/>
      <c r="E775" s="13"/>
      <c r="F775" s="13"/>
      <c r="G775" s="13"/>
      <c r="H775" s="13"/>
      <c r="I775" s="117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 spans="1:26">
      <c r="A776" s="13"/>
      <c r="B776" s="13"/>
      <c r="C776" s="13"/>
      <c r="D776" s="13"/>
      <c r="E776" s="13"/>
      <c r="F776" s="13"/>
      <c r="G776" s="13"/>
      <c r="H776" s="13"/>
      <c r="I776" s="117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 spans="1:26">
      <c r="A777" s="13"/>
      <c r="B777" s="13"/>
      <c r="C777" s="13"/>
      <c r="D777" s="13"/>
      <c r="E777" s="13"/>
      <c r="F777" s="13"/>
      <c r="G777" s="13"/>
      <c r="H777" s="13"/>
      <c r="I777" s="117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 spans="1:26">
      <c r="A778" s="13"/>
      <c r="B778" s="13"/>
      <c r="C778" s="13"/>
      <c r="D778" s="13"/>
      <c r="E778" s="13"/>
      <c r="F778" s="13"/>
      <c r="G778" s="13"/>
      <c r="H778" s="13"/>
      <c r="I778" s="117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 spans="1:26">
      <c r="A779" s="13"/>
      <c r="B779" s="13"/>
      <c r="C779" s="13"/>
      <c r="D779" s="13"/>
      <c r="E779" s="13"/>
      <c r="F779" s="13"/>
      <c r="G779" s="13"/>
      <c r="H779" s="13"/>
      <c r="I779" s="117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 spans="1:26">
      <c r="A780" s="13"/>
      <c r="B780" s="13"/>
      <c r="C780" s="13"/>
      <c r="D780" s="13"/>
      <c r="E780" s="13"/>
      <c r="F780" s="13"/>
      <c r="G780" s="13"/>
      <c r="H780" s="13"/>
      <c r="I780" s="117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 spans="1:26">
      <c r="A781" s="13"/>
      <c r="B781" s="13"/>
      <c r="C781" s="13"/>
      <c r="D781" s="13"/>
      <c r="E781" s="13"/>
      <c r="F781" s="13"/>
      <c r="G781" s="13"/>
      <c r="H781" s="13"/>
      <c r="I781" s="117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 spans="1:26">
      <c r="A782" s="13"/>
      <c r="B782" s="13"/>
      <c r="C782" s="13"/>
      <c r="D782" s="13"/>
      <c r="E782" s="13"/>
      <c r="F782" s="13"/>
      <c r="G782" s="13"/>
      <c r="H782" s="13"/>
      <c r="I782" s="117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 spans="1:26">
      <c r="A783" s="13"/>
      <c r="B783" s="13"/>
      <c r="C783" s="13"/>
      <c r="D783" s="13"/>
      <c r="E783" s="13"/>
      <c r="F783" s="13"/>
      <c r="G783" s="13"/>
      <c r="H783" s="13"/>
      <c r="I783" s="117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 spans="1:26">
      <c r="A784" s="13"/>
      <c r="B784" s="13"/>
      <c r="C784" s="13"/>
      <c r="D784" s="13"/>
      <c r="E784" s="13"/>
      <c r="F784" s="13"/>
      <c r="G784" s="13"/>
      <c r="H784" s="13"/>
      <c r="I784" s="117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 spans="1:26">
      <c r="A785" s="13"/>
      <c r="B785" s="13"/>
      <c r="C785" s="13"/>
      <c r="D785" s="13"/>
      <c r="E785" s="13"/>
      <c r="F785" s="13"/>
      <c r="G785" s="13"/>
      <c r="H785" s="13"/>
      <c r="I785" s="117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 spans="1:26">
      <c r="A786" s="13"/>
      <c r="B786" s="13"/>
      <c r="C786" s="13"/>
      <c r="D786" s="13"/>
      <c r="E786" s="13"/>
      <c r="F786" s="13"/>
      <c r="G786" s="13"/>
      <c r="H786" s="13"/>
      <c r="I786" s="117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 spans="1:26">
      <c r="A787" s="13"/>
      <c r="B787" s="13"/>
      <c r="C787" s="13"/>
      <c r="D787" s="13"/>
      <c r="E787" s="13"/>
      <c r="F787" s="13"/>
      <c r="G787" s="13"/>
      <c r="H787" s="13"/>
      <c r="I787" s="117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 spans="1:26">
      <c r="A788" s="13"/>
      <c r="B788" s="13"/>
      <c r="C788" s="13"/>
      <c r="D788" s="13"/>
      <c r="E788" s="13"/>
      <c r="F788" s="13"/>
      <c r="G788" s="13"/>
      <c r="H788" s="13"/>
      <c r="I788" s="117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 spans="1:26">
      <c r="A789" s="13"/>
      <c r="B789" s="13"/>
      <c r="C789" s="13"/>
      <c r="D789" s="13"/>
      <c r="E789" s="13"/>
      <c r="F789" s="13"/>
      <c r="G789" s="13"/>
      <c r="H789" s="13"/>
      <c r="I789" s="117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 spans="1:26">
      <c r="A790" s="13"/>
      <c r="B790" s="13"/>
      <c r="C790" s="13"/>
      <c r="D790" s="13"/>
      <c r="E790" s="13"/>
      <c r="F790" s="13"/>
      <c r="G790" s="13"/>
      <c r="H790" s="13"/>
      <c r="I790" s="117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 spans="1:26">
      <c r="A791" s="13"/>
      <c r="B791" s="13"/>
      <c r="C791" s="13"/>
      <c r="D791" s="13"/>
      <c r="E791" s="13"/>
      <c r="F791" s="13"/>
      <c r="G791" s="13"/>
      <c r="H791" s="13"/>
      <c r="I791" s="117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 spans="1:26">
      <c r="A792" s="13"/>
      <c r="B792" s="13"/>
      <c r="C792" s="13"/>
      <c r="D792" s="13"/>
      <c r="E792" s="13"/>
      <c r="F792" s="13"/>
      <c r="G792" s="13"/>
      <c r="H792" s="13"/>
      <c r="I792" s="117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 spans="1:26">
      <c r="A793" s="13"/>
      <c r="B793" s="13"/>
      <c r="C793" s="13"/>
      <c r="D793" s="13"/>
      <c r="E793" s="13"/>
      <c r="F793" s="13"/>
      <c r="G793" s="13"/>
      <c r="H793" s="13"/>
      <c r="I793" s="117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 spans="1:26">
      <c r="A794" s="13"/>
      <c r="B794" s="13"/>
      <c r="C794" s="13"/>
      <c r="D794" s="13"/>
      <c r="E794" s="13"/>
      <c r="F794" s="13"/>
      <c r="G794" s="13"/>
      <c r="H794" s="13"/>
      <c r="I794" s="117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 spans="1:26">
      <c r="A795" s="13"/>
      <c r="B795" s="13"/>
      <c r="C795" s="13"/>
      <c r="D795" s="13"/>
      <c r="E795" s="13"/>
      <c r="F795" s="13"/>
      <c r="G795" s="13"/>
      <c r="H795" s="13"/>
      <c r="I795" s="117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 spans="1:26">
      <c r="A796" s="13"/>
      <c r="B796" s="13"/>
      <c r="C796" s="13"/>
      <c r="D796" s="13"/>
      <c r="E796" s="13"/>
      <c r="F796" s="13"/>
      <c r="G796" s="13"/>
      <c r="H796" s="13"/>
      <c r="I796" s="117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 spans="1:26">
      <c r="A797" s="13"/>
      <c r="B797" s="13"/>
      <c r="C797" s="13"/>
      <c r="D797" s="13"/>
      <c r="E797" s="13"/>
      <c r="F797" s="13"/>
      <c r="G797" s="13"/>
      <c r="H797" s="13"/>
      <c r="I797" s="117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 spans="1:26">
      <c r="A798" s="13"/>
      <c r="B798" s="13"/>
      <c r="C798" s="13"/>
      <c r="D798" s="13"/>
      <c r="E798" s="13"/>
      <c r="F798" s="13"/>
      <c r="G798" s="13"/>
      <c r="H798" s="13"/>
      <c r="I798" s="117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 spans="1:26">
      <c r="A799" s="13"/>
      <c r="B799" s="13"/>
      <c r="C799" s="13"/>
      <c r="D799" s="13"/>
      <c r="E799" s="13"/>
      <c r="F799" s="13"/>
      <c r="G799" s="13"/>
      <c r="H799" s="13"/>
      <c r="I799" s="117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 spans="1:26">
      <c r="A800" s="13"/>
      <c r="B800" s="13"/>
      <c r="C800" s="13"/>
      <c r="D800" s="13"/>
      <c r="E800" s="13"/>
      <c r="F800" s="13"/>
      <c r="G800" s="13"/>
      <c r="H800" s="13"/>
      <c r="I800" s="117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 spans="1:26">
      <c r="A801" s="13"/>
      <c r="B801" s="13"/>
      <c r="C801" s="13"/>
      <c r="D801" s="13"/>
      <c r="E801" s="13"/>
      <c r="F801" s="13"/>
      <c r="G801" s="13"/>
      <c r="H801" s="13"/>
      <c r="I801" s="117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 spans="1:26">
      <c r="A802" s="13"/>
      <c r="B802" s="13"/>
      <c r="C802" s="13"/>
      <c r="D802" s="13"/>
      <c r="E802" s="13"/>
      <c r="F802" s="13"/>
      <c r="G802" s="13"/>
      <c r="H802" s="13"/>
      <c r="I802" s="117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 spans="1:26">
      <c r="A803" s="13"/>
      <c r="B803" s="13"/>
      <c r="C803" s="13"/>
      <c r="D803" s="13"/>
      <c r="E803" s="13"/>
      <c r="F803" s="13"/>
      <c r="G803" s="13"/>
      <c r="H803" s="13"/>
      <c r="I803" s="117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 spans="1:26">
      <c r="A804" s="13"/>
      <c r="B804" s="13"/>
      <c r="C804" s="13"/>
      <c r="D804" s="13"/>
      <c r="E804" s="13"/>
      <c r="F804" s="13"/>
      <c r="G804" s="13"/>
      <c r="H804" s="13"/>
      <c r="I804" s="117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 spans="1:26">
      <c r="A805" s="13"/>
      <c r="B805" s="13"/>
      <c r="C805" s="13"/>
      <c r="D805" s="13"/>
      <c r="E805" s="13"/>
      <c r="F805" s="13"/>
      <c r="G805" s="13"/>
      <c r="H805" s="13"/>
      <c r="I805" s="117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 spans="1:26">
      <c r="A806" s="13"/>
      <c r="B806" s="13"/>
      <c r="C806" s="13"/>
      <c r="D806" s="13"/>
      <c r="E806" s="13"/>
      <c r="F806" s="13"/>
      <c r="G806" s="13"/>
      <c r="H806" s="13"/>
      <c r="I806" s="117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 spans="1:26">
      <c r="A807" s="13"/>
      <c r="B807" s="13"/>
      <c r="C807" s="13"/>
      <c r="D807" s="13"/>
      <c r="E807" s="13"/>
      <c r="F807" s="13"/>
      <c r="G807" s="13"/>
      <c r="H807" s="13"/>
      <c r="I807" s="117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 spans="1:26">
      <c r="A808" s="13"/>
      <c r="B808" s="13"/>
      <c r="C808" s="13"/>
      <c r="D808" s="13"/>
      <c r="E808" s="13"/>
      <c r="F808" s="13"/>
      <c r="G808" s="13"/>
      <c r="H808" s="13"/>
      <c r="I808" s="117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 spans="1:26">
      <c r="A809" s="13"/>
      <c r="B809" s="13"/>
      <c r="C809" s="13"/>
      <c r="D809" s="13"/>
      <c r="E809" s="13"/>
      <c r="F809" s="13"/>
      <c r="G809" s="13"/>
      <c r="H809" s="13"/>
      <c r="I809" s="117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 spans="1:26">
      <c r="A810" s="13"/>
      <c r="B810" s="13"/>
      <c r="C810" s="13"/>
      <c r="D810" s="13"/>
      <c r="E810" s="13"/>
      <c r="F810" s="13"/>
      <c r="G810" s="13"/>
      <c r="H810" s="13"/>
      <c r="I810" s="117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 spans="1:26">
      <c r="A811" s="13"/>
      <c r="B811" s="13"/>
      <c r="C811" s="13"/>
      <c r="D811" s="13"/>
      <c r="E811" s="13"/>
      <c r="F811" s="13"/>
      <c r="G811" s="13"/>
      <c r="H811" s="13"/>
      <c r="I811" s="117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 spans="1:26">
      <c r="A812" s="13"/>
      <c r="B812" s="13"/>
      <c r="C812" s="13"/>
      <c r="D812" s="13"/>
      <c r="E812" s="13"/>
      <c r="F812" s="13"/>
      <c r="G812" s="13"/>
      <c r="H812" s="13"/>
      <c r="I812" s="117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 spans="1:26">
      <c r="A813" s="13"/>
      <c r="B813" s="13"/>
      <c r="C813" s="13"/>
      <c r="D813" s="13"/>
      <c r="E813" s="13"/>
      <c r="F813" s="13"/>
      <c r="G813" s="13"/>
      <c r="H813" s="13"/>
      <c r="I813" s="117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 spans="1:26">
      <c r="A814" s="13"/>
      <c r="B814" s="13"/>
      <c r="C814" s="13"/>
      <c r="D814" s="13"/>
      <c r="E814" s="13"/>
      <c r="F814" s="13"/>
      <c r="G814" s="13"/>
      <c r="H814" s="13"/>
      <c r="I814" s="117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 spans="1:26">
      <c r="A815" s="13"/>
      <c r="B815" s="13"/>
      <c r="C815" s="13"/>
      <c r="D815" s="13"/>
      <c r="E815" s="13"/>
      <c r="F815" s="13"/>
      <c r="G815" s="13"/>
      <c r="H815" s="13"/>
      <c r="I815" s="117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 spans="1:26">
      <c r="A816" s="13"/>
      <c r="B816" s="13"/>
      <c r="C816" s="13"/>
      <c r="D816" s="13"/>
      <c r="E816" s="13"/>
      <c r="F816" s="13"/>
      <c r="G816" s="13"/>
      <c r="H816" s="13"/>
      <c r="I816" s="117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 spans="1:26">
      <c r="A817" s="13"/>
      <c r="B817" s="13"/>
      <c r="C817" s="13"/>
      <c r="D817" s="13"/>
      <c r="E817" s="13"/>
      <c r="F817" s="13"/>
      <c r="G817" s="13"/>
      <c r="H817" s="13"/>
      <c r="I817" s="117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 spans="1:26">
      <c r="A818" s="13"/>
      <c r="B818" s="13"/>
      <c r="C818" s="13"/>
      <c r="D818" s="13"/>
      <c r="E818" s="13"/>
      <c r="F818" s="13"/>
      <c r="G818" s="13"/>
      <c r="H818" s="13"/>
      <c r="I818" s="117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 spans="1:26">
      <c r="A819" s="13"/>
      <c r="B819" s="13"/>
      <c r="C819" s="13"/>
      <c r="D819" s="13"/>
      <c r="E819" s="13"/>
      <c r="F819" s="13"/>
      <c r="G819" s="13"/>
      <c r="H819" s="13"/>
      <c r="I819" s="117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 spans="1:26">
      <c r="A820" s="13"/>
      <c r="B820" s="13"/>
      <c r="C820" s="13"/>
      <c r="D820" s="13"/>
      <c r="E820" s="13"/>
      <c r="F820" s="13"/>
      <c r="G820" s="13"/>
      <c r="H820" s="13"/>
      <c r="I820" s="117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 spans="1:26">
      <c r="A821" s="13"/>
      <c r="B821" s="13"/>
      <c r="C821" s="13"/>
      <c r="D821" s="13"/>
      <c r="E821" s="13"/>
      <c r="F821" s="13"/>
      <c r="G821" s="13"/>
      <c r="H821" s="13"/>
      <c r="I821" s="117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 spans="1:26">
      <c r="A822" s="13"/>
      <c r="B822" s="13"/>
      <c r="C822" s="13"/>
      <c r="D822" s="13"/>
      <c r="E822" s="13"/>
      <c r="F822" s="13"/>
      <c r="G822" s="13"/>
      <c r="H822" s="13"/>
      <c r="I822" s="117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 spans="1:26">
      <c r="A823" s="13"/>
      <c r="B823" s="13"/>
      <c r="C823" s="13"/>
      <c r="D823" s="13"/>
      <c r="E823" s="13"/>
      <c r="F823" s="13"/>
      <c r="G823" s="13"/>
      <c r="H823" s="13"/>
      <c r="I823" s="117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 spans="1:26">
      <c r="A824" s="13"/>
      <c r="B824" s="13"/>
      <c r="C824" s="13"/>
      <c r="D824" s="13"/>
      <c r="E824" s="13"/>
      <c r="F824" s="13"/>
      <c r="G824" s="13"/>
      <c r="H824" s="13"/>
      <c r="I824" s="117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 spans="1:26">
      <c r="A825" s="13"/>
      <c r="B825" s="13"/>
      <c r="C825" s="13"/>
      <c r="D825" s="13"/>
      <c r="E825" s="13"/>
      <c r="F825" s="13"/>
      <c r="G825" s="13"/>
      <c r="H825" s="13"/>
      <c r="I825" s="117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 spans="1:26">
      <c r="A826" s="13"/>
      <c r="B826" s="13"/>
      <c r="C826" s="13"/>
      <c r="D826" s="13"/>
      <c r="E826" s="13"/>
      <c r="F826" s="13"/>
      <c r="G826" s="13"/>
      <c r="H826" s="13"/>
      <c r="I826" s="117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 spans="1:26">
      <c r="A827" s="13"/>
      <c r="B827" s="13"/>
      <c r="C827" s="13"/>
      <c r="D827" s="13"/>
      <c r="E827" s="13"/>
      <c r="F827" s="13"/>
      <c r="G827" s="13"/>
      <c r="H827" s="13"/>
      <c r="I827" s="117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 spans="1:26">
      <c r="A828" s="13"/>
      <c r="B828" s="13"/>
      <c r="C828" s="13"/>
      <c r="D828" s="13"/>
      <c r="E828" s="13"/>
      <c r="F828" s="13"/>
      <c r="G828" s="13"/>
      <c r="H828" s="13"/>
      <c r="I828" s="117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 spans="1:26">
      <c r="A829" s="13"/>
      <c r="B829" s="13"/>
      <c r="C829" s="13"/>
      <c r="D829" s="13"/>
      <c r="E829" s="13"/>
      <c r="F829" s="13"/>
      <c r="G829" s="13"/>
      <c r="H829" s="13"/>
      <c r="I829" s="117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 spans="1:26">
      <c r="A830" s="13"/>
      <c r="B830" s="13"/>
      <c r="C830" s="13"/>
      <c r="D830" s="13"/>
      <c r="E830" s="13"/>
      <c r="F830" s="13"/>
      <c r="G830" s="13"/>
      <c r="H830" s="13"/>
      <c r="I830" s="117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 spans="1:26">
      <c r="A831" s="13"/>
      <c r="B831" s="13"/>
      <c r="C831" s="13"/>
      <c r="D831" s="13"/>
      <c r="E831" s="13"/>
      <c r="F831" s="13"/>
      <c r="G831" s="13"/>
      <c r="H831" s="13"/>
      <c r="I831" s="117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 spans="1:26">
      <c r="A832" s="13"/>
      <c r="B832" s="13"/>
      <c r="C832" s="13"/>
      <c r="D832" s="13"/>
      <c r="E832" s="13"/>
      <c r="F832" s="13"/>
      <c r="G832" s="13"/>
      <c r="H832" s="13"/>
      <c r="I832" s="117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 spans="1:26">
      <c r="A833" s="13"/>
      <c r="B833" s="13"/>
      <c r="C833" s="13"/>
      <c r="D833" s="13"/>
      <c r="E833" s="13"/>
      <c r="F833" s="13"/>
      <c r="G833" s="13"/>
      <c r="H833" s="13"/>
      <c r="I833" s="117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 spans="1:26">
      <c r="A834" s="13"/>
      <c r="B834" s="13"/>
      <c r="C834" s="13"/>
      <c r="D834" s="13"/>
      <c r="E834" s="13"/>
      <c r="F834" s="13"/>
      <c r="G834" s="13"/>
      <c r="H834" s="13"/>
      <c r="I834" s="117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 spans="1:26">
      <c r="A835" s="13"/>
      <c r="B835" s="13"/>
      <c r="C835" s="13"/>
      <c r="D835" s="13"/>
      <c r="E835" s="13"/>
      <c r="F835" s="13"/>
      <c r="G835" s="13"/>
      <c r="H835" s="13"/>
      <c r="I835" s="117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 spans="1:26">
      <c r="A836" s="13"/>
      <c r="B836" s="13"/>
      <c r="C836" s="13"/>
      <c r="D836" s="13"/>
      <c r="E836" s="13"/>
      <c r="F836" s="13"/>
      <c r="G836" s="13"/>
      <c r="H836" s="13"/>
      <c r="I836" s="117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 spans="1:26">
      <c r="A837" s="13"/>
      <c r="B837" s="13"/>
      <c r="C837" s="13"/>
      <c r="D837" s="13"/>
      <c r="E837" s="13"/>
      <c r="F837" s="13"/>
      <c r="G837" s="13"/>
      <c r="H837" s="13"/>
      <c r="I837" s="117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 spans="1:26">
      <c r="A838" s="13"/>
      <c r="B838" s="13"/>
      <c r="C838" s="13"/>
      <c r="D838" s="13"/>
      <c r="E838" s="13"/>
      <c r="F838" s="13"/>
      <c r="G838" s="13"/>
      <c r="H838" s="13"/>
      <c r="I838" s="117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 spans="1:26">
      <c r="A839" s="13"/>
      <c r="B839" s="13"/>
      <c r="C839" s="13"/>
      <c r="D839" s="13"/>
      <c r="E839" s="13"/>
      <c r="F839" s="13"/>
      <c r="G839" s="13"/>
      <c r="H839" s="13"/>
      <c r="I839" s="117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 spans="1:26">
      <c r="A840" s="13"/>
      <c r="B840" s="13"/>
      <c r="C840" s="13"/>
      <c r="D840" s="13"/>
      <c r="E840" s="13"/>
      <c r="F840" s="13"/>
      <c r="G840" s="13"/>
      <c r="H840" s="13"/>
      <c r="I840" s="117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 spans="1:26">
      <c r="A841" s="13"/>
      <c r="B841" s="13"/>
      <c r="C841" s="13"/>
      <c r="D841" s="13"/>
      <c r="E841" s="13"/>
      <c r="F841" s="13"/>
      <c r="G841" s="13"/>
      <c r="H841" s="13"/>
      <c r="I841" s="117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 spans="1:26">
      <c r="A842" s="13"/>
      <c r="B842" s="13"/>
      <c r="C842" s="13"/>
      <c r="D842" s="13"/>
      <c r="E842" s="13"/>
      <c r="F842" s="13"/>
      <c r="G842" s="13"/>
      <c r="H842" s="13"/>
      <c r="I842" s="117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 spans="1:26">
      <c r="A843" s="13"/>
      <c r="B843" s="13"/>
      <c r="C843" s="13"/>
      <c r="D843" s="13"/>
      <c r="E843" s="13"/>
      <c r="F843" s="13"/>
      <c r="G843" s="13"/>
      <c r="H843" s="13"/>
      <c r="I843" s="117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 spans="1:26">
      <c r="A844" s="13"/>
      <c r="B844" s="13"/>
      <c r="C844" s="13"/>
      <c r="D844" s="13"/>
      <c r="E844" s="13"/>
      <c r="F844" s="13"/>
      <c r="G844" s="13"/>
      <c r="H844" s="13"/>
      <c r="I844" s="117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 spans="1:26">
      <c r="A845" s="13"/>
      <c r="B845" s="13"/>
      <c r="C845" s="13"/>
      <c r="D845" s="13"/>
      <c r="E845" s="13"/>
      <c r="F845" s="13"/>
      <c r="G845" s="13"/>
      <c r="H845" s="13"/>
      <c r="I845" s="117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 spans="1:26">
      <c r="A846" s="13"/>
      <c r="B846" s="13"/>
      <c r="C846" s="13"/>
      <c r="D846" s="13"/>
      <c r="E846" s="13"/>
      <c r="F846" s="13"/>
      <c r="G846" s="13"/>
      <c r="H846" s="13"/>
      <c r="I846" s="117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 spans="1:26">
      <c r="A847" s="13"/>
      <c r="B847" s="13"/>
      <c r="C847" s="13"/>
      <c r="D847" s="13"/>
      <c r="E847" s="13"/>
      <c r="F847" s="13"/>
      <c r="G847" s="13"/>
      <c r="H847" s="13"/>
      <c r="I847" s="117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 spans="1:26">
      <c r="A848" s="13"/>
      <c r="B848" s="13"/>
      <c r="C848" s="13"/>
      <c r="D848" s="13"/>
      <c r="E848" s="13"/>
      <c r="F848" s="13"/>
      <c r="G848" s="13"/>
      <c r="H848" s="13"/>
      <c r="I848" s="117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 spans="1:26">
      <c r="A849" s="13"/>
      <c r="B849" s="13"/>
      <c r="C849" s="13"/>
      <c r="D849" s="13"/>
      <c r="E849" s="13"/>
      <c r="F849" s="13"/>
      <c r="G849" s="13"/>
      <c r="H849" s="13"/>
      <c r="I849" s="117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 spans="1:26">
      <c r="A850" s="13"/>
      <c r="B850" s="13"/>
      <c r="C850" s="13"/>
      <c r="D850" s="13"/>
      <c r="E850" s="13"/>
      <c r="F850" s="13"/>
      <c r="G850" s="13"/>
      <c r="H850" s="13"/>
      <c r="I850" s="117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 spans="1:26">
      <c r="A851" s="13"/>
      <c r="B851" s="13"/>
      <c r="C851" s="13"/>
      <c r="D851" s="13"/>
      <c r="E851" s="13"/>
      <c r="F851" s="13"/>
      <c r="G851" s="13"/>
      <c r="H851" s="13"/>
      <c r="I851" s="117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 spans="1:26">
      <c r="A852" s="13"/>
      <c r="B852" s="13"/>
      <c r="C852" s="13"/>
      <c r="D852" s="13"/>
      <c r="E852" s="13"/>
      <c r="F852" s="13"/>
      <c r="G852" s="13"/>
      <c r="H852" s="13"/>
      <c r="I852" s="117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 spans="1:26">
      <c r="A853" s="13"/>
      <c r="B853" s="13"/>
      <c r="C853" s="13"/>
      <c r="D853" s="13"/>
      <c r="E853" s="13"/>
      <c r="F853" s="13"/>
      <c r="G853" s="13"/>
      <c r="H853" s="13"/>
      <c r="I853" s="117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 spans="1:26">
      <c r="A854" s="13"/>
      <c r="B854" s="13"/>
      <c r="C854" s="13"/>
      <c r="D854" s="13"/>
      <c r="E854" s="13"/>
      <c r="F854" s="13"/>
      <c r="G854" s="13"/>
      <c r="H854" s="13"/>
      <c r="I854" s="117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 spans="1:26">
      <c r="A855" s="13"/>
      <c r="B855" s="13"/>
      <c r="C855" s="13"/>
      <c r="D855" s="13"/>
      <c r="E855" s="13"/>
      <c r="F855" s="13"/>
      <c r="G855" s="13"/>
      <c r="H855" s="13"/>
      <c r="I855" s="117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 spans="1:26">
      <c r="A856" s="13"/>
      <c r="B856" s="13"/>
      <c r="C856" s="13"/>
      <c r="D856" s="13"/>
      <c r="E856" s="13"/>
      <c r="F856" s="13"/>
      <c r="G856" s="13"/>
      <c r="H856" s="13"/>
      <c r="I856" s="117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 spans="1:26">
      <c r="A857" s="13"/>
      <c r="B857" s="13"/>
      <c r="C857" s="13"/>
      <c r="D857" s="13"/>
      <c r="E857" s="13"/>
      <c r="F857" s="13"/>
      <c r="G857" s="13"/>
      <c r="H857" s="13"/>
      <c r="I857" s="117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 spans="1:26">
      <c r="A858" s="13"/>
      <c r="B858" s="13"/>
      <c r="C858" s="13"/>
      <c r="D858" s="13"/>
      <c r="E858" s="13"/>
      <c r="F858" s="13"/>
      <c r="G858" s="13"/>
      <c r="H858" s="13"/>
      <c r="I858" s="117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 spans="1:26">
      <c r="A859" s="13"/>
      <c r="B859" s="13"/>
      <c r="C859" s="13"/>
      <c r="D859" s="13"/>
      <c r="E859" s="13"/>
      <c r="F859" s="13"/>
      <c r="G859" s="13"/>
      <c r="H859" s="13"/>
      <c r="I859" s="117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 spans="1:26">
      <c r="A860" s="13"/>
      <c r="B860" s="13"/>
      <c r="C860" s="13"/>
      <c r="D860" s="13"/>
      <c r="E860" s="13"/>
      <c r="F860" s="13"/>
      <c r="G860" s="13"/>
      <c r="H860" s="13"/>
      <c r="I860" s="117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 spans="1:26">
      <c r="A861" s="13"/>
      <c r="B861" s="13"/>
      <c r="C861" s="13"/>
      <c r="D861" s="13"/>
      <c r="E861" s="13"/>
      <c r="F861" s="13"/>
      <c r="G861" s="13"/>
      <c r="H861" s="13"/>
      <c r="I861" s="117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 spans="1:26">
      <c r="A862" s="13"/>
      <c r="B862" s="13"/>
      <c r="C862" s="13"/>
      <c r="D862" s="13"/>
      <c r="E862" s="13"/>
      <c r="F862" s="13"/>
      <c r="G862" s="13"/>
      <c r="H862" s="13"/>
      <c r="I862" s="117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 spans="1:26">
      <c r="A863" s="13"/>
      <c r="B863" s="13"/>
      <c r="C863" s="13"/>
      <c r="D863" s="13"/>
      <c r="E863" s="13"/>
      <c r="F863" s="13"/>
      <c r="G863" s="13"/>
      <c r="H863" s="13"/>
      <c r="I863" s="117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 spans="1:26">
      <c r="A864" s="13"/>
      <c r="B864" s="13"/>
      <c r="C864" s="13"/>
      <c r="D864" s="13"/>
      <c r="E864" s="13"/>
      <c r="F864" s="13"/>
      <c r="G864" s="13"/>
      <c r="H864" s="13"/>
      <c r="I864" s="117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 spans="1:26">
      <c r="A865" s="13"/>
      <c r="B865" s="13"/>
      <c r="C865" s="13"/>
      <c r="D865" s="13"/>
      <c r="E865" s="13"/>
      <c r="F865" s="13"/>
      <c r="G865" s="13"/>
      <c r="H865" s="13"/>
      <c r="I865" s="117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 spans="1:26">
      <c r="A866" s="13"/>
      <c r="B866" s="13"/>
      <c r="C866" s="13"/>
      <c r="D866" s="13"/>
      <c r="E866" s="13"/>
      <c r="F866" s="13"/>
      <c r="G866" s="13"/>
      <c r="H866" s="13"/>
      <c r="I866" s="117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 spans="1:26">
      <c r="A867" s="13"/>
      <c r="B867" s="13"/>
      <c r="C867" s="13"/>
      <c r="D867" s="13"/>
      <c r="E867" s="13"/>
      <c r="F867" s="13"/>
      <c r="G867" s="13"/>
      <c r="H867" s="13"/>
      <c r="I867" s="117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 spans="1:26">
      <c r="A868" s="13"/>
      <c r="B868" s="13"/>
      <c r="C868" s="13"/>
      <c r="D868" s="13"/>
      <c r="E868" s="13"/>
      <c r="F868" s="13"/>
      <c r="G868" s="13"/>
      <c r="H868" s="13"/>
      <c r="I868" s="117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 spans="1:26">
      <c r="A869" s="13"/>
      <c r="B869" s="13"/>
      <c r="C869" s="13"/>
      <c r="D869" s="13"/>
      <c r="E869" s="13"/>
      <c r="F869" s="13"/>
      <c r="G869" s="13"/>
      <c r="H869" s="13"/>
      <c r="I869" s="117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 spans="1:26">
      <c r="A870" s="13"/>
      <c r="B870" s="13"/>
      <c r="C870" s="13"/>
      <c r="D870" s="13"/>
      <c r="E870" s="13"/>
      <c r="F870" s="13"/>
      <c r="G870" s="13"/>
      <c r="H870" s="13"/>
      <c r="I870" s="117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 G8:G17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68"/>
  <sheetViews>
    <sheetView workbookViewId="0">
      <pane ySplit="8" topLeftCell="A9" activePane="bottomLeft" state="frozen"/>
      <selection/>
      <selection pane="bottomLeft" activeCell="D11" sqref="D11"/>
    </sheetView>
  </sheetViews>
  <sheetFormatPr defaultColWidth="12.6333333333333" defaultRowHeight="13.5"/>
  <cols>
    <col min="1" max="1" width="11.375" style="151" customWidth="1"/>
    <col min="2" max="2" width="18.5" style="151" customWidth="1"/>
    <col min="3" max="3" width="21" style="151" customWidth="1"/>
    <col min="4" max="4" width="25.875" style="151" customWidth="1"/>
    <col min="5" max="5" width="25" style="151" customWidth="1"/>
    <col min="6" max="6" width="12" style="151" customWidth="1"/>
    <col min="7" max="7" width="6.375" style="152" customWidth="1"/>
    <col min="8" max="8" width="9.625" style="151" customWidth="1"/>
    <col min="9" max="9" width="4.375" style="151" customWidth="1"/>
    <col min="10" max="10" width="7.125" style="151" customWidth="1"/>
    <col min="11" max="26" width="10" style="151" customWidth="1"/>
    <col min="27" max="16384" width="12.6333333333333" style="151"/>
  </cols>
  <sheetData>
    <row r="1" ht="14.25" spans="1:26">
      <c r="A1" s="54"/>
      <c r="B1" s="55"/>
      <c r="C1" s="55"/>
      <c r="D1" s="55"/>
      <c r="E1" s="55"/>
      <c r="F1" s="56"/>
      <c r="G1" s="153"/>
      <c r="H1" s="58"/>
      <c r="I1" s="8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>
      <c r="A2" s="59" t="s">
        <v>54</v>
      </c>
      <c r="B2" s="60" t="s">
        <v>36</v>
      </c>
      <c r="C2" s="154"/>
      <c r="D2" s="154"/>
      <c r="E2" s="154"/>
      <c r="F2" s="155"/>
      <c r="G2" s="70"/>
      <c r="H2" s="58"/>
      <c r="I2" s="8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5.5" spans="1:26">
      <c r="A3" s="63" t="s">
        <v>56</v>
      </c>
      <c r="B3" s="60" t="s">
        <v>95</v>
      </c>
      <c r="C3" s="131"/>
      <c r="D3" s="131"/>
      <c r="E3" s="131"/>
      <c r="F3" s="132"/>
      <c r="G3" s="70"/>
      <c r="H3" s="58"/>
      <c r="I3" s="8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>
      <c r="A4" s="59" t="s">
        <v>59</v>
      </c>
      <c r="B4" s="64" t="s">
        <v>34</v>
      </c>
      <c r="C4" s="133"/>
      <c r="D4" s="133"/>
      <c r="E4" s="133"/>
      <c r="F4" s="134"/>
      <c r="G4" s="70"/>
      <c r="H4" s="58"/>
      <c r="I4" s="86"/>
      <c r="J4" s="87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>
      <c r="A5" s="67" t="s">
        <v>55</v>
      </c>
      <c r="B5" s="68" t="s">
        <v>58</v>
      </c>
      <c r="C5" s="68" t="s">
        <v>60</v>
      </c>
      <c r="D5" s="69" t="s">
        <v>61</v>
      </c>
      <c r="E5" s="69" t="s">
        <v>62</v>
      </c>
      <c r="F5" s="155"/>
      <c r="G5" s="70"/>
      <c r="H5" s="70"/>
      <c r="I5" s="88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4.25" spans="1:26">
      <c r="A6" s="71">
        <f>COUNTIF(F10:G866,"Pass")</f>
        <v>5</v>
      </c>
      <c r="B6" s="72">
        <f>COUNTIF(F10:G866,"Fail")</f>
        <v>0</v>
      </c>
      <c r="C6" s="72">
        <f>E6-D6-B6-A6</f>
        <v>0</v>
      </c>
      <c r="D6" s="73">
        <f>COUNTIF(F$9:F$866,"N/A")</f>
        <v>0</v>
      </c>
      <c r="E6" s="74">
        <f>COUNTA(A9:A866)</f>
        <v>5</v>
      </c>
      <c r="F6" s="156"/>
      <c r="G6" s="70"/>
      <c r="H6" s="70"/>
      <c r="I6" s="88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>
      <c r="A7" s="76"/>
      <c r="B7" s="76"/>
      <c r="C7" s="76"/>
      <c r="D7" s="77"/>
      <c r="E7" s="77"/>
      <c r="F7" s="70"/>
      <c r="G7" s="70"/>
      <c r="H7" s="70"/>
      <c r="I7" s="88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>
      <c r="A8" s="78" t="s">
        <v>64</v>
      </c>
      <c r="B8" s="78" t="s">
        <v>65</v>
      </c>
      <c r="C8" s="78" t="s">
        <v>66</v>
      </c>
      <c r="D8" s="78" t="s">
        <v>67</v>
      </c>
      <c r="E8" s="78" t="s">
        <v>68</v>
      </c>
      <c r="F8" s="79" t="s">
        <v>69</v>
      </c>
      <c r="G8" s="79" t="s">
        <v>70</v>
      </c>
      <c r="H8" s="79" t="s">
        <v>71</v>
      </c>
      <c r="I8" s="78" t="s">
        <v>72</v>
      </c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>
      <c r="A9" s="80"/>
      <c r="B9" s="81" t="s">
        <v>73</v>
      </c>
      <c r="C9" s="80"/>
      <c r="D9" s="80"/>
      <c r="E9" s="80"/>
      <c r="F9" s="80"/>
      <c r="G9" s="157"/>
      <c r="H9" s="80"/>
      <c r="I9" s="89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76.5" spans="1:26">
      <c r="A10" s="82" t="str">
        <f>IF(OR(B10&lt;&gt;"",E10&lt;&gt;""),"["&amp;TEXT($B$2,"##")&amp;"-"&amp;TEXT(ROW()-9,"##")&amp;"]","")</f>
        <v>[M_dang_ky-1]</v>
      </c>
      <c r="B10" s="82" t="s">
        <v>74</v>
      </c>
      <c r="C10" s="82"/>
      <c r="D10" s="82" t="s">
        <v>96</v>
      </c>
      <c r="E10" s="82" t="s">
        <v>76</v>
      </c>
      <c r="F10" s="158"/>
      <c r="G10" s="109" t="s">
        <v>55</v>
      </c>
      <c r="H10" s="84">
        <v>45992</v>
      </c>
      <c r="I10" s="82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76.5" spans="1:26">
      <c r="A11" s="82" t="str">
        <f>IF(OR(B11&lt;&gt;"",E11&lt;&gt;""),"["&amp;TEXT($B$2,"##")&amp;"-"&amp;TEXT(ROW()-9,"##")&amp;"]","")</f>
        <v>[M_dang_ky-2]</v>
      </c>
      <c r="B11" s="82" t="s">
        <v>97</v>
      </c>
      <c r="C11" s="82"/>
      <c r="D11" s="82" t="s">
        <v>98</v>
      </c>
      <c r="E11" s="82" t="s">
        <v>99</v>
      </c>
      <c r="F11" s="158"/>
      <c r="G11" s="109" t="s">
        <v>55</v>
      </c>
      <c r="H11" s="84">
        <v>45992</v>
      </c>
      <c r="I11" s="82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80"/>
      <c r="B12" s="81" t="s">
        <v>80</v>
      </c>
      <c r="C12" s="80"/>
      <c r="D12" s="80"/>
      <c r="E12" s="80"/>
      <c r="F12" s="80"/>
      <c r="G12" s="157"/>
      <c r="H12" s="80"/>
      <c r="I12" s="89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89.25" spans="1:26">
      <c r="A13" s="82" t="str">
        <f>IF(OR(B13&lt;&gt;"",E13&lt;&gt;""),"["&amp;TEXT($B$2,"##")&amp;"-"&amp;TEXT(ROW()-10,"##")&amp;"]","")</f>
        <v>[M_dang_ky-3]</v>
      </c>
      <c r="B13" s="82" t="s">
        <v>100</v>
      </c>
      <c r="C13" s="82" t="s">
        <v>101</v>
      </c>
      <c r="D13" s="82" t="s">
        <v>102</v>
      </c>
      <c r="E13" s="82" t="s">
        <v>103</v>
      </c>
      <c r="F13" s="158"/>
      <c r="G13" s="109" t="s">
        <v>55</v>
      </c>
      <c r="H13" s="84">
        <v>45992</v>
      </c>
      <c r="I13" s="90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76.5" spans="1:26">
      <c r="A14" s="82" t="str">
        <f>IF(OR(B14&lt;&gt;"",E14&lt;&gt;""),"["&amp;TEXT($B$2,"##")&amp;"-"&amp;TEXT(ROW()-10,"##")&amp;"]","")</f>
        <v>[M_dang_ky-4]</v>
      </c>
      <c r="B14" s="82" t="s">
        <v>104</v>
      </c>
      <c r="C14" s="82" t="s">
        <v>105</v>
      </c>
      <c r="D14" s="82" t="s">
        <v>106</v>
      </c>
      <c r="E14" s="82" t="s">
        <v>107</v>
      </c>
      <c r="F14" s="159"/>
      <c r="G14" s="109" t="s">
        <v>55</v>
      </c>
      <c r="H14" s="84">
        <v>45992</v>
      </c>
      <c r="I14" s="82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76.5" spans="1:26">
      <c r="A15" s="82" t="str">
        <f>IF(OR(B15&lt;&gt;"",E15&lt;&gt;""),"["&amp;TEXT($B$2,"##")&amp;"-"&amp;TEXT(ROW()-10,"##")&amp;"]","")</f>
        <v>[M_dang_ky-5]</v>
      </c>
      <c r="B15" s="82" t="s">
        <v>108</v>
      </c>
      <c r="C15" s="82" t="s">
        <v>109</v>
      </c>
      <c r="D15" s="82" t="s">
        <v>110</v>
      </c>
      <c r="E15" s="82" t="s">
        <v>111</v>
      </c>
      <c r="F15" s="158"/>
      <c r="G15" s="109" t="s">
        <v>55</v>
      </c>
      <c r="H15" s="84">
        <v>45992</v>
      </c>
      <c r="I15" s="90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85"/>
      <c r="B16" s="85"/>
      <c r="C16" s="85"/>
      <c r="D16" s="85"/>
      <c r="E16" s="85"/>
      <c r="F16" s="85"/>
      <c r="G16" s="160"/>
      <c r="H16" s="85"/>
      <c r="I16" s="91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85"/>
      <c r="B17" s="85"/>
      <c r="C17" s="85"/>
      <c r="D17" s="85"/>
      <c r="E17" s="85"/>
      <c r="F17" s="85"/>
      <c r="G17" s="160"/>
      <c r="H17" s="85"/>
      <c r="I17" s="91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85"/>
      <c r="B18" s="85"/>
      <c r="C18" s="85"/>
      <c r="D18" s="85"/>
      <c r="E18" s="85"/>
      <c r="F18" s="85"/>
      <c r="G18" s="160"/>
      <c r="H18" s="85"/>
      <c r="I18" s="91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85"/>
      <c r="B19" s="85"/>
      <c r="C19" s="85"/>
      <c r="D19" s="85"/>
      <c r="E19" s="85"/>
      <c r="F19" s="85"/>
      <c r="G19" s="160"/>
      <c r="H19" s="85"/>
      <c r="I19" s="91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85"/>
      <c r="B20" s="85"/>
      <c r="C20" s="85"/>
      <c r="D20" s="85"/>
      <c r="E20" s="85"/>
      <c r="F20" s="85"/>
      <c r="G20" s="160"/>
      <c r="H20" s="85"/>
      <c r="I20" s="91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85"/>
      <c r="B21" s="85"/>
      <c r="C21" s="85"/>
      <c r="D21" s="85"/>
      <c r="E21" s="85"/>
      <c r="F21" s="85"/>
      <c r="G21" s="160"/>
      <c r="H21" s="85"/>
      <c r="I21" s="91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85"/>
      <c r="B22" s="85"/>
      <c r="C22" s="85"/>
      <c r="D22" s="85"/>
      <c r="E22" s="85"/>
      <c r="F22" s="85"/>
      <c r="G22" s="160"/>
      <c r="H22" s="85"/>
      <c r="I22" s="91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85"/>
      <c r="B23" s="85"/>
      <c r="C23" s="85"/>
      <c r="D23" s="85"/>
      <c r="E23" s="85"/>
      <c r="F23" s="85"/>
      <c r="G23" s="160"/>
      <c r="H23" s="85"/>
      <c r="I23" s="91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85"/>
      <c r="B24" s="85"/>
      <c r="C24" s="85"/>
      <c r="D24" s="85"/>
      <c r="E24" s="85"/>
      <c r="F24" s="85"/>
      <c r="G24" s="160"/>
      <c r="H24" s="85"/>
      <c r="I24" s="91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85"/>
      <c r="B25" s="85"/>
      <c r="C25" s="85"/>
      <c r="D25" s="85"/>
      <c r="E25" s="85"/>
      <c r="F25" s="85"/>
      <c r="G25" s="160"/>
      <c r="H25" s="85"/>
      <c r="I25" s="91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85"/>
      <c r="B26" s="85"/>
      <c r="C26" s="85"/>
      <c r="D26" s="85"/>
      <c r="E26" s="85"/>
      <c r="F26" s="85"/>
      <c r="G26" s="160"/>
      <c r="H26" s="85"/>
      <c r="I26" s="91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85"/>
      <c r="B27" s="85"/>
      <c r="C27" s="85"/>
      <c r="D27" s="85"/>
      <c r="E27" s="85"/>
      <c r="F27" s="85"/>
      <c r="G27" s="160"/>
      <c r="H27" s="85"/>
      <c r="I27" s="91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85"/>
      <c r="B28" s="85"/>
      <c r="C28" s="85"/>
      <c r="D28" s="85"/>
      <c r="E28" s="85"/>
      <c r="F28" s="85"/>
      <c r="G28" s="160"/>
      <c r="H28" s="85"/>
      <c r="I28" s="91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85"/>
      <c r="B29" s="85"/>
      <c r="C29" s="85"/>
      <c r="D29" s="85"/>
      <c r="E29" s="85"/>
      <c r="F29" s="85"/>
      <c r="G29" s="160"/>
      <c r="H29" s="85"/>
      <c r="I29" s="91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85"/>
      <c r="B30" s="85"/>
      <c r="C30" s="85"/>
      <c r="D30" s="85"/>
      <c r="E30" s="85"/>
      <c r="F30" s="85"/>
      <c r="G30" s="160"/>
      <c r="H30" s="85"/>
      <c r="I30" s="91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85"/>
      <c r="B31" s="85"/>
      <c r="C31" s="85"/>
      <c r="D31" s="85"/>
      <c r="E31" s="85"/>
      <c r="F31" s="85"/>
      <c r="G31" s="160"/>
      <c r="H31" s="85"/>
      <c r="I31" s="91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85"/>
      <c r="B32" s="85"/>
      <c r="C32" s="85"/>
      <c r="D32" s="85"/>
      <c r="E32" s="85"/>
      <c r="F32" s="85"/>
      <c r="G32" s="160"/>
      <c r="H32" s="85"/>
      <c r="I32" s="91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85"/>
      <c r="B33" s="85"/>
      <c r="C33" s="85"/>
      <c r="D33" s="85"/>
      <c r="E33" s="85"/>
      <c r="F33" s="85"/>
      <c r="G33" s="160"/>
      <c r="H33" s="85"/>
      <c r="I33" s="91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85"/>
      <c r="B34" s="85"/>
      <c r="C34" s="85"/>
      <c r="D34" s="85"/>
      <c r="E34" s="85"/>
      <c r="F34" s="85"/>
      <c r="G34" s="160"/>
      <c r="H34" s="85"/>
      <c r="I34" s="91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85"/>
      <c r="B35" s="85"/>
      <c r="C35" s="85"/>
      <c r="D35" s="85"/>
      <c r="E35" s="85"/>
      <c r="F35" s="85"/>
      <c r="G35" s="160"/>
      <c r="H35" s="85"/>
      <c r="I35" s="91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85"/>
      <c r="B36" s="85"/>
      <c r="C36" s="85"/>
      <c r="D36" s="85"/>
      <c r="E36" s="85"/>
      <c r="F36" s="85"/>
      <c r="G36" s="160"/>
      <c r="H36" s="85"/>
      <c r="I36" s="91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85"/>
      <c r="B37" s="85"/>
      <c r="C37" s="85"/>
      <c r="D37" s="85"/>
      <c r="E37" s="85"/>
      <c r="F37" s="85"/>
      <c r="G37" s="160"/>
      <c r="H37" s="85"/>
      <c r="I37" s="91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85"/>
      <c r="B38" s="85"/>
      <c r="C38" s="85"/>
      <c r="D38" s="85"/>
      <c r="E38" s="85"/>
      <c r="F38" s="85"/>
      <c r="G38" s="160"/>
      <c r="H38" s="85"/>
      <c r="I38" s="91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85"/>
      <c r="B39" s="85"/>
      <c r="C39" s="85"/>
      <c r="D39" s="85"/>
      <c r="E39" s="85"/>
      <c r="F39" s="85"/>
      <c r="G39" s="160"/>
      <c r="H39" s="85"/>
      <c r="I39" s="91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85"/>
      <c r="B40" s="85"/>
      <c r="C40" s="85"/>
      <c r="D40" s="85"/>
      <c r="E40" s="85"/>
      <c r="F40" s="85"/>
      <c r="G40" s="160"/>
      <c r="H40" s="85"/>
      <c r="I40" s="91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85"/>
      <c r="B41" s="85"/>
      <c r="C41" s="85"/>
      <c r="D41" s="85"/>
      <c r="E41" s="85"/>
      <c r="F41" s="85"/>
      <c r="G41" s="160"/>
      <c r="H41" s="85"/>
      <c r="I41" s="91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85"/>
      <c r="B42" s="85"/>
      <c r="C42" s="85"/>
      <c r="D42" s="85"/>
      <c r="E42" s="85"/>
      <c r="F42" s="85"/>
      <c r="G42" s="160"/>
      <c r="H42" s="85"/>
      <c r="I42" s="91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85"/>
      <c r="B43" s="85"/>
      <c r="C43" s="85"/>
      <c r="D43" s="85"/>
      <c r="E43" s="85"/>
      <c r="F43" s="85"/>
      <c r="G43" s="160"/>
      <c r="H43" s="85"/>
      <c r="I43" s="91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85"/>
      <c r="B44" s="85"/>
      <c r="C44" s="85"/>
      <c r="D44" s="85"/>
      <c r="E44" s="85"/>
      <c r="F44" s="85"/>
      <c r="G44" s="160"/>
      <c r="H44" s="85"/>
      <c r="I44" s="91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85"/>
      <c r="B45" s="85"/>
      <c r="C45" s="85"/>
      <c r="D45" s="85"/>
      <c r="E45" s="85"/>
      <c r="F45" s="85"/>
      <c r="G45" s="160"/>
      <c r="H45" s="85"/>
      <c r="I45" s="91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85"/>
      <c r="B46" s="85"/>
      <c r="C46" s="85"/>
      <c r="D46" s="85"/>
      <c r="E46" s="85"/>
      <c r="F46" s="85"/>
      <c r="G46" s="160"/>
      <c r="H46" s="85"/>
      <c r="I46" s="91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85"/>
      <c r="B47" s="85"/>
      <c r="C47" s="85"/>
      <c r="D47" s="85"/>
      <c r="E47" s="85"/>
      <c r="F47" s="85"/>
      <c r="G47" s="160"/>
      <c r="H47" s="85"/>
      <c r="I47" s="91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85"/>
      <c r="B48" s="85"/>
      <c r="C48" s="85"/>
      <c r="D48" s="85"/>
      <c r="E48" s="85"/>
      <c r="F48" s="85"/>
      <c r="G48" s="160"/>
      <c r="H48" s="85"/>
      <c r="I48" s="91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85"/>
      <c r="B49" s="85"/>
      <c r="C49" s="85"/>
      <c r="D49" s="85"/>
      <c r="E49" s="85"/>
      <c r="F49" s="85"/>
      <c r="G49" s="160"/>
      <c r="H49" s="85"/>
      <c r="I49" s="91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85"/>
      <c r="B50" s="85"/>
      <c r="C50" s="85"/>
      <c r="D50" s="85"/>
      <c r="E50" s="85"/>
      <c r="F50" s="85"/>
      <c r="G50" s="160"/>
      <c r="H50" s="85"/>
      <c r="I50" s="91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85"/>
      <c r="B51" s="85"/>
      <c r="C51" s="85"/>
      <c r="D51" s="85"/>
      <c r="E51" s="85"/>
      <c r="F51" s="85"/>
      <c r="G51" s="160"/>
      <c r="H51" s="85"/>
      <c r="I51" s="91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160"/>
      <c r="H52" s="85"/>
      <c r="I52" s="91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>
      <c r="A53" s="85"/>
      <c r="B53" s="85"/>
      <c r="C53" s="85"/>
      <c r="D53" s="85"/>
      <c r="E53" s="85"/>
      <c r="F53" s="85"/>
      <c r="G53" s="160"/>
      <c r="H53" s="85"/>
      <c r="I53" s="91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>
      <c r="A54" s="85"/>
      <c r="B54" s="85"/>
      <c r="C54" s="85"/>
      <c r="D54" s="85"/>
      <c r="E54" s="85"/>
      <c r="F54" s="85"/>
      <c r="G54" s="160"/>
      <c r="H54" s="85"/>
      <c r="I54" s="91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>
      <c r="A55" s="85"/>
      <c r="B55" s="85"/>
      <c r="C55" s="85"/>
      <c r="D55" s="85"/>
      <c r="E55" s="85"/>
      <c r="F55" s="85"/>
      <c r="G55" s="160"/>
      <c r="H55" s="85"/>
      <c r="I55" s="91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>
      <c r="A56" s="85"/>
      <c r="B56" s="85"/>
      <c r="C56" s="85"/>
      <c r="D56" s="85"/>
      <c r="E56" s="85"/>
      <c r="F56" s="85"/>
      <c r="G56" s="160"/>
      <c r="H56" s="85"/>
      <c r="I56" s="91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>
      <c r="A57" s="85"/>
      <c r="B57" s="85"/>
      <c r="C57" s="85"/>
      <c r="D57" s="85"/>
      <c r="E57" s="85"/>
      <c r="F57" s="85"/>
      <c r="G57" s="160"/>
      <c r="H57" s="85"/>
      <c r="I57" s="91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>
      <c r="A58" s="85"/>
      <c r="B58" s="85"/>
      <c r="C58" s="85"/>
      <c r="D58" s="85"/>
      <c r="E58" s="85"/>
      <c r="F58" s="85"/>
      <c r="G58" s="160"/>
      <c r="H58" s="85"/>
      <c r="I58" s="91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>
      <c r="A59" s="85"/>
      <c r="B59" s="85"/>
      <c r="C59" s="85"/>
      <c r="D59" s="85"/>
      <c r="E59" s="85"/>
      <c r="F59" s="85"/>
      <c r="G59" s="160"/>
      <c r="H59" s="85"/>
      <c r="I59" s="91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>
      <c r="A60" s="85"/>
      <c r="B60" s="85"/>
      <c r="C60" s="85"/>
      <c r="D60" s="85"/>
      <c r="E60" s="85"/>
      <c r="F60" s="85"/>
      <c r="G60" s="160"/>
      <c r="H60" s="85"/>
      <c r="I60" s="91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>
      <c r="A61" s="85"/>
      <c r="B61" s="85"/>
      <c r="C61" s="85"/>
      <c r="D61" s="85"/>
      <c r="E61" s="85"/>
      <c r="F61" s="85"/>
      <c r="G61" s="160"/>
      <c r="H61" s="85"/>
      <c r="I61" s="91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>
      <c r="A62" s="85"/>
      <c r="B62" s="85"/>
      <c r="C62" s="85"/>
      <c r="D62" s="85"/>
      <c r="E62" s="85"/>
      <c r="F62" s="85"/>
      <c r="G62" s="160"/>
      <c r="H62" s="85"/>
      <c r="I62" s="91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>
      <c r="A63" s="85"/>
      <c r="B63" s="85"/>
      <c r="C63" s="85"/>
      <c r="D63" s="85"/>
      <c r="E63" s="85"/>
      <c r="F63" s="85"/>
      <c r="G63" s="160"/>
      <c r="H63" s="85"/>
      <c r="I63" s="91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>
      <c r="A64" s="85"/>
      <c r="B64" s="85"/>
      <c r="C64" s="85"/>
      <c r="D64" s="85"/>
      <c r="E64" s="85"/>
      <c r="F64" s="85"/>
      <c r="G64" s="160"/>
      <c r="H64" s="85"/>
      <c r="I64" s="91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>
      <c r="A65" s="85"/>
      <c r="B65" s="85"/>
      <c r="C65" s="85"/>
      <c r="D65" s="85"/>
      <c r="E65" s="85"/>
      <c r="F65" s="85"/>
      <c r="G65" s="160"/>
      <c r="H65" s="85"/>
      <c r="I65" s="91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>
      <c r="A66" s="85"/>
      <c r="B66" s="85"/>
      <c r="C66" s="85"/>
      <c r="D66" s="85"/>
      <c r="E66" s="85"/>
      <c r="F66" s="85"/>
      <c r="G66" s="160"/>
      <c r="H66" s="85"/>
      <c r="I66" s="91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>
      <c r="A67" s="85"/>
      <c r="B67" s="85"/>
      <c r="C67" s="85"/>
      <c r="D67" s="85"/>
      <c r="E67" s="85"/>
      <c r="F67" s="85"/>
      <c r="G67" s="160"/>
      <c r="H67" s="85"/>
      <c r="I67" s="91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>
      <c r="A68" s="85"/>
      <c r="B68" s="85"/>
      <c r="C68" s="85"/>
      <c r="D68" s="85"/>
      <c r="E68" s="85"/>
      <c r="F68" s="85"/>
      <c r="G68" s="160"/>
      <c r="H68" s="85"/>
      <c r="I68" s="91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>
      <c r="A69" s="85"/>
      <c r="B69" s="85"/>
      <c r="C69" s="85"/>
      <c r="D69" s="85"/>
      <c r="E69" s="85"/>
      <c r="F69" s="85"/>
      <c r="G69" s="160"/>
      <c r="H69" s="85"/>
      <c r="I69" s="91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>
      <c r="A70" s="85"/>
      <c r="B70" s="85"/>
      <c r="C70" s="85"/>
      <c r="D70" s="85"/>
      <c r="E70" s="85"/>
      <c r="F70" s="85"/>
      <c r="G70" s="160"/>
      <c r="H70" s="85"/>
      <c r="I70" s="91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>
      <c r="A71" s="85"/>
      <c r="B71" s="85"/>
      <c r="C71" s="85"/>
      <c r="D71" s="85"/>
      <c r="E71" s="85"/>
      <c r="F71" s="85"/>
      <c r="G71" s="160"/>
      <c r="H71" s="85"/>
      <c r="I71" s="91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>
      <c r="A72" s="85"/>
      <c r="B72" s="85"/>
      <c r="C72" s="85"/>
      <c r="D72" s="85"/>
      <c r="E72" s="85"/>
      <c r="F72" s="85"/>
      <c r="G72" s="160"/>
      <c r="H72" s="85"/>
      <c r="I72" s="91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>
      <c r="A73" s="85"/>
      <c r="B73" s="85"/>
      <c r="C73" s="85"/>
      <c r="D73" s="85"/>
      <c r="E73" s="85"/>
      <c r="F73" s="85"/>
      <c r="G73" s="160"/>
      <c r="H73" s="85"/>
      <c r="I73" s="91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>
      <c r="A74" s="85"/>
      <c r="B74" s="85"/>
      <c r="C74" s="85"/>
      <c r="D74" s="85"/>
      <c r="E74" s="85"/>
      <c r="F74" s="85"/>
      <c r="G74" s="160"/>
      <c r="H74" s="85"/>
      <c r="I74" s="91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>
      <c r="A75" s="85"/>
      <c r="B75" s="85"/>
      <c r="C75" s="85"/>
      <c r="D75" s="85"/>
      <c r="E75" s="85"/>
      <c r="F75" s="85"/>
      <c r="G75" s="160"/>
      <c r="H75" s="85"/>
      <c r="I75" s="91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>
      <c r="A76" s="85"/>
      <c r="B76" s="85"/>
      <c r="C76" s="85"/>
      <c r="D76" s="85"/>
      <c r="E76" s="85"/>
      <c r="F76" s="85"/>
      <c r="G76" s="160"/>
      <c r="H76" s="85"/>
      <c r="I76" s="91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>
      <c r="A77" s="85"/>
      <c r="B77" s="85"/>
      <c r="C77" s="85"/>
      <c r="D77" s="85"/>
      <c r="E77" s="85"/>
      <c r="F77" s="85"/>
      <c r="G77" s="160"/>
      <c r="H77" s="85"/>
      <c r="I77" s="91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>
      <c r="A78" s="85"/>
      <c r="B78" s="85"/>
      <c r="C78" s="85"/>
      <c r="D78" s="85"/>
      <c r="E78" s="85"/>
      <c r="F78" s="85"/>
      <c r="G78" s="160"/>
      <c r="H78" s="85"/>
      <c r="I78" s="91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>
      <c r="A79" s="85"/>
      <c r="B79" s="85"/>
      <c r="C79" s="85"/>
      <c r="D79" s="85"/>
      <c r="E79" s="85"/>
      <c r="F79" s="85"/>
      <c r="G79" s="160"/>
      <c r="H79" s="85"/>
      <c r="I79" s="91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>
      <c r="A80" s="85"/>
      <c r="B80" s="85"/>
      <c r="C80" s="85"/>
      <c r="D80" s="85"/>
      <c r="E80" s="85"/>
      <c r="F80" s="85"/>
      <c r="G80" s="160"/>
      <c r="H80" s="85"/>
      <c r="I80" s="91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>
      <c r="A81" s="85"/>
      <c r="B81" s="85"/>
      <c r="C81" s="85"/>
      <c r="D81" s="85"/>
      <c r="E81" s="85"/>
      <c r="F81" s="85"/>
      <c r="G81" s="160"/>
      <c r="H81" s="85"/>
      <c r="I81" s="91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>
      <c r="A82" s="85"/>
      <c r="B82" s="85"/>
      <c r="C82" s="85"/>
      <c r="D82" s="85"/>
      <c r="E82" s="85"/>
      <c r="F82" s="85"/>
      <c r="G82" s="160"/>
      <c r="H82" s="85"/>
      <c r="I82" s="91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>
      <c r="A83" s="85"/>
      <c r="B83" s="85"/>
      <c r="C83" s="85"/>
      <c r="D83" s="85"/>
      <c r="E83" s="85"/>
      <c r="F83" s="85"/>
      <c r="G83" s="160"/>
      <c r="H83" s="85"/>
      <c r="I83" s="91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>
      <c r="A84" s="85"/>
      <c r="B84" s="85"/>
      <c r="C84" s="85"/>
      <c r="D84" s="85"/>
      <c r="E84" s="85"/>
      <c r="F84" s="85"/>
      <c r="G84" s="160"/>
      <c r="H84" s="85"/>
      <c r="I84" s="91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>
      <c r="A85" s="85"/>
      <c r="B85" s="85"/>
      <c r="C85" s="85"/>
      <c r="D85" s="85"/>
      <c r="E85" s="85"/>
      <c r="F85" s="85"/>
      <c r="G85" s="160"/>
      <c r="H85" s="85"/>
      <c r="I85" s="91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>
      <c r="A86" s="85"/>
      <c r="B86" s="85"/>
      <c r="C86" s="85"/>
      <c r="D86" s="85"/>
      <c r="E86" s="85"/>
      <c r="F86" s="85"/>
      <c r="G86" s="160"/>
      <c r="H86" s="85"/>
      <c r="I86" s="91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>
      <c r="A87" s="85"/>
      <c r="B87" s="85"/>
      <c r="C87" s="85"/>
      <c r="D87" s="85"/>
      <c r="E87" s="85"/>
      <c r="F87" s="85"/>
      <c r="G87" s="160"/>
      <c r="H87" s="85"/>
      <c r="I87" s="91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>
      <c r="A88" s="85"/>
      <c r="B88" s="85"/>
      <c r="C88" s="85"/>
      <c r="D88" s="85"/>
      <c r="E88" s="85"/>
      <c r="F88" s="85"/>
      <c r="G88" s="160"/>
      <c r="H88" s="85"/>
      <c r="I88" s="91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>
      <c r="A89" s="85"/>
      <c r="B89" s="85"/>
      <c r="C89" s="85"/>
      <c r="D89" s="85"/>
      <c r="E89" s="85"/>
      <c r="F89" s="85"/>
      <c r="G89" s="160"/>
      <c r="H89" s="85"/>
      <c r="I89" s="91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>
      <c r="A90" s="85"/>
      <c r="B90" s="85"/>
      <c r="C90" s="85"/>
      <c r="D90" s="85"/>
      <c r="E90" s="85"/>
      <c r="F90" s="85"/>
      <c r="G90" s="160"/>
      <c r="H90" s="85"/>
      <c r="I90" s="91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>
      <c r="A91" s="85"/>
      <c r="B91" s="85"/>
      <c r="C91" s="85"/>
      <c r="D91" s="85"/>
      <c r="E91" s="85"/>
      <c r="F91" s="85"/>
      <c r="G91" s="160"/>
      <c r="H91" s="85"/>
      <c r="I91" s="91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>
      <c r="A92" s="85"/>
      <c r="B92" s="85"/>
      <c r="C92" s="85"/>
      <c r="D92" s="85"/>
      <c r="E92" s="85"/>
      <c r="F92" s="85"/>
      <c r="G92" s="160"/>
      <c r="H92" s="85"/>
      <c r="I92" s="91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>
      <c r="A93" s="85"/>
      <c r="B93" s="85"/>
      <c r="C93" s="85"/>
      <c r="D93" s="85"/>
      <c r="E93" s="85"/>
      <c r="F93" s="85"/>
      <c r="G93" s="160"/>
      <c r="H93" s="85"/>
      <c r="I93" s="91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>
      <c r="A94" s="85"/>
      <c r="B94" s="85"/>
      <c r="C94" s="85"/>
      <c r="D94" s="85"/>
      <c r="E94" s="85"/>
      <c r="F94" s="85"/>
      <c r="G94" s="160"/>
      <c r="H94" s="85"/>
      <c r="I94" s="91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>
      <c r="A95" s="85"/>
      <c r="B95" s="85"/>
      <c r="C95" s="85"/>
      <c r="D95" s="85"/>
      <c r="E95" s="85"/>
      <c r="F95" s="85"/>
      <c r="G95" s="160"/>
      <c r="H95" s="85"/>
      <c r="I95" s="91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>
      <c r="A96" s="85"/>
      <c r="B96" s="85"/>
      <c r="C96" s="85"/>
      <c r="D96" s="85"/>
      <c r="E96" s="85"/>
      <c r="F96" s="85"/>
      <c r="G96" s="160"/>
      <c r="H96" s="85"/>
      <c r="I96" s="91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>
      <c r="A97" s="85"/>
      <c r="B97" s="85"/>
      <c r="C97" s="85"/>
      <c r="D97" s="85"/>
      <c r="E97" s="85"/>
      <c r="F97" s="85"/>
      <c r="G97" s="160"/>
      <c r="H97" s="85"/>
      <c r="I97" s="91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>
      <c r="A98" s="85"/>
      <c r="B98" s="85"/>
      <c r="C98" s="85"/>
      <c r="D98" s="85"/>
      <c r="E98" s="85"/>
      <c r="F98" s="85"/>
      <c r="G98" s="160"/>
      <c r="H98" s="85"/>
      <c r="I98" s="91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>
      <c r="A99" s="85"/>
      <c r="B99" s="85"/>
      <c r="C99" s="85"/>
      <c r="D99" s="85"/>
      <c r="E99" s="85"/>
      <c r="F99" s="85"/>
      <c r="G99" s="160"/>
      <c r="H99" s="85"/>
      <c r="I99" s="91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>
      <c r="A100" s="85"/>
      <c r="B100" s="85"/>
      <c r="C100" s="85"/>
      <c r="D100" s="85"/>
      <c r="E100" s="85"/>
      <c r="F100" s="85"/>
      <c r="G100" s="160"/>
      <c r="H100" s="85"/>
      <c r="I100" s="91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>
      <c r="A101" s="85"/>
      <c r="B101" s="85"/>
      <c r="C101" s="85"/>
      <c r="D101" s="85"/>
      <c r="E101" s="85"/>
      <c r="F101" s="85"/>
      <c r="G101" s="160"/>
      <c r="H101" s="85"/>
      <c r="I101" s="91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>
      <c r="A102" s="85"/>
      <c r="B102" s="85"/>
      <c r="C102" s="85"/>
      <c r="D102" s="85"/>
      <c r="E102" s="85"/>
      <c r="F102" s="85"/>
      <c r="G102" s="160"/>
      <c r="H102" s="85"/>
      <c r="I102" s="91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>
      <c r="A103" s="85"/>
      <c r="B103" s="85"/>
      <c r="C103" s="85"/>
      <c r="D103" s="85"/>
      <c r="E103" s="85"/>
      <c r="F103" s="85"/>
      <c r="G103" s="160"/>
      <c r="H103" s="85"/>
      <c r="I103" s="91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>
      <c r="A104" s="85"/>
      <c r="B104" s="85"/>
      <c r="C104" s="85"/>
      <c r="D104" s="85"/>
      <c r="E104" s="85"/>
      <c r="F104" s="85"/>
      <c r="G104" s="160"/>
      <c r="H104" s="85"/>
      <c r="I104" s="91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>
      <c r="A105" s="85"/>
      <c r="B105" s="85"/>
      <c r="C105" s="85"/>
      <c r="D105" s="85"/>
      <c r="E105" s="85"/>
      <c r="F105" s="85"/>
      <c r="G105" s="160"/>
      <c r="H105" s="85"/>
      <c r="I105" s="91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>
      <c r="A106" s="85"/>
      <c r="B106" s="85"/>
      <c r="C106" s="85"/>
      <c r="D106" s="85"/>
      <c r="E106" s="85"/>
      <c r="F106" s="85"/>
      <c r="G106" s="160"/>
      <c r="H106" s="85"/>
      <c r="I106" s="91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>
      <c r="A107" s="85"/>
      <c r="B107" s="85"/>
      <c r="C107" s="85"/>
      <c r="D107" s="85"/>
      <c r="E107" s="85"/>
      <c r="F107" s="85"/>
      <c r="G107" s="160"/>
      <c r="H107" s="85"/>
      <c r="I107" s="91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>
      <c r="A108" s="85"/>
      <c r="B108" s="85"/>
      <c r="C108" s="85"/>
      <c r="D108" s="85"/>
      <c r="E108" s="85"/>
      <c r="F108" s="85"/>
      <c r="G108" s="160"/>
      <c r="H108" s="85"/>
      <c r="I108" s="91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>
      <c r="A109" s="85"/>
      <c r="B109" s="85"/>
      <c r="C109" s="85"/>
      <c r="D109" s="85"/>
      <c r="E109" s="85"/>
      <c r="F109" s="85"/>
      <c r="G109" s="160"/>
      <c r="H109" s="85"/>
      <c r="I109" s="91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>
      <c r="A110" s="85"/>
      <c r="B110" s="85"/>
      <c r="C110" s="85"/>
      <c r="D110" s="85"/>
      <c r="E110" s="85"/>
      <c r="F110" s="85"/>
      <c r="G110" s="160"/>
      <c r="H110" s="85"/>
      <c r="I110" s="91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>
      <c r="A111" s="85"/>
      <c r="B111" s="85"/>
      <c r="C111" s="85"/>
      <c r="D111" s="85"/>
      <c r="E111" s="85"/>
      <c r="F111" s="85"/>
      <c r="G111" s="160"/>
      <c r="H111" s="85"/>
      <c r="I111" s="91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>
      <c r="A112" s="85"/>
      <c r="B112" s="85"/>
      <c r="C112" s="85"/>
      <c r="D112" s="85"/>
      <c r="E112" s="85"/>
      <c r="F112" s="85"/>
      <c r="G112" s="160"/>
      <c r="H112" s="85"/>
      <c r="I112" s="91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>
      <c r="A113" s="85"/>
      <c r="B113" s="85"/>
      <c r="C113" s="85"/>
      <c r="D113" s="85"/>
      <c r="E113" s="85"/>
      <c r="F113" s="85"/>
      <c r="G113" s="160"/>
      <c r="H113" s="85"/>
      <c r="I113" s="91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>
      <c r="A114" s="85"/>
      <c r="B114" s="85"/>
      <c r="C114" s="85"/>
      <c r="D114" s="85"/>
      <c r="E114" s="85"/>
      <c r="F114" s="85"/>
      <c r="G114" s="160"/>
      <c r="H114" s="85"/>
      <c r="I114" s="91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>
      <c r="A115" s="85"/>
      <c r="B115" s="85"/>
      <c r="C115" s="85"/>
      <c r="D115" s="85"/>
      <c r="E115" s="85"/>
      <c r="F115" s="85"/>
      <c r="G115" s="160"/>
      <c r="H115" s="85"/>
      <c r="I115" s="91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>
      <c r="A116" s="85"/>
      <c r="B116" s="85"/>
      <c r="C116" s="85"/>
      <c r="D116" s="85"/>
      <c r="E116" s="85"/>
      <c r="F116" s="85"/>
      <c r="G116" s="160"/>
      <c r="H116" s="85"/>
      <c r="I116" s="91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>
      <c r="A117" s="85"/>
      <c r="B117" s="85"/>
      <c r="C117" s="85"/>
      <c r="D117" s="85"/>
      <c r="E117" s="85"/>
      <c r="F117" s="85"/>
      <c r="G117" s="160"/>
      <c r="H117" s="85"/>
      <c r="I117" s="91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>
      <c r="A118" s="85"/>
      <c r="B118" s="85"/>
      <c r="C118" s="85"/>
      <c r="D118" s="85"/>
      <c r="E118" s="85"/>
      <c r="F118" s="85"/>
      <c r="G118" s="160"/>
      <c r="H118" s="85"/>
      <c r="I118" s="91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>
      <c r="A119" s="85"/>
      <c r="B119" s="85"/>
      <c r="C119" s="85"/>
      <c r="D119" s="85"/>
      <c r="E119" s="85"/>
      <c r="F119" s="85"/>
      <c r="G119" s="160"/>
      <c r="H119" s="85"/>
      <c r="I119" s="91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>
      <c r="A120" s="85"/>
      <c r="B120" s="85"/>
      <c r="C120" s="85"/>
      <c r="D120" s="85"/>
      <c r="E120" s="85"/>
      <c r="F120" s="85"/>
      <c r="G120" s="160"/>
      <c r="H120" s="85"/>
      <c r="I120" s="91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>
      <c r="A121" s="85"/>
      <c r="B121" s="85"/>
      <c r="C121" s="85"/>
      <c r="D121" s="85"/>
      <c r="E121" s="85"/>
      <c r="F121" s="85"/>
      <c r="G121" s="160"/>
      <c r="H121" s="85"/>
      <c r="I121" s="91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>
      <c r="A122" s="85"/>
      <c r="B122" s="85"/>
      <c r="C122" s="85"/>
      <c r="D122" s="85"/>
      <c r="E122" s="85"/>
      <c r="F122" s="85"/>
      <c r="G122" s="160"/>
      <c r="H122" s="85"/>
      <c r="I122" s="91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>
      <c r="A123" s="85"/>
      <c r="B123" s="85"/>
      <c r="C123" s="85"/>
      <c r="D123" s="85"/>
      <c r="E123" s="85"/>
      <c r="F123" s="85"/>
      <c r="G123" s="160"/>
      <c r="H123" s="85"/>
      <c r="I123" s="91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>
      <c r="A124" s="85"/>
      <c r="B124" s="85"/>
      <c r="C124" s="85"/>
      <c r="D124" s="85"/>
      <c r="E124" s="85"/>
      <c r="F124" s="85"/>
      <c r="G124" s="160"/>
      <c r="H124" s="85"/>
      <c r="I124" s="91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>
      <c r="A125" s="85"/>
      <c r="B125" s="85"/>
      <c r="C125" s="85"/>
      <c r="D125" s="85"/>
      <c r="E125" s="85"/>
      <c r="F125" s="85"/>
      <c r="G125" s="160"/>
      <c r="H125" s="85"/>
      <c r="I125" s="91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>
      <c r="A126" s="85"/>
      <c r="B126" s="85"/>
      <c r="C126" s="85"/>
      <c r="D126" s="85"/>
      <c r="E126" s="85"/>
      <c r="F126" s="85"/>
      <c r="G126" s="160"/>
      <c r="H126" s="85"/>
      <c r="I126" s="91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>
      <c r="A127" s="85"/>
      <c r="B127" s="85"/>
      <c r="C127" s="85"/>
      <c r="D127" s="85"/>
      <c r="E127" s="85"/>
      <c r="F127" s="85"/>
      <c r="G127" s="160"/>
      <c r="H127" s="85"/>
      <c r="I127" s="91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>
      <c r="A128" s="85"/>
      <c r="B128" s="85"/>
      <c r="C128" s="85"/>
      <c r="D128" s="85"/>
      <c r="E128" s="85"/>
      <c r="F128" s="85"/>
      <c r="G128" s="160"/>
      <c r="H128" s="85"/>
      <c r="I128" s="91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>
      <c r="A129" s="85"/>
      <c r="B129" s="85"/>
      <c r="C129" s="85"/>
      <c r="D129" s="85"/>
      <c r="E129" s="85"/>
      <c r="F129" s="85"/>
      <c r="G129" s="160"/>
      <c r="H129" s="85"/>
      <c r="I129" s="91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>
      <c r="A130" s="85"/>
      <c r="B130" s="85"/>
      <c r="C130" s="85"/>
      <c r="D130" s="85"/>
      <c r="E130" s="85"/>
      <c r="F130" s="85"/>
      <c r="G130" s="160"/>
      <c r="H130" s="85"/>
      <c r="I130" s="91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>
      <c r="A131" s="85"/>
      <c r="B131" s="85"/>
      <c r="C131" s="85"/>
      <c r="D131" s="85"/>
      <c r="E131" s="85"/>
      <c r="F131" s="85"/>
      <c r="G131" s="160"/>
      <c r="H131" s="85"/>
      <c r="I131" s="91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>
      <c r="A132" s="85"/>
      <c r="B132" s="85"/>
      <c r="C132" s="85"/>
      <c r="D132" s="85"/>
      <c r="E132" s="85"/>
      <c r="F132" s="85"/>
      <c r="G132" s="160"/>
      <c r="H132" s="85"/>
      <c r="I132" s="91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>
      <c r="A133" s="85"/>
      <c r="B133" s="85"/>
      <c r="C133" s="85"/>
      <c r="D133" s="85"/>
      <c r="E133" s="85"/>
      <c r="F133" s="85"/>
      <c r="G133" s="160"/>
      <c r="H133" s="85"/>
      <c r="I133" s="91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>
      <c r="A134" s="85"/>
      <c r="B134" s="85"/>
      <c r="C134" s="85"/>
      <c r="D134" s="85"/>
      <c r="E134" s="85"/>
      <c r="F134" s="85"/>
      <c r="G134" s="160"/>
      <c r="H134" s="85"/>
      <c r="I134" s="91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>
      <c r="A135" s="85"/>
      <c r="B135" s="85"/>
      <c r="C135" s="85"/>
      <c r="D135" s="85"/>
      <c r="E135" s="85"/>
      <c r="F135" s="85"/>
      <c r="G135" s="160"/>
      <c r="H135" s="85"/>
      <c r="I135" s="91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>
      <c r="A136" s="85"/>
      <c r="B136" s="85"/>
      <c r="C136" s="85"/>
      <c r="D136" s="85"/>
      <c r="E136" s="85"/>
      <c r="F136" s="85"/>
      <c r="G136" s="160"/>
      <c r="H136" s="85"/>
      <c r="I136" s="91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>
      <c r="A137" s="85"/>
      <c r="B137" s="85"/>
      <c r="C137" s="85"/>
      <c r="D137" s="85"/>
      <c r="E137" s="85"/>
      <c r="F137" s="85"/>
      <c r="G137" s="160"/>
      <c r="H137" s="85"/>
      <c r="I137" s="91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>
      <c r="A138" s="85"/>
      <c r="B138" s="85"/>
      <c r="C138" s="85"/>
      <c r="D138" s="85"/>
      <c r="E138" s="85"/>
      <c r="F138" s="85"/>
      <c r="G138" s="160"/>
      <c r="H138" s="85"/>
      <c r="I138" s="91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>
      <c r="A139" s="85"/>
      <c r="B139" s="85"/>
      <c r="C139" s="85"/>
      <c r="D139" s="85"/>
      <c r="E139" s="85"/>
      <c r="F139" s="85"/>
      <c r="G139" s="160"/>
      <c r="H139" s="85"/>
      <c r="I139" s="91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>
      <c r="A140" s="85"/>
      <c r="B140" s="85"/>
      <c r="C140" s="85"/>
      <c r="D140" s="85"/>
      <c r="E140" s="85"/>
      <c r="F140" s="85"/>
      <c r="G140" s="160"/>
      <c r="H140" s="85"/>
      <c r="I140" s="91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>
      <c r="A141" s="85"/>
      <c r="B141" s="85"/>
      <c r="C141" s="85"/>
      <c r="D141" s="85"/>
      <c r="E141" s="85"/>
      <c r="F141" s="85"/>
      <c r="G141" s="160"/>
      <c r="H141" s="85"/>
      <c r="I141" s="91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>
      <c r="A142" s="85"/>
      <c r="B142" s="85"/>
      <c r="C142" s="85"/>
      <c r="D142" s="85"/>
      <c r="E142" s="85"/>
      <c r="F142" s="85"/>
      <c r="G142" s="160"/>
      <c r="H142" s="85"/>
      <c r="I142" s="91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>
      <c r="A143" s="85"/>
      <c r="B143" s="85"/>
      <c r="C143" s="85"/>
      <c r="D143" s="85"/>
      <c r="E143" s="85"/>
      <c r="F143" s="85"/>
      <c r="G143" s="160"/>
      <c r="H143" s="85"/>
      <c r="I143" s="91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>
      <c r="A144" s="85"/>
      <c r="B144" s="85"/>
      <c r="C144" s="85"/>
      <c r="D144" s="85"/>
      <c r="E144" s="85"/>
      <c r="F144" s="85"/>
      <c r="G144" s="160"/>
      <c r="H144" s="85"/>
      <c r="I144" s="91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>
      <c r="A145" s="85"/>
      <c r="B145" s="85"/>
      <c r="C145" s="85"/>
      <c r="D145" s="85"/>
      <c r="E145" s="85"/>
      <c r="F145" s="85"/>
      <c r="G145" s="160"/>
      <c r="H145" s="85"/>
      <c r="I145" s="91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>
      <c r="A146" s="85"/>
      <c r="B146" s="85"/>
      <c r="C146" s="85"/>
      <c r="D146" s="85"/>
      <c r="E146" s="85"/>
      <c r="F146" s="85"/>
      <c r="G146" s="160"/>
      <c r="H146" s="85"/>
      <c r="I146" s="91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>
      <c r="A147" s="85"/>
      <c r="B147" s="85"/>
      <c r="C147" s="85"/>
      <c r="D147" s="85"/>
      <c r="E147" s="85"/>
      <c r="F147" s="85"/>
      <c r="G147" s="160"/>
      <c r="H147" s="85"/>
      <c r="I147" s="91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>
      <c r="A148" s="85"/>
      <c r="B148" s="85"/>
      <c r="C148" s="85"/>
      <c r="D148" s="85"/>
      <c r="E148" s="85"/>
      <c r="F148" s="85"/>
      <c r="G148" s="160"/>
      <c r="H148" s="85"/>
      <c r="I148" s="91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>
      <c r="A149" s="85"/>
      <c r="B149" s="85"/>
      <c r="C149" s="85"/>
      <c r="D149" s="85"/>
      <c r="E149" s="85"/>
      <c r="F149" s="85"/>
      <c r="G149" s="160"/>
      <c r="H149" s="85"/>
      <c r="I149" s="91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>
      <c r="A150" s="85"/>
      <c r="B150" s="85"/>
      <c r="C150" s="85"/>
      <c r="D150" s="85"/>
      <c r="E150" s="85"/>
      <c r="F150" s="85"/>
      <c r="G150" s="160"/>
      <c r="H150" s="85"/>
      <c r="I150" s="91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>
      <c r="A151" s="85"/>
      <c r="B151" s="85"/>
      <c r="C151" s="85"/>
      <c r="D151" s="85"/>
      <c r="E151" s="85"/>
      <c r="F151" s="85"/>
      <c r="G151" s="160"/>
      <c r="H151" s="85"/>
      <c r="I151" s="91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>
      <c r="A152" s="85"/>
      <c r="B152" s="85"/>
      <c r="C152" s="85"/>
      <c r="D152" s="85"/>
      <c r="E152" s="85"/>
      <c r="F152" s="85"/>
      <c r="G152" s="160"/>
      <c r="H152" s="85"/>
      <c r="I152" s="91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>
      <c r="A153" s="85"/>
      <c r="B153" s="85"/>
      <c r="C153" s="85"/>
      <c r="D153" s="85"/>
      <c r="E153" s="85"/>
      <c r="F153" s="85"/>
      <c r="G153" s="160"/>
      <c r="H153" s="85"/>
      <c r="I153" s="91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>
      <c r="A154" s="85"/>
      <c r="B154" s="85"/>
      <c r="C154" s="85"/>
      <c r="D154" s="85"/>
      <c r="E154" s="85"/>
      <c r="F154" s="85"/>
      <c r="G154" s="160"/>
      <c r="H154" s="85"/>
      <c r="I154" s="91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>
      <c r="A155" s="85"/>
      <c r="B155" s="85"/>
      <c r="C155" s="85"/>
      <c r="D155" s="85"/>
      <c r="E155" s="85"/>
      <c r="F155" s="85"/>
      <c r="G155" s="160"/>
      <c r="H155" s="85"/>
      <c r="I155" s="91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>
      <c r="A156" s="85"/>
      <c r="B156" s="85"/>
      <c r="C156" s="85"/>
      <c r="D156" s="85"/>
      <c r="E156" s="85"/>
      <c r="F156" s="85"/>
      <c r="G156" s="160"/>
      <c r="H156" s="85"/>
      <c r="I156" s="91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>
      <c r="A157" s="85"/>
      <c r="B157" s="85"/>
      <c r="C157" s="85"/>
      <c r="D157" s="85"/>
      <c r="E157" s="85"/>
      <c r="F157" s="85"/>
      <c r="G157" s="160"/>
      <c r="H157" s="85"/>
      <c r="I157" s="91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>
      <c r="A158" s="85"/>
      <c r="B158" s="85"/>
      <c r="C158" s="85"/>
      <c r="D158" s="85"/>
      <c r="E158" s="85"/>
      <c r="F158" s="85"/>
      <c r="G158" s="160"/>
      <c r="H158" s="85"/>
      <c r="I158" s="91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>
      <c r="A159" s="85"/>
      <c r="B159" s="85"/>
      <c r="C159" s="85"/>
      <c r="D159" s="85"/>
      <c r="E159" s="85"/>
      <c r="F159" s="85"/>
      <c r="G159" s="160"/>
      <c r="H159" s="85"/>
      <c r="I159" s="91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>
      <c r="A160" s="85"/>
      <c r="B160" s="85"/>
      <c r="C160" s="85"/>
      <c r="D160" s="85"/>
      <c r="E160" s="85"/>
      <c r="F160" s="85"/>
      <c r="G160" s="160"/>
      <c r="H160" s="85"/>
      <c r="I160" s="91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>
      <c r="A161" s="85"/>
      <c r="B161" s="85"/>
      <c r="C161" s="85"/>
      <c r="D161" s="85"/>
      <c r="E161" s="85"/>
      <c r="F161" s="85"/>
      <c r="G161" s="160"/>
      <c r="H161" s="85"/>
      <c r="I161" s="91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>
      <c r="A162" s="85"/>
      <c r="B162" s="85"/>
      <c r="C162" s="85"/>
      <c r="D162" s="85"/>
      <c r="E162" s="85"/>
      <c r="F162" s="85"/>
      <c r="G162" s="160"/>
      <c r="H162" s="85"/>
      <c r="I162" s="91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>
      <c r="A163" s="85"/>
      <c r="B163" s="85"/>
      <c r="C163" s="85"/>
      <c r="D163" s="85"/>
      <c r="E163" s="85"/>
      <c r="F163" s="85"/>
      <c r="G163" s="160"/>
      <c r="H163" s="85"/>
      <c r="I163" s="91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>
      <c r="A164" s="85"/>
      <c r="B164" s="85"/>
      <c r="C164" s="85"/>
      <c r="D164" s="85"/>
      <c r="E164" s="85"/>
      <c r="F164" s="85"/>
      <c r="G164" s="160"/>
      <c r="H164" s="85"/>
      <c r="I164" s="91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>
      <c r="A165" s="85"/>
      <c r="B165" s="85"/>
      <c r="C165" s="85"/>
      <c r="D165" s="85"/>
      <c r="E165" s="85"/>
      <c r="F165" s="85"/>
      <c r="G165" s="160"/>
      <c r="H165" s="85"/>
      <c r="I165" s="91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>
      <c r="A166" s="85"/>
      <c r="B166" s="85"/>
      <c r="C166" s="85"/>
      <c r="D166" s="85"/>
      <c r="E166" s="85"/>
      <c r="F166" s="85"/>
      <c r="G166" s="160"/>
      <c r="H166" s="85"/>
      <c r="I166" s="91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>
      <c r="A167" s="85"/>
      <c r="B167" s="85"/>
      <c r="C167" s="85"/>
      <c r="D167" s="85"/>
      <c r="E167" s="85"/>
      <c r="F167" s="85"/>
      <c r="G167" s="160"/>
      <c r="H167" s="85"/>
      <c r="I167" s="91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>
      <c r="A168" s="85"/>
      <c r="B168" s="85"/>
      <c r="C168" s="85"/>
      <c r="D168" s="85"/>
      <c r="E168" s="85"/>
      <c r="F168" s="85"/>
      <c r="G168" s="160"/>
      <c r="H168" s="85"/>
      <c r="I168" s="91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>
      <c r="A169" s="85"/>
      <c r="B169" s="85"/>
      <c r="C169" s="85"/>
      <c r="D169" s="85"/>
      <c r="E169" s="85"/>
      <c r="F169" s="85"/>
      <c r="G169" s="160"/>
      <c r="H169" s="85"/>
      <c r="I169" s="91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>
      <c r="A170" s="85"/>
      <c r="B170" s="85"/>
      <c r="C170" s="85"/>
      <c r="D170" s="85"/>
      <c r="E170" s="85"/>
      <c r="F170" s="85"/>
      <c r="G170" s="160"/>
      <c r="H170" s="85"/>
      <c r="I170" s="91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>
      <c r="A171" s="85"/>
      <c r="B171" s="85"/>
      <c r="C171" s="85"/>
      <c r="D171" s="85"/>
      <c r="E171" s="85"/>
      <c r="F171" s="85"/>
      <c r="G171" s="160"/>
      <c r="H171" s="85"/>
      <c r="I171" s="91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>
      <c r="A172" s="85"/>
      <c r="B172" s="85"/>
      <c r="C172" s="85"/>
      <c r="D172" s="85"/>
      <c r="E172" s="85"/>
      <c r="F172" s="85"/>
      <c r="G172" s="160"/>
      <c r="H172" s="85"/>
      <c r="I172" s="91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>
      <c r="A173" s="85"/>
      <c r="B173" s="85"/>
      <c r="C173" s="85"/>
      <c r="D173" s="85"/>
      <c r="E173" s="85"/>
      <c r="F173" s="85"/>
      <c r="G173" s="160"/>
      <c r="H173" s="85"/>
      <c r="I173" s="91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>
      <c r="A174" s="85"/>
      <c r="B174" s="85"/>
      <c r="C174" s="85"/>
      <c r="D174" s="85"/>
      <c r="E174" s="85"/>
      <c r="F174" s="85"/>
      <c r="G174" s="160"/>
      <c r="H174" s="85"/>
      <c r="I174" s="91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>
      <c r="A175" s="85"/>
      <c r="B175" s="85"/>
      <c r="C175" s="85"/>
      <c r="D175" s="85"/>
      <c r="E175" s="85"/>
      <c r="F175" s="85"/>
      <c r="G175" s="160"/>
      <c r="H175" s="85"/>
      <c r="I175" s="91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>
      <c r="A176" s="85"/>
      <c r="B176" s="85"/>
      <c r="C176" s="85"/>
      <c r="D176" s="85"/>
      <c r="E176" s="85"/>
      <c r="F176" s="85"/>
      <c r="G176" s="160"/>
      <c r="H176" s="85"/>
      <c r="I176" s="91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>
      <c r="A177" s="85"/>
      <c r="B177" s="85"/>
      <c r="C177" s="85"/>
      <c r="D177" s="85"/>
      <c r="E177" s="85"/>
      <c r="F177" s="85"/>
      <c r="G177" s="160"/>
      <c r="H177" s="85"/>
      <c r="I177" s="91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>
      <c r="A178" s="85"/>
      <c r="B178" s="85"/>
      <c r="C178" s="85"/>
      <c r="D178" s="85"/>
      <c r="E178" s="85"/>
      <c r="F178" s="85"/>
      <c r="G178" s="160"/>
      <c r="H178" s="85"/>
      <c r="I178" s="91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>
      <c r="A179" s="85"/>
      <c r="B179" s="85"/>
      <c r="C179" s="85"/>
      <c r="D179" s="85"/>
      <c r="E179" s="85"/>
      <c r="F179" s="85"/>
      <c r="G179" s="160"/>
      <c r="H179" s="85"/>
      <c r="I179" s="91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>
      <c r="A180" s="85"/>
      <c r="B180" s="85"/>
      <c r="C180" s="85"/>
      <c r="D180" s="85"/>
      <c r="E180" s="85"/>
      <c r="F180" s="85"/>
      <c r="G180" s="160"/>
      <c r="H180" s="85"/>
      <c r="I180" s="91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>
      <c r="A181" s="85"/>
      <c r="B181" s="85"/>
      <c r="C181" s="85"/>
      <c r="D181" s="85"/>
      <c r="E181" s="85"/>
      <c r="F181" s="85"/>
      <c r="G181" s="160"/>
      <c r="H181" s="85"/>
      <c r="I181" s="91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>
      <c r="A182" s="85"/>
      <c r="B182" s="85"/>
      <c r="C182" s="85"/>
      <c r="D182" s="85"/>
      <c r="E182" s="85"/>
      <c r="F182" s="85"/>
      <c r="G182" s="160"/>
      <c r="H182" s="85"/>
      <c r="I182" s="91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>
      <c r="A183" s="85"/>
      <c r="B183" s="85"/>
      <c r="C183" s="85"/>
      <c r="D183" s="85"/>
      <c r="E183" s="85"/>
      <c r="F183" s="85"/>
      <c r="G183" s="160"/>
      <c r="H183" s="85"/>
      <c r="I183" s="91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>
      <c r="A184" s="85"/>
      <c r="B184" s="85"/>
      <c r="C184" s="85"/>
      <c r="D184" s="85"/>
      <c r="E184" s="85"/>
      <c r="F184" s="85"/>
      <c r="G184" s="160"/>
      <c r="H184" s="85"/>
      <c r="I184" s="91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>
      <c r="A185" s="85"/>
      <c r="B185" s="85"/>
      <c r="C185" s="85"/>
      <c r="D185" s="85"/>
      <c r="E185" s="85"/>
      <c r="F185" s="85"/>
      <c r="G185" s="160"/>
      <c r="H185" s="85"/>
      <c r="I185" s="91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>
      <c r="A186" s="85"/>
      <c r="B186" s="85"/>
      <c r="C186" s="85"/>
      <c r="D186" s="85"/>
      <c r="E186" s="85"/>
      <c r="F186" s="85"/>
      <c r="G186" s="160"/>
      <c r="H186" s="85"/>
      <c r="I186" s="91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>
      <c r="A187" s="85"/>
      <c r="B187" s="85"/>
      <c r="C187" s="85"/>
      <c r="D187" s="85"/>
      <c r="E187" s="85"/>
      <c r="F187" s="85"/>
      <c r="G187" s="160"/>
      <c r="H187" s="85"/>
      <c r="I187" s="91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>
      <c r="A188" s="85"/>
      <c r="B188" s="85"/>
      <c r="C188" s="85"/>
      <c r="D188" s="85"/>
      <c r="E188" s="85"/>
      <c r="F188" s="85"/>
      <c r="G188" s="160"/>
      <c r="H188" s="85"/>
      <c r="I188" s="91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>
      <c r="A189" s="85"/>
      <c r="B189" s="85"/>
      <c r="C189" s="85"/>
      <c r="D189" s="85"/>
      <c r="E189" s="85"/>
      <c r="F189" s="85"/>
      <c r="G189" s="160"/>
      <c r="H189" s="85"/>
      <c r="I189" s="91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>
      <c r="A190" s="85"/>
      <c r="B190" s="85"/>
      <c r="C190" s="85"/>
      <c r="D190" s="85"/>
      <c r="E190" s="85"/>
      <c r="F190" s="85"/>
      <c r="G190" s="160"/>
      <c r="H190" s="85"/>
      <c r="I190" s="91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>
      <c r="A191" s="85"/>
      <c r="B191" s="85"/>
      <c r="C191" s="85"/>
      <c r="D191" s="85"/>
      <c r="E191" s="85"/>
      <c r="F191" s="85"/>
      <c r="G191" s="160"/>
      <c r="H191" s="85"/>
      <c r="I191" s="91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>
      <c r="A192" s="85"/>
      <c r="B192" s="85"/>
      <c r="C192" s="85"/>
      <c r="D192" s="85"/>
      <c r="E192" s="85"/>
      <c r="F192" s="85"/>
      <c r="G192" s="160"/>
      <c r="H192" s="85"/>
      <c r="I192" s="91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>
      <c r="A193" s="85"/>
      <c r="B193" s="85"/>
      <c r="C193" s="85"/>
      <c r="D193" s="85"/>
      <c r="E193" s="85"/>
      <c r="F193" s="85"/>
      <c r="G193" s="160"/>
      <c r="H193" s="85"/>
      <c r="I193" s="91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>
      <c r="A194" s="85"/>
      <c r="B194" s="85"/>
      <c r="C194" s="85"/>
      <c r="D194" s="85"/>
      <c r="E194" s="85"/>
      <c r="F194" s="85"/>
      <c r="G194" s="160"/>
      <c r="H194" s="85"/>
      <c r="I194" s="91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>
      <c r="A195" s="85"/>
      <c r="B195" s="85"/>
      <c r="C195" s="85"/>
      <c r="D195" s="85"/>
      <c r="E195" s="85"/>
      <c r="F195" s="85"/>
      <c r="G195" s="160"/>
      <c r="H195" s="85"/>
      <c r="I195" s="91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>
      <c r="A196" s="85"/>
      <c r="B196" s="85"/>
      <c r="C196" s="85"/>
      <c r="D196" s="85"/>
      <c r="E196" s="85"/>
      <c r="F196" s="85"/>
      <c r="G196" s="160"/>
      <c r="H196" s="85"/>
      <c r="I196" s="91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>
      <c r="A197" s="85"/>
      <c r="B197" s="85"/>
      <c r="C197" s="85"/>
      <c r="D197" s="85"/>
      <c r="E197" s="85"/>
      <c r="F197" s="85"/>
      <c r="G197" s="160"/>
      <c r="H197" s="85"/>
      <c r="I197" s="91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>
      <c r="A198" s="85"/>
      <c r="B198" s="85"/>
      <c r="C198" s="85"/>
      <c r="D198" s="85"/>
      <c r="E198" s="85"/>
      <c r="F198" s="85"/>
      <c r="G198" s="160"/>
      <c r="H198" s="85"/>
      <c r="I198" s="91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>
      <c r="A199" s="85"/>
      <c r="B199" s="85"/>
      <c r="C199" s="85"/>
      <c r="D199" s="85"/>
      <c r="E199" s="85"/>
      <c r="F199" s="85"/>
      <c r="G199" s="160"/>
      <c r="H199" s="85"/>
      <c r="I199" s="91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>
      <c r="A200" s="85"/>
      <c r="B200" s="85"/>
      <c r="C200" s="85"/>
      <c r="D200" s="85"/>
      <c r="E200" s="85"/>
      <c r="F200" s="85"/>
      <c r="G200" s="160"/>
      <c r="H200" s="85"/>
      <c r="I200" s="91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>
      <c r="A201" s="85"/>
      <c r="B201" s="85"/>
      <c r="C201" s="85"/>
      <c r="D201" s="85"/>
      <c r="E201" s="85"/>
      <c r="F201" s="85"/>
      <c r="G201" s="160"/>
      <c r="H201" s="85"/>
      <c r="I201" s="91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>
      <c r="A202" s="85"/>
      <c r="B202" s="85"/>
      <c r="C202" s="85"/>
      <c r="D202" s="85"/>
      <c r="E202" s="85"/>
      <c r="F202" s="85"/>
      <c r="G202" s="160"/>
      <c r="H202" s="85"/>
      <c r="I202" s="91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>
      <c r="A203" s="85"/>
      <c r="B203" s="85"/>
      <c r="C203" s="85"/>
      <c r="D203" s="85"/>
      <c r="E203" s="85"/>
      <c r="F203" s="85"/>
      <c r="G203" s="160"/>
      <c r="H203" s="85"/>
      <c r="I203" s="91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>
      <c r="A204" s="85"/>
      <c r="B204" s="85"/>
      <c r="C204" s="85"/>
      <c r="D204" s="85"/>
      <c r="E204" s="85"/>
      <c r="F204" s="85"/>
      <c r="G204" s="160"/>
      <c r="H204" s="85"/>
      <c r="I204" s="91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>
      <c r="A205" s="85"/>
      <c r="B205" s="85"/>
      <c r="C205" s="85"/>
      <c r="D205" s="85"/>
      <c r="E205" s="85"/>
      <c r="F205" s="85"/>
      <c r="G205" s="160"/>
      <c r="H205" s="85"/>
      <c r="I205" s="91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>
      <c r="A206" s="85"/>
      <c r="B206" s="85"/>
      <c r="C206" s="85"/>
      <c r="D206" s="85"/>
      <c r="E206" s="85"/>
      <c r="F206" s="85"/>
      <c r="G206" s="160"/>
      <c r="H206" s="85"/>
      <c r="I206" s="91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>
      <c r="A207" s="85"/>
      <c r="B207" s="85"/>
      <c r="C207" s="85"/>
      <c r="D207" s="85"/>
      <c r="E207" s="85"/>
      <c r="F207" s="85"/>
      <c r="G207" s="160"/>
      <c r="H207" s="85"/>
      <c r="I207" s="91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>
      <c r="A208" s="85"/>
      <c r="B208" s="85"/>
      <c r="C208" s="85"/>
      <c r="D208" s="85"/>
      <c r="E208" s="85"/>
      <c r="F208" s="85"/>
      <c r="G208" s="160"/>
      <c r="H208" s="85"/>
      <c r="I208" s="91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>
      <c r="A209" s="85"/>
      <c r="B209" s="85"/>
      <c r="C209" s="85"/>
      <c r="D209" s="85"/>
      <c r="E209" s="85"/>
      <c r="F209" s="85"/>
      <c r="G209" s="160"/>
      <c r="H209" s="85"/>
      <c r="I209" s="91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>
      <c r="A210" s="85"/>
      <c r="B210" s="85"/>
      <c r="C210" s="85"/>
      <c r="D210" s="85"/>
      <c r="E210" s="85"/>
      <c r="F210" s="85"/>
      <c r="G210" s="160"/>
      <c r="H210" s="85"/>
      <c r="I210" s="91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>
      <c r="A211" s="85"/>
      <c r="B211" s="85"/>
      <c r="C211" s="85"/>
      <c r="D211" s="85"/>
      <c r="E211" s="85"/>
      <c r="F211" s="85"/>
      <c r="G211" s="160"/>
      <c r="H211" s="85"/>
      <c r="I211" s="91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>
      <c r="A212" s="85"/>
      <c r="B212" s="85"/>
      <c r="C212" s="85"/>
      <c r="D212" s="85"/>
      <c r="E212" s="85"/>
      <c r="F212" s="85"/>
      <c r="G212" s="160"/>
      <c r="H212" s="85"/>
      <c r="I212" s="91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>
      <c r="A213" s="85"/>
      <c r="B213" s="85"/>
      <c r="C213" s="85"/>
      <c r="D213" s="85"/>
      <c r="E213" s="85"/>
      <c r="F213" s="85"/>
      <c r="G213" s="160"/>
      <c r="H213" s="85"/>
      <c r="I213" s="91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>
      <c r="A214" s="85"/>
      <c r="B214" s="85"/>
      <c r="C214" s="85"/>
      <c r="D214" s="85"/>
      <c r="E214" s="85"/>
      <c r="F214" s="85"/>
      <c r="G214" s="160"/>
      <c r="H214" s="85"/>
      <c r="I214" s="91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>
      <c r="A215" s="85"/>
      <c r="B215" s="85"/>
      <c r="C215" s="85"/>
      <c r="D215" s="85"/>
      <c r="E215" s="85"/>
      <c r="F215" s="85"/>
      <c r="G215" s="160"/>
      <c r="H215" s="85"/>
      <c r="I215" s="91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>
      <c r="A216" s="85"/>
      <c r="B216" s="85"/>
      <c r="C216" s="85"/>
      <c r="D216" s="85"/>
      <c r="E216" s="85"/>
      <c r="F216" s="85"/>
      <c r="G216" s="160"/>
      <c r="H216" s="85"/>
      <c r="I216" s="91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>
      <c r="A217" s="85"/>
      <c r="B217" s="85"/>
      <c r="C217" s="85"/>
      <c r="D217" s="85"/>
      <c r="E217" s="85"/>
      <c r="F217" s="85"/>
      <c r="G217" s="160"/>
      <c r="H217" s="85"/>
      <c r="I217" s="91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>
      <c r="A218" s="85"/>
      <c r="B218" s="85"/>
      <c r="C218" s="85"/>
      <c r="D218" s="85"/>
      <c r="E218" s="85"/>
      <c r="F218" s="85"/>
      <c r="G218" s="160"/>
      <c r="H218" s="85"/>
      <c r="I218" s="91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>
      <c r="A219" s="85"/>
      <c r="B219" s="85"/>
      <c r="C219" s="85"/>
      <c r="D219" s="85"/>
      <c r="E219" s="85"/>
      <c r="F219" s="85"/>
      <c r="G219" s="160"/>
      <c r="H219" s="85"/>
      <c r="I219" s="91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>
      <c r="A220" s="85"/>
      <c r="B220" s="85"/>
      <c r="C220" s="85"/>
      <c r="D220" s="85"/>
      <c r="E220" s="85"/>
      <c r="F220" s="85"/>
      <c r="G220" s="160"/>
      <c r="H220" s="85"/>
      <c r="I220" s="91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>
      <c r="A221" s="85"/>
      <c r="B221" s="85"/>
      <c r="C221" s="85"/>
      <c r="D221" s="85"/>
      <c r="E221" s="85"/>
      <c r="F221" s="85"/>
      <c r="G221" s="160"/>
      <c r="H221" s="85"/>
      <c r="I221" s="91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>
      <c r="A222" s="85"/>
      <c r="B222" s="85"/>
      <c r="C222" s="85"/>
      <c r="D222" s="85"/>
      <c r="E222" s="85"/>
      <c r="F222" s="85"/>
      <c r="G222" s="160"/>
      <c r="H222" s="85"/>
      <c r="I222" s="91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>
      <c r="A223" s="85"/>
      <c r="B223" s="85"/>
      <c r="C223" s="85"/>
      <c r="D223" s="85"/>
      <c r="E223" s="85"/>
      <c r="F223" s="85"/>
      <c r="G223" s="160"/>
      <c r="H223" s="85"/>
      <c r="I223" s="91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>
      <c r="A224" s="85"/>
      <c r="B224" s="85"/>
      <c r="C224" s="85"/>
      <c r="D224" s="85"/>
      <c r="E224" s="85"/>
      <c r="F224" s="85"/>
      <c r="G224" s="160"/>
      <c r="H224" s="85"/>
      <c r="I224" s="91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>
      <c r="A225" s="85"/>
      <c r="B225" s="85"/>
      <c r="C225" s="85"/>
      <c r="D225" s="85"/>
      <c r="E225" s="85"/>
      <c r="F225" s="85"/>
      <c r="G225" s="160"/>
      <c r="H225" s="85"/>
      <c r="I225" s="91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>
      <c r="A226" s="85"/>
      <c r="B226" s="85"/>
      <c r="C226" s="85"/>
      <c r="D226" s="85"/>
      <c r="E226" s="85"/>
      <c r="F226" s="85"/>
      <c r="G226" s="160"/>
      <c r="H226" s="85"/>
      <c r="I226" s="91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>
      <c r="A227" s="85"/>
      <c r="B227" s="85"/>
      <c r="C227" s="85"/>
      <c r="D227" s="85"/>
      <c r="E227" s="85"/>
      <c r="F227" s="85"/>
      <c r="G227" s="160"/>
      <c r="H227" s="85"/>
      <c r="I227" s="91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>
      <c r="A228" s="85"/>
      <c r="B228" s="85"/>
      <c r="C228" s="85"/>
      <c r="D228" s="85"/>
      <c r="E228" s="85"/>
      <c r="F228" s="85"/>
      <c r="G228" s="160"/>
      <c r="H228" s="85"/>
      <c r="I228" s="91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>
      <c r="A229" s="85"/>
      <c r="B229" s="85"/>
      <c r="C229" s="85"/>
      <c r="D229" s="85"/>
      <c r="E229" s="85"/>
      <c r="F229" s="85"/>
      <c r="G229" s="160"/>
      <c r="H229" s="85"/>
      <c r="I229" s="91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>
      <c r="A230" s="85"/>
      <c r="B230" s="85"/>
      <c r="C230" s="85"/>
      <c r="D230" s="85"/>
      <c r="E230" s="85"/>
      <c r="F230" s="85"/>
      <c r="G230" s="160"/>
      <c r="H230" s="85"/>
      <c r="I230" s="91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>
      <c r="A231" s="85"/>
      <c r="B231" s="85"/>
      <c r="C231" s="85"/>
      <c r="D231" s="85"/>
      <c r="E231" s="85"/>
      <c r="F231" s="85"/>
      <c r="G231" s="160"/>
      <c r="H231" s="85"/>
      <c r="I231" s="91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>
      <c r="A232" s="85"/>
      <c r="B232" s="85"/>
      <c r="C232" s="85"/>
      <c r="D232" s="85"/>
      <c r="E232" s="85"/>
      <c r="F232" s="85"/>
      <c r="G232" s="160"/>
      <c r="H232" s="85"/>
      <c r="I232" s="91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>
      <c r="A233" s="85"/>
      <c r="B233" s="85"/>
      <c r="C233" s="85"/>
      <c r="D233" s="85"/>
      <c r="E233" s="85"/>
      <c r="F233" s="85"/>
      <c r="G233" s="160"/>
      <c r="H233" s="85"/>
      <c r="I233" s="91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>
      <c r="A234" s="85"/>
      <c r="B234" s="85"/>
      <c r="C234" s="85"/>
      <c r="D234" s="85"/>
      <c r="E234" s="85"/>
      <c r="F234" s="85"/>
      <c r="G234" s="160"/>
      <c r="H234" s="85"/>
      <c r="I234" s="91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>
      <c r="A235" s="85"/>
      <c r="B235" s="85"/>
      <c r="C235" s="85"/>
      <c r="D235" s="85"/>
      <c r="E235" s="85"/>
      <c r="F235" s="85"/>
      <c r="G235" s="160"/>
      <c r="H235" s="85"/>
      <c r="I235" s="91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>
      <c r="A236" s="85"/>
      <c r="B236" s="85"/>
      <c r="C236" s="85"/>
      <c r="D236" s="85"/>
      <c r="E236" s="85"/>
      <c r="F236" s="85"/>
      <c r="G236" s="160"/>
      <c r="H236" s="85"/>
      <c r="I236" s="91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>
      <c r="A237" s="85"/>
      <c r="B237" s="85"/>
      <c r="C237" s="85"/>
      <c r="D237" s="85"/>
      <c r="E237" s="85"/>
      <c r="F237" s="85"/>
      <c r="G237" s="160"/>
      <c r="H237" s="85"/>
      <c r="I237" s="91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>
      <c r="A238" s="85"/>
      <c r="B238" s="85"/>
      <c r="C238" s="85"/>
      <c r="D238" s="85"/>
      <c r="E238" s="85"/>
      <c r="F238" s="85"/>
      <c r="G238" s="160"/>
      <c r="H238" s="85"/>
      <c r="I238" s="91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>
      <c r="A239" s="85"/>
      <c r="B239" s="85"/>
      <c r="C239" s="85"/>
      <c r="D239" s="85"/>
      <c r="E239" s="85"/>
      <c r="F239" s="85"/>
      <c r="G239" s="160"/>
      <c r="H239" s="85"/>
      <c r="I239" s="91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>
      <c r="A240" s="85"/>
      <c r="B240" s="85"/>
      <c r="C240" s="85"/>
      <c r="D240" s="85"/>
      <c r="E240" s="85"/>
      <c r="F240" s="85"/>
      <c r="G240" s="160"/>
      <c r="H240" s="85"/>
      <c r="I240" s="91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>
      <c r="A241" s="85"/>
      <c r="B241" s="85"/>
      <c r="C241" s="85"/>
      <c r="D241" s="85"/>
      <c r="E241" s="85"/>
      <c r="F241" s="85"/>
      <c r="G241" s="160"/>
      <c r="H241" s="85"/>
      <c r="I241" s="91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>
      <c r="A242" s="85"/>
      <c r="B242" s="85"/>
      <c r="C242" s="85"/>
      <c r="D242" s="85"/>
      <c r="E242" s="85"/>
      <c r="F242" s="85"/>
      <c r="G242" s="160"/>
      <c r="H242" s="85"/>
      <c r="I242" s="91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>
      <c r="A243" s="85"/>
      <c r="B243" s="85"/>
      <c r="C243" s="85"/>
      <c r="D243" s="85"/>
      <c r="E243" s="85"/>
      <c r="F243" s="85"/>
      <c r="G243" s="160"/>
      <c r="H243" s="85"/>
      <c r="I243" s="91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>
      <c r="A244" s="85"/>
      <c r="B244" s="85"/>
      <c r="C244" s="85"/>
      <c r="D244" s="85"/>
      <c r="E244" s="85"/>
      <c r="F244" s="85"/>
      <c r="G244" s="160"/>
      <c r="H244" s="85"/>
      <c r="I244" s="91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>
      <c r="A245" s="85"/>
      <c r="B245" s="85"/>
      <c r="C245" s="85"/>
      <c r="D245" s="85"/>
      <c r="E245" s="85"/>
      <c r="F245" s="85"/>
      <c r="G245" s="160"/>
      <c r="H245" s="85"/>
      <c r="I245" s="91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>
      <c r="A246" s="85"/>
      <c r="B246" s="85"/>
      <c r="C246" s="85"/>
      <c r="D246" s="85"/>
      <c r="E246" s="85"/>
      <c r="F246" s="85"/>
      <c r="G246" s="160"/>
      <c r="H246" s="85"/>
      <c r="I246" s="91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>
      <c r="A247" s="85"/>
      <c r="B247" s="85"/>
      <c r="C247" s="85"/>
      <c r="D247" s="85"/>
      <c r="E247" s="85"/>
      <c r="F247" s="85"/>
      <c r="G247" s="160"/>
      <c r="H247" s="85"/>
      <c r="I247" s="91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>
      <c r="A248" s="85"/>
      <c r="B248" s="85"/>
      <c r="C248" s="85"/>
      <c r="D248" s="85"/>
      <c r="E248" s="85"/>
      <c r="F248" s="85"/>
      <c r="G248" s="160"/>
      <c r="H248" s="85"/>
      <c r="I248" s="91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>
      <c r="A249" s="85"/>
      <c r="B249" s="85"/>
      <c r="C249" s="85"/>
      <c r="D249" s="85"/>
      <c r="E249" s="85"/>
      <c r="F249" s="85"/>
      <c r="G249" s="160"/>
      <c r="H249" s="85"/>
      <c r="I249" s="91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>
      <c r="A250" s="85"/>
      <c r="B250" s="85"/>
      <c r="C250" s="85"/>
      <c r="D250" s="85"/>
      <c r="E250" s="85"/>
      <c r="F250" s="85"/>
      <c r="G250" s="160"/>
      <c r="H250" s="85"/>
      <c r="I250" s="91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>
      <c r="A251" s="85"/>
      <c r="B251" s="85"/>
      <c r="C251" s="85"/>
      <c r="D251" s="85"/>
      <c r="E251" s="85"/>
      <c r="F251" s="85"/>
      <c r="G251" s="160"/>
      <c r="H251" s="85"/>
      <c r="I251" s="91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>
      <c r="A252" s="85"/>
      <c r="B252" s="85"/>
      <c r="C252" s="85"/>
      <c r="D252" s="85"/>
      <c r="E252" s="85"/>
      <c r="F252" s="85"/>
      <c r="G252" s="160"/>
      <c r="H252" s="85"/>
      <c r="I252" s="91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>
      <c r="A253" s="85"/>
      <c r="B253" s="85"/>
      <c r="C253" s="85"/>
      <c r="D253" s="85"/>
      <c r="E253" s="85"/>
      <c r="F253" s="85"/>
      <c r="G253" s="160"/>
      <c r="H253" s="85"/>
      <c r="I253" s="91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>
      <c r="A254" s="85"/>
      <c r="B254" s="85"/>
      <c r="C254" s="85"/>
      <c r="D254" s="85"/>
      <c r="E254" s="85"/>
      <c r="F254" s="85"/>
      <c r="G254" s="160"/>
      <c r="H254" s="85"/>
      <c r="I254" s="91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>
      <c r="A255" s="85"/>
      <c r="B255" s="85"/>
      <c r="C255" s="85"/>
      <c r="D255" s="85"/>
      <c r="E255" s="85"/>
      <c r="F255" s="85"/>
      <c r="G255" s="160"/>
      <c r="H255" s="85"/>
      <c r="I255" s="91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>
      <c r="A256" s="85"/>
      <c r="B256" s="85"/>
      <c r="C256" s="85"/>
      <c r="D256" s="85"/>
      <c r="E256" s="85"/>
      <c r="F256" s="85"/>
      <c r="G256" s="160"/>
      <c r="H256" s="85"/>
      <c r="I256" s="91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>
      <c r="A257" s="85"/>
      <c r="B257" s="85"/>
      <c r="C257" s="85"/>
      <c r="D257" s="85"/>
      <c r="E257" s="85"/>
      <c r="F257" s="85"/>
      <c r="G257" s="160"/>
      <c r="H257" s="85"/>
      <c r="I257" s="91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>
      <c r="A258" s="85"/>
      <c r="B258" s="85"/>
      <c r="C258" s="85"/>
      <c r="D258" s="85"/>
      <c r="E258" s="85"/>
      <c r="F258" s="85"/>
      <c r="G258" s="160"/>
      <c r="H258" s="85"/>
      <c r="I258" s="91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>
      <c r="A259" s="85"/>
      <c r="B259" s="85"/>
      <c r="C259" s="85"/>
      <c r="D259" s="85"/>
      <c r="E259" s="85"/>
      <c r="F259" s="85"/>
      <c r="G259" s="160"/>
      <c r="H259" s="85"/>
      <c r="I259" s="91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>
      <c r="A260" s="85"/>
      <c r="B260" s="85"/>
      <c r="C260" s="85"/>
      <c r="D260" s="85"/>
      <c r="E260" s="85"/>
      <c r="F260" s="85"/>
      <c r="G260" s="160"/>
      <c r="H260" s="85"/>
      <c r="I260" s="91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>
      <c r="A261" s="85"/>
      <c r="B261" s="85"/>
      <c r="C261" s="85"/>
      <c r="D261" s="85"/>
      <c r="E261" s="85"/>
      <c r="F261" s="85"/>
      <c r="G261" s="160"/>
      <c r="H261" s="85"/>
      <c r="I261" s="91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>
      <c r="A262" s="85"/>
      <c r="B262" s="85"/>
      <c r="C262" s="85"/>
      <c r="D262" s="85"/>
      <c r="E262" s="85"/>
      <c r="F262" s="85"/>
      <c r="G262" s="160"/>
      <c r="H262" s="85"/>
      <c r="I262" s="91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>
      <c r="A263" s="85"/>
      <c r="B263" s="85"/>
      <c r="C263" s="85"/>
      <c r="D263" s="85"/>
      <c r="E263" s="85"/>
      <c r="F263" s="85"/>
      <c r="G263" s="160"/>
      <c r="H263" s="85"/>
      <c r="I263" s="91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>
      <c r="A264" s="85"/>
      <c r="B264" s="85"/>
      <c r="C264" s="85"/>
      <c r="D264" s="85"/>
      <c r="E264" s="85"/>
      <c r="F264" s="85"/>
      <c r="G264" s="160"/>
      <c r="H264" s="85"/>
      <c r="I264" s="91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>
      <c r="A265" s="85"/>
      <c r="B265" s="85"/>
      <c r="C265" s="85"/>
      <c r="D265" s="85"/>
      <c r="E265" s="85"/>
      <c r="F265" s="85"/>
      <c r="G265" s="160"/>
      <c r="H265" s="85"/>
      <c r="I265" s="91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>
      <c r="A266" s="85"/>
      <c r="B266" s="85"/>
      <c r="C266" s="85"/>
      <c r="D266" s="85"/>
      <c r="E266" s="85"/>
      <c r="F266" s="85"/>
      <c r="G266" s="160"/>
      <c r="H266" s="85"/>
      <c r="I266" s="91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>
      <c r="A267" s="85"/>
      <c r="B267" s="85"/>
      <c r="C267" s="85"/>
      <c r="D267" s="85"/>
      <c r="E267" s="85"/>
      <c r="F267" s="85"/>
      <c r="G267" s="160"/>
      <c r="H267" s="85"/>
      <c r="I267" s="91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>
      <c r="A268" s="85"/>
      <c r="B268" s="85"/>
      <c r="C268" s="85"/>
      <c r="D268" s="85"/>
      <c r="E268" s="85"/>
      <c r="F268" s="85"/>
      <c r="G268" s="160"/>
      <c r="H268" s="85"/>
      <c r="I268" s="91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>
      <c r="A269" s="85"/>
      <c r="B269" s="85"/>
      <c r="C269" s="85"/>
      <c r="D269" s="85"/>
      <c r="E269" s="85"/>
      <c r="F269" s="85"/>
      <c r="G269" s="160"/>
      <c r="H269" s="85"/>
      <c r="I269" s="91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>
      <c r="A270" s="85"/>
      <c r="B270" s="85"/>
      <c r="C270" s="85"/>
      <c r="D270" s="85"/>
      <c r="E270" s="85"/>
      <c r="F270" s="85"/>
      <c r="G270" s="160"/>
      <c r="H270" s="85"/>
      <c r="I270" s="91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>
      <c r="A271" s="85"/>
      <c r="B271" s="85"/>
      <c r="C271" s="85"/>
      <c r="D271" s="85"/>
      <c r="E271" s="85"/>
      <c r="F271" s="85"/>
      <c r="G271" s="160"/>
      <c r="H271" s="85"/>
      <c r="I271" s="91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>
      <c r="A272" s="85"/>
      <c r="B272" s="85"/>
      <c r="C272" s="85"/>
      <c r="D272" s="85"/>
      <c r="E272" s="85"/>
      <c r="F272" s="85"/>
      <c r="G272" s="160"/>
      <c r="H272" s="85"/>
      <c r="I272" s="91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>
      <c r="A273" s="85"/>
      <c r="B273" s="85"/>
      <c r="C273" s="85"/>
      <c r="D273" s="85"/>
      <c r="E273" s="85"/>
      <c r="F273" s="85"/>
      <c r="G273" s="160"/>
      <c r="H273" s="85"/>
      <c r="I273" s="91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>
      <c r="A274" s="85"/>
      <c r="B274" s="85"/>
      <c r="C274" s="85"/>
      <c r="D274" s="85"/>
      <c r="E274" s="85"/>
      <c r="F274" s="85"/>
      <c r="G274" s="160"/>
      <c r="H274" s="85"/>
      <c r="I274" s="91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>
      <c r="A275" s="85"/>
      <c r="B275" s="85"/>
      <c r="C275" s="85"/>
      <c r="D275" s="85"/>
      <c r="E275" s="85"/>
      <c r="F275" s="85"/>
      <c r="G275" s="160"/>
      <c r="H275" s="85"/>
      <c r="I275" s="91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>
      <c r="A276" s="85"/>
      <c r="B276" s="85"/>
      <c r="C276" s="85"/>
      <c r="D276" s="85"/>
      <c r="E276" s="85"/>
      <c r="F276" s="85"/>
      <c r="G276" s="160"/>
      <c r="H276" s="85"/>
      <c r="I276" s="91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>
      <c r="A277" s="85"/>
      <c r="B277" s="85"/>
      <c r="C277" s="85"/>
      <c r="D277" s="85"/>
      <c r="E277" s="85"/>
      <c r="F277" s="85"/>
      <c r="G277" s="160"/>
      <c r="H277" s="85"/>
      <c r="I277" s="91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>
      <c r="A278" s="85"/>
      <c r="B278" s="85"/>
      <c r="C278" s="85"/>
      <c r="D278" s="85"/>
      <c r="E278" s="85"/>
      <c r="F278" s="85"/>
      <c r="G278" s="160"/>
      <c r="H278" s="85"/>
      <c r="I278" s="91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>
      <c r="A279" s="85"/>
      <c r="B279" s="85"/>
      <c r="C279" s="85"/>
      <c r="D279" s="85"/>
      <c r="E279" s="85"/>
      <c r="F279" s="85"/>
      <c r="G279" s="160"/>
      <c r="H279" s="85"/>
      <c r="I279" s="91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>
      <c r="A280" s="85"/>
      <c r="B280" s="85"/>
      <c r="C280" s="85"/>
      <c r="D280" s="85"/>
      <c r="E280" s="85"/>
      <c r="F280" s="85"/>
      <c r="G280" s="160"/>
      <c r="H280" s="85"/>
      <c r="I280" s="91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>
      <c r="A281" s="85"/>
      <c r="B281" s="85"/>
      <c r="C281" s="85"/>
      <c r="D281" s="85"/>
      <c r="E281" s="85"/>
      <c r="F281" s="85"/>
      <c r="G281" s="160"/>
      <c r="H281" s="85"/>
      <c r="I281" s="91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>
      <c r="A282" s="85"/>
      <c r="B282" s="85"/>
      <c r="C282" s="85"/>
      <c r="D282" s="85"/>
      <c r="E282" s="85"/>
      <c r="F282" s="85"/>
      <c r="G282" s="160"/>
      <c r="H282" s="85"/>
      <c r="I282" s="91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>
      <c r="A283" s="85"/>
      <c r="B283" s="85"/>
      <c r="C283" s="85"/>
      <c r="D283" s="85"/>
      <c r="E283" s="85"/>
      <c r="F283" s="85"/>
      <c r="G283" s="160"/>
      <c r="H283" s="85"/>
      <c r="I283" s="91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>
      <c r="A284" s="85"/>
      <c r="B284" s="85"/>
      <c r="C284" s="85"/>
      <c r="D284" s="85"/>
      <c r="E284" s="85"/>
      <c r="F284" s="85"/>
      <c r="G284" s="160"/>
      <c r="H284" s="85"/>
      <c r="I284" s="91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>
      <c r="A285" s="85"/>
      <c r="B285" s="85"/>
      <c r="C285" s="85"/>
      <c r="D285" s="85"/>
      <c r="E285" s="85"/>
      <c r="F285" s="85"/>
      <c r="G285" s="160"/>
      <c r="H285" s="85"/>
      <c r="I285" s="91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>
      <c r="A286" s="85"/>
      <c r="B286" s="85"/>
      <c r="C286" s="85"/>
      <c r="D286" s="85"/>
      <c r="E286" s="85"/>
      <c r="F286" s="85"/>
      <c r="G286" s="160"/>
      <c r="H286" s="85"/>
      <c r="I286" s="91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>
      <c r="A287" s="85"/>
      <c r="B287" s="85"/>
      <c r="C287" s="85"/>
      <c r="D287" s="85"/>
      <c r="E287" s="85"/>
      <c r="F287" s="85"/>
      <c r="G287" s="160"/>
      <c r="H287" s="85"/>
      <c r="I287" s="91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>
      <c r="A288" s="85"/>
      <c r="B288" s="85"/>
      <c r="C288" s="85"/>
      <c r="D288" s="85"/>
      <c r="E288" s="85"/>
      <c r="F288" s="85"/>
      <c r="G288" s="160"/>
      <c r="H288" s="85"/>
      <c r="I288" s="91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>
      <c r="A289" s="85"/>
      <c r="B289" s="85"/>
      <c r="C289" s="85"/>
      <c r="D289" s="85"/>
      <c r="E289" s="85"/>
      <c r="F289" s="85"/>
      <c r="G289" s="160"/>
      <c r="H289" s="85"/>
      <c r="I289" s="91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>
      <c r="A290" s="85"/>
      <c r="B290" s="85"/>
      <c r="C290" s="85"/>
      <c r="D290" s="85"/>
      <c r="E290" s="85"/>
      <c r="F290" s="85"/>
      <c r="G290" s="160"/>
      <c r="H290" s="85"/>
      <c r="I290" s="91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>
      <c r="A291" s="85"/>
      <c r="B291" s="85"/>
      <c r="C291" s="85"/>
      <c r="D291" s="85"/>
      <c r="E291" s="85"/>
      <c r="F291" s="85"/>
      <c r="G291" s="160"/>
      <c r="H291" s="85"/>
      <c r="I291" s="91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>
      <c r="A292" s="85"/>
      <c r="B292" s="85"/>
      <c r="C292" s="85"/>
      <c r="D292" s="85"/>
      <c r="E292" s="85"/>
      <c r="F292" s="85"/>
      <c r="G292" s="160"/>
      <c r="H292" s="85"/>
      <c r="I292" s="91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>
      <c r="A293" s="85"/>
      <c r="B293" s="85"/>
      <c r="C293" s="85"/>
      <c r="D293" s="85"/>
      <c r="E293" s="85"/>
      <c r="F293" s="85"/>
      <c r="G293" s="160"/>
      <c r="H293" s="85"/>
      <c r="I293" s="91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>
      <c r="A294" s="85"/>
      <c r="B294" s="85"/>
      <c r="C294" s="85"/>
      <c r="D294" s="85"/>
      <c r="E294" s="85"/>
      <c r="F294" s="85"/>
      <c r="G294" s="160"/>
      <c r="H294" s="85"/>
      <c r="I294" s="91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>
      <c r="A295" s="85"/>
      <c r="B295" s="85"/>
      <c r="C295" s="85"/>
      <c r="D295" s="85"/>
      <c r="E295" s="85"/>
      <c r="F295" s="85"/>
      <c r="G295" s="160"/>
      <c r="H295" s="85"/>
      <c r="I295" s="91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>
      <c r="A296" s="85"/>
      <c r="B296" s="85"/>
      <c r="C296" s="85"/>
      <c r="D296" s="85"/>
      <c r="E296" s="85"/>
      <c r="F296" s="85"/>
      <c r="G296" s="160"/>
      <c r="H296" s="85"/>
      <c r="I296" s="91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>
      <c r="A297" s="85"/>
      <c r="B297" s="85"/>
      <c r="C297" s="85"/>
      <c r="D297" s="85"/>
      <c r="E297" s="85"/>
      <c r="F297" s="85"/>
      <c r="G297" s="160"/>
      <c r="H297" s="85"/>
      <c r="I297" s="91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>
      <c r="A298" s="85"/>
      <c r="B298" s="85"/>
      <c r="C298" s="85"/>
      <c r="D298" s="85"/>
      <c r="E298" s="85"/>
      <c r="F298" s="85"/>
      <c r="G298" s="160"/>
      <c r="H298" s="85"/>
      <c r="I298" s="91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>
      <c r="A299" s="85"/>
      <c r="B299" s="85"/>
      <c r="C299" s="85"/>
      <c r="D299" s="85"/>
      <c r="E299" s="85"/>
      <c r="F299" s="85"/>
      <c r="G299" s="160"/>
      <c r="H299" s="85"/>
      <c r="I299" s="91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>
      <c r="A300" s="85"/>
      <c r="B300" s="85"/>
      <c r="C300" s="85"/>
      <c r="D300" s="85"/>
      <c r="E300" s="85"/>
      <c r="F300" s="85"/>
      <c r="G300" s="160"/>
      <c r="H300" s="85"/>
      <c r="I300" s="91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>
      <c r="A301" s="85"/>
      <c r="B301" s="85"/>
      <c r="C301" s="85"/>
      <c r="D301" s="85"/>
      <c r="E301" s="85"/>
      <c r="F301" s="85"/>
      <c r="G301" s="160"/>
      <c r="H301" s="85"/>
      <c r="I301" s="91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>
      <c r="A302" s="85"/>
      <c r="B302" s="85"/>
      <c r="C302" s="85"/>
      <c r="D302" s="85"/>
      <c r="E302" s="85"/>
      <c r="F302" s="85"/>
      <c r="G302" s="160"/>
      <c r="H302" s="85"/>
      <c r="I302" s="91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>
      <c r="A303" s="85"/>
      <c r="B303" s="85"/>
      <c r="C303" s="85"/>
      <c r="D303" s="85"/>
      <c r="E303" s="85"/>
      <c r="F303" s="85"/>
      <c r="G303" s="160"/>
      <c r="H303" s="85"/>
      <c r="I303" s="91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>
      <c r="A304" s="85"/>
      <c r="B304" s="85"/>
      <c r="C304" s="85"/>
      <c r="D304" s="85"/>
      <c r="E304" s="85"/>
      <c r="F304" s="85"/>
      <c r="G304" s="160"/>
      <c r="H304" s="85"/>
      <c r="I304" s="91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>
      <c r="A305" s="85"/>
      <c r="B305" s="85"/>
      <c r="C305" s="85"/>
      <c r="D305" s="85"/>
      <c r="E305" s="85"/>
      <c r="F305" s="85"/>
      <c r="G305" s="160"/>
      <c r="H305" s="85"/>
      <c r="I305" s="91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>
      <c r="A306" s="85"/>
      <c r="B306" s="85"/>
      <c r="C306" s="85"/>
      <c r="D306" s="85"/>
      <c r="E306" s="85"/>
      <c r="F306" s="85"/>
      <c r="G306" s="160"/>
      <c r="H306" s="85"/>
      <c r="I306" s="91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>
      <c r="A307" s="85"/>
      <c r="B307" s="85"/>
      <c r="C307" s="85"/>
      <c r="D307" s="85"/>
      <c r="E307" s="85"/>
      <c r="F307" s="85"/>
      <c r="G307" s="160"/>
      <c r="H307" s="85"/>
      <c r="I307" s="91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>
      <c r="A308" s="85"/>
      <c r="B308" s="85"/>
      <c r="C308" s="85"/>
      <c r="D308" s="85"/>
      <c r="E308" s="85"/>
      <c r="F308" s="85"/>
      <c r="G308" s="160"/>
      <c r="H308" s="85"/>
      <c r="I308" s="91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>
      <c r="A309" s="85"/>
      <c r="B309" s="85"/>
      <c r="C309" s="85"/>
      <c r="D309" s="85"/>
      <c r="E309" s="85"/>
      <c r="F309" s="85"/>
      <c r="G309" s="160"/>
      <c r="H309" s="85"/>
      <c r="I309" s="91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>
      <c r="A310" s="85"/>
      <c r="B310" s="85"/>
      <c r="C310" s="85"/>
      <c r="D310" s="85"/>
      <c r="E310" s="85"/>
      <c r="F310" s="85"/>
      <c r="G310" s="160"/>
      <c r="H310" s="85"/>
      <c r="I310" s="91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>
      <c r="A311" s="85"/>
      <c r="B311" s="85"/>
      <c r="C311" s="85"/>
      <c r="D311" s="85"/>
      <c r="E311" s="85"/>
      <c r="F311" s="85"/>
      <c r="G311" s="160"/>
      <c r="H311" s="85"/>
      <c r="I311" s="91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>
      <c r="A312" s="85"/>
      <c r="B312" s="85"/>
      <c r="C312" s="85"/>
      <c r="D312" s="85"/>
      <c r="E312" s="85"/>
      <c r="F312" s="85"/>
      <c r="G312" s="160"/>
      <c r="H312" s="85"/>
      <c r="I312" s="91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>
      <c r="A313" s="85"/>
      <c r="B313" s="85"/>
      <c r="C313" s="85"/>
      <c r="D313" s="85"/>
      <c r="E313" s="85"/>
      <c r="F313" s="85"/>
      <c r="G313" s="160"/>
      <c r="H313" s="85"/>
      <c r="I313" s="91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>
      <c r="A314" s="85"/>
      <c r="B314" s="85"/>
      <c r="C314" s="85"/>
      <c r="D314" s="85"/>
      <c r="E314" s="85"/>
      <c r="F314" s="85"/>
      <c r="G314" s="160"/>
      <c r="H314" s="85"/>
      <c r="I314" s="91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>
      <c r="A315" s="85"/>
      <c r="B315" s="85"/>
      <c r="C315" s="85"/>
      <c r="D315" s="85"/>
      <c r="E315" s="85"/>
      <c r="F315" s="85"/>
      <c r="G315" s="160"/>
      <c r="H315" s="85"/>
      <c r="I315" s="91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>
      <c r="A316" s="85"/>
      <c r="B316" s="85"/>
      <c r="C316" s="85"/>
      <c r="D316" s="85"/>
      <c r="E316" s="85"/>
      <c r="F316" s="85"/>
      <c r="G316" s="160"/>
      <c r="H316" s="85"/>
      <c r="I316" s="91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>
      <c r="A317" s="85"/>
      <c r="B317" s="85"/>
      <c r="C317" s="85"/>
      <c r="D317" s="85"/>
      <c r="E317" s="85"/>
      <c r="F317" s="85"/>
      <c r="G317" s="160"/>
      <c r="H317" s="85"/>
      <c r="I317" s="91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>
      <c r="A318" s="85"/>
      <c r="B318" s="85"/>
      <c r="C318" s="85"/>
      <c r="D318" s="85"/>
      <c r="E318" s="85"/>
      <c r="F318" s="85"/>
      <c r="G318" s="160"/>
      <c r="H318" s="85"/>
      <c r="I318" s="91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>
      <c r="A319" s="85"/>
      <c r="B319" s="85"/>
      <c r="C319" s="85"/>
      <c r="D319" s="85"/>
      <c r="E319" s="85"/>
      <c r="F319" s="85"/>
      <c r="G319" s="160"/>
      <c r="H319" s="85"/>
      <c r="I319" s="91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>
      <c r="A320" s="85"/>
      <c r="B320" s="85"/>
      <c r="C320" s="85"/>
      <c r="D320" s="85"/>
      <c r="E320" s="85"/>
      <c r="F320" s="85"/>
      <c r="G320" s="160"/>
      <c r="H320" s="85"/>
      <c r="I320" s="91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>
      <c r="A321" s="85"/>
      <c r="B321" s="85"/>
      <c r="C321" s="85"/>
      <c r="D321" s="85"/>
      <c r="E321" s="85"/>
      <c r="F321" s="85"/>
      <c r="G321" s="160"/>
      <c r="H321" s="85"/>
      <c r="I321" s="91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>
      <c r="A322" s="85"/>
      <c r="B322" s="85"/>
      <c r="C322" s="85"/>
      <c r="D322" s="85"/>
      <c r="E322" s="85"/>
      <c r="F322" s="85"/>
      <c r="G322" s="160"/>
      <c r="H322" s="85"/>
      <c r="I322" s="91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>
      <c r="A323" s="85"/>
      <c r="B323" s="85"/>
      <c r="C323" s="85"/>
      <c r="D323" s="85"/>
      <c r="E323" s="85"/>
      <c r="F323" s="85"/>
      <c r="G323" s="160"/>
      <c r="H323" s="85"/>
      <c r="I323" s="91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>
      <c r="A324" s="85"/>
      <c r="B324" s="85"/>
      <c r="C324" s="85"/>
      <c r="D324" s="85"/>
      <c r="E324" s="85"/>
      <c r="F324" s="85"/>
      <c r="G324" s="160"/>
      <c r="H324" s="85"/>
      <c r="I324" s="91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>
      <c r="A325" s="85"/>
      <c r="B325" s="85"/>
      <c r="C325" s="85"/>
      <c r="D325" s="85"/>
      <c r="E325" s="85"/>
      <c r="F325" s="85"/>
      <c r="G325" s="160"/>
      <c r="H325" s="85"/>
      <c r="I325" s="91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>
      <c r="A326" s="85"/>
      <c r="B326" s="85"/>
      <c r="C326" s="85"/>
      <c r="D326" s="85"/>
      <c r="E326" s="85"/>
      <c r="F326" s="85"/>
      <c r="G326" s="160"/>
      <c r="H326" s="85"/>
      <c r="I326" s="91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>
      <c r="A327" s="85"/>
      <c r="B327" s="85"/>
      <c r="C327" s="85"/>
      <c r="D327" s="85"/>
      <c r="E327" s="85"/>
      <c r="F327" s="85"/>
      <c r="G327" s="160"/>
      <c r="H327" s="85"/>
      <c r="I327" s="91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>
      <c r="A328" s="85"/>
      <c r="B328" s="85"/>
      <c r="C328" s="85"/>
      <c r="D328" s="85"/>
      <c r="E328" s="85"/>
      <c r="F328" s="85"/>
      <c r="G328" s="160"/>
      <c r="H328" s="85"/>
      <c r="I328" s="91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>
      <c r="A329" s="85"/>
      <c r="B329" s="85"/>
      <c r="C329" s="85"/>
      <c r="D329" s="85"/>
      <c r="E329" s="85"/>
      <c r="F329" s="85"/>
      <c r="G329" s="160"/>
      <c r="H329" s="85"/>
      <c r="I329" s="91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>
      <c r="A330" s="85"/>
      <c r="B330" s="85"/>
      <c r="C330" s="85"/>
      <c r="D330" s="85"/>
      <c r="E330" s="85"/>
      <c r="F330" s="85"/>
      <c r="G330" s="160"/>
      <c r="H330" s="85"/>
      <c r="I330" s="91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>
      <c r="A331" s="85"/>
      <c r="B331" s="85"/>
      <c r="C331" s="85"/>
      <c r="D331" s="85"/>
      <c r="E331" s="85"/>
      <c r="F331" s="85"/>
      <c r="G331" s="160"/>
      <c r="H331" s="85"/>
      <c r="I331" s="91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>
      <c r="A332" s="85"/>
      <c r="B332" s="85"/>
      <c r="C332" s="85"/>
      <c r="D332" s="85"/>
      <c r="E332" s="85"/>
      <c r="F332" s="85"/>
      <c r="G332" s="160"/>
      <c r="H332" s="85"/>
      <c r="I332" s="91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>
      <c r="A333" s="85"/>
      <c r="B333" s="85"/>
      <c r="C333" s="85"/>
      <c r="D333" s="85"/>
      <c r="E333" s="85"/>
      <c r="F333" s="85"/>
      <c r="G333" s="160"/>
      <c r="H333" s="85"/>
      <c r="I333" s="91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>
      <c r="A334" s="85"/>
      <c r="B334" s="85"/>
      <c r="C334" s="85"/>
      <c r="D334" s="85"/>
      <c r="E334" s="85"/>
      <c r="F334" s="85"/>
      <c r="G334" s="160"/>
      <c r="H334" s="85"/>
      <c r="I334" s="91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>
      <c r="A335" s="85"/>
      <c r="B335" s="85"/>
      <c r="C335" s="85"/>
      <c r="D335" s="85"/>
      <c r="E335" s="85"/>
      <c r="F335" s="85"/>
      <c r="G335" s="160"/>
      <c r="H335" s="85"/>
      <c r="I335" s="91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>
      <c r="A336" s="85"/>
      <c r="B336" s="85"/>
      <c r="C336" s="85"/>
      <c r="D336" s="85"/>
      <c r="E336" s="85"/>
      <c r="F336" s="85"/>
      <c r="G336" s="160"/>
      <c r="H336" s="85"/>
      <c r="I336" s="91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>
      <c r="A337" s="85"/>
      <c r="B337" s="85"/>
      <c r="C337" s="85"/>
      <c r="D337" s="85"/>
      <c r="E337" s="85"/>
      <c r="F337" s="85"/>
      <c r="G337" s="160"/>
      <c r="H337" s="85"/>
      <c r="I337" s="91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>
      <c r="A338" s="85"/>
      <c r="B338" s="85"/>
      <c r="C338" s="85"/>
      <c r="D338" s="85"/>
      <c r="E338" s="85"/>
      <c r="F338" s="85"/>
      <c r="G338" s="160"/>
      <c r="H338" s="85"/>
      <c r="I338" s="91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>
      <c r="A339" s="85"/>
      <c r="B339" s="85"/>
      <c r="C339" s="85"/>
      <c r="D339" s="85"/>
      <c r="E339" s="85"/>
      <c r="F339" s="85"/>
      <c r="G339" s="160"/>
      <c r="H339" s="85"/>
      <c r="I339" s="91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>
      <c r="A340" s="85"/>
      <c r="B340" s="85"/>
      <c r="C340" s="85"/>
      <c r="D340" s="85"/>
      <c r="E340" s="85"/>
      <c r="F340" s="85"/>
      <c r="G340" s="160"/>
      <c r="H340" s="85"/>
      <c r="I340" s="91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>
      <c r="A341" s="85"/>
      <c r="B341" s="85"/>
      <c r="C341" s="85"/>
      <c r="D341" s="85"/>
      <c r="E341" s="85"/>
      <c r="F341" s="85"/>
      <c r="G341" s="160"/>
      <c r="H341" s="85"/>
      <c r="I341" s="91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>
      <c r="A342" s="85"/>
      <c r="B342" s="85"/>
      <c r="C342" s="85"/>
      <c r="D342" s="85"/>
      <c r="E342" s="85"/>
      <c r="F342" s="85"/>
      <c r="G342" s="160"/>
      <c r="H342" s="85"/>
      <c r="I342" s="91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>
      <c r="A343" s="85"/>
      <c r="B343" s="85"/>
      <c r="C343" s="85"/>
      <c r="D343" s="85"/>
      <c r="E343" s="85"/>
      <c r="F343" s="85"/>
      <c r="G343" s="160"/>
      <c r="H343" s="85"/>
      <c r="I343" s="91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>
      <c r="A344" s="85"/>
      <c r="B344" s="85"/>
      <c r="C344" s="85"/>
      <c r="D344" s="85"/>
      <c r="E344" s="85"/>
      <c r="F344" s="85"/>
      <c r="G344" s="160"/>
      <c r="H344" s="85"/>
      <c r="I344" s="91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>
      <c r="A345" s="85"/>
      <c r="B345" s="85"/>
      <c r="C345" s="85"/>
      <c r="D345" s="85"/>
      <c r="E345" s="85"/>
      <c r="F345" s="85"/>
      <c r="G345" s="160"/>
      <c r="H345" s="85"/>
      <c r="I345" s="91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>
      <c r="A346" s="85"/>
      <c r="B346" s="85"/>
      <c r="C346" s="85"/>
      <c r="D346" s="85"/>
      <c r="E346" s="85"/>
      <c r="F346" s="85"/>
      <c r="G346" s="160"/>
      <c r="H346" s="85"/>
      <c r="I346" s="91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>
      <c r="A347" s="85"/>
      <c r="B347" s="85"/>
      <c r="C347" s="85"/>
      <c r="D347" s="85"/>
      <c r="E347" s="85"/>
      <c r="F347" s="85"/>
      <c r="G347" s="160"/>
      <c r="H347" s="85"/>
      <c r="I347" s="91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>
      <c r="A348" s="85"/>
      <c r="B348" s="85"/>
      <c r="C348" s="85"/>
      <c r="D348" s="85"/>
      <c r="E348" s="85"/>
      <c r="F348" s="85"/>
      <c r="G348" s="160"/>
      <c r="H348" s="85"/>
      <c r="I348" s="91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>
      <c r="A349" s="85"/>
      <c r="B349" s="85"/>
      <c r="C349" s="85"/>
      <c r="D349" s="85"/>
      <c r="E349" s="85"/>
      <c r="F349" s="85"/>
      <c r="G349" s="160"/>
      <c r="H349" s="85"/>
      <c r="I349" s="91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>
      <c r="A350" s="85"/>
      <c r="B350" s="85"/>
      <c r="C350" s="85"/>
      <c r="D350" s="85"/>
      <c r="E350" s="85"/>
      <c r="F350" s="85"/>
      <c r="G350" s="160"/>
      <c r="H350" s="85"/>
      <c r="I350" s="91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>
      <c r="A351" s="85"/>
      <c r="B351" s="85"/>
      <c r="C351" s="85"/>
      <c r="D351" s="85"/>
      <c r="E351" s="85"/>
      <c r="F351" s="85"/>
      <c r="G351" s="160"/>
      <c r="H351" s="85"/>
      <c r="I351" s="91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>
      <c r="A352" s="85"/>
      <c r="B352" s="85"/>
      <c r="C352" s="85"/>
      <c r="D352" s="85"/>
      <c r="E352" s="85"/>
      <c r="F352" s="85"/>
      <c r="G352" s="160"/>
      <c r="H352" s="85"/>
      <c r="I352" s="91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>
      <c r="A353" s="85"/>
      <c r="B353" s="85"/>
      <c r="C353" s="85"/>
      <c r="D353" s="85"/>
      <c r="E353" s="85"/>
      <c r="F353" s="85"/>
      <c r="G353" s="160"/>
      <c r="H353" s="85"/>
      <c r="I353" s="91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>
      <c r="A354" s="85"/>
      <c r="B354" s="85"/>
      <c r="C354" s="85"/>
      <c r="D354" s="85"/>
      <c r="E354" s="85"/>
      <c r="F354" s="85"/>
      <c r="G354" s="160"/>
      <c r="H354" s="85"/>
      <c r="I354" s="91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>
      <c r="A355" s="85"/>
      <c r="B355" s="85"/>
      <c r="C355" s="85"/>
      <c r="D355" s="85"/>
      <c r="E355" s="85"/>
      <c r="F355" s="85"/>
      <c r="G355" s="160"/>
      <c r="H355" s="85"/>
      <c r="I355" s="91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>
      <c r="A356" s="85"/>
      <c r="B356" s="85"/>
      <c r="C356" s="85"/>
      <c r="D356" s="85"/>
      <c r="E356" s="85"/>
      <c r="F356" s="85"/>
      <c r="G356" s="160"/>
      <c r="H356" s="85"/>
      <c r="I356" s="91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>
      <c r="A357" s="85"/>
      <c r="B357" s="85"/>
      <c r="C357" s="85"/>
      <c r="D357" s="85"/>
      <c r="E357" s="85"/>
      <c r="F357" s="85"/>
      <c r="G357" s="160"/>
      <c r="H357" s="85"/>
      <c r="I357" s="91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>
      <c r="A358" s="85"/>
      <c r="B358" s="85"/>
      <c r="C358" s="85"/>
      <c r="D358" s="85"/>
      <c r="E358" s="85"/>
      <c r="F358" s="85"/>
      <c r="G358" s="160"/>
      <c r="H358" s="85"/>
      <c r="I358" s="91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>
      <c r="A359" s="85"/>
      <c r="B359" s="85"/>
      <c r="C359" s="85"/>
      <c r="D359" s="85"/>
      <c r="E359" s="85"/>
      <c r="F359" s="85"/>
      <c r="G359" s="160"/>
      <c r="H359" s="85"/>
      <c r="I359" s="91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>
      <c r="A360" s="85"/>
      <c r="B360" s="85"/>
      <c r="C360" s="85"/>
      <c r="D360" s="85"/>
      <c r="E360" s="85"/>
      <c r="F360" s="85"/>
      <c r="G360" s="160"/>
      <c r="H360" s="85"/>
      <c r="I360" s="91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>
      <c r="A361" s="85"/>
      <c r="B361" s="85"/>
      <c r="C361" s="85"/>
      <c r="D361" s="85"/>
      <c r="E361" s="85"/>
      <c r="F361" s="85"/>
      <c r="G361" s="160"/>
      <c r="H361" s="85"/>
      <c r="I361" s="91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>
      <c r="A362" s="85"/>
      <c r="B362" s="85"/>
      <c r="C362" s="85"/>
      <c r="D362" s="85"/>
      <c r="E362" s="85"/>
      <c r="F362" s="85"/>
      <c r="G362" s="160"/>
      <c r="H362" s="85"/>
      <c r="I362" s="91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>
      <c r="A363" s="85"/>
      <c r="B363" s="85"/>
      <c r="C363" s="85"/>
      <c r="D363" s="85"/>
      <c r="E363" s="85"/>
      <c r="F363" s="85"/>
      <c r="G363" s="160"/>
      <c r="H363" s="85"/>
      <c r="I363" s="91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>
      <c r="A364" s="85"/>
      <c r="B364" s="85"/>
      <c r="C364" s="85"/>
      <c r="D364" s="85"/>
      <c r="E364" s="85"/>
      <c r="F364" s="85"/>
      <c r="G364" s="160"/>
      <c r="H364" s="85"/>
      <c r="I364" s="91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>
      <c r="A365" s="85"/>
      <c r="B365" s="85"/>
      <c r="C365" s="85"/>
      <c r="D365" s="85"/>
      <c r="E365" s="85"/>
      <c r="F365" s="85"/>
      <c r="G365" s="160"/>
      <c r="H365" s="85"/>
      <c r="I365" s="91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>
      <c r="A366" s="85"/>
      <c r="B366" s="85"/>
      <c r="C366" s="85"/>
      <c r="D366" s="85"/>
      <c r="E366" s="85"/>
      <c r="F366" s="85"/>
      <c r="G366" s="160"/>
      <c r="H366" s="85"/>
      <c r="I366" s="91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>
      <c r="A367" s="85"/>
      <c r="B367" s="85"/>
      <c r="C367" s="85"/>
      <c r="D367" s="85"/>
      <c r="E367" s="85"/>
      <c r="F367" s="85"/>
      <c r="G367" s="160"/>
      <c r="H367" s="85"/>
      <c r="I367" s="91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>
      <c r="A368" s="85"/>
      <c r="B368" s="85"/>
      <c r="C368" s="85"/>
      <c r="D368" s="85"/>
      <c r="E368" s="85"/>
      <c r="F368" s="85"/>
      <c r="G368" s="160"/>
      <c r="H368" s="85"/>
      <c r="I368" s="91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>
      <c r="A369" s="85"/>
      <c r="B369" s="85"/>
      <c r="C369" s="85"/>
      <c r="D369" s="85"/>
      <c r="E369" s="85"/>
      <c r="F369" s="85"/>
      <c r="G369" s="160"/>
      <c r="H369" s="85"/>
      <c r="I369" s="91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>
      <c r="A370" s="85"/>
      <c r="B370" s="85"/>
      <c r="C370" s="85"/>
      <c r="D370" s="85"/>
      <c r="E370" s="85"/>
      <c r="F370" s="85"/>
      <c r="G370" s="160"/>
      <c r="H370" s="85"/>
      <c r="I370" s="91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>
      <c r="A371" s="85"/>
      <c r="B371" s="85"/>
      <c r="C371" s="85"/>
      <c r="D371" s="85"/>
      <c r="E371" s="85"/>
      <c r="F371" s="85"/>
      <c r="G371" s="160"/>
      <c r="H371" s="85"/>
      <c r="I371" s="91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>
      <c r="A372" s="85"/>
      <c r="B372" s="85"/>
      <c r="C372" s="85"/>
      <c r="D372" s="85"/>
      <c r="E372" s="85"/>
      <c r="F372" s="85"/>
      <c r="G372" s="160"/>
      <c r="H372" s="85"/>
      <c r="I372" s="91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>
      <c r="A373" s="85"/>
      <c r="B373" s="85"/>
      <c r="C373" s="85"/>
      <c r="D373" s="85"/>
      <c r="E373" s="85"/>
      <c r="F373" s="85"/>
      <c r="G373" s="160"/>
      <c r="H373" s="85"/>
      <c r="I373" s="91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>
      <c r="A374" s="85"/>
      <c r="B374" s="85"/>
      <c r="C374" s="85"/>
      <c r="D374" s="85"/>
      <c r="E374" s="85"/>
      <c r="F374" s="85"/>
      <c r="G374" s="160"/>
      <c r="H374" s="85"/>
      <c r="I374" s="91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>
      <c r="A375" s="85"/>
      <c r="B375" s="85"/>
      <c r="C375" s="85"/>
      <c r="D375" s="85"/>
      <c r="E375" s="85"/>
      <c r="F375" s="85"/>
      <c r="G375" s="160"/>
      <c r="H375" s="85"/>
      <c r="I375" s="91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>
      <c r="A376" s="85"/>
      <c r="B376" s="85"/>
      <c r="C376" s="85"/>
      <c r="D376" s="85"/>
      <c r="E376" s="85"/>
      <c r="F376" s="85"/>
      <c r="G376" s="160"/>
      <c r="H376" s="85"/>
      <c r="I376" s="91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>
      <c r="A377" s="85"/>
      <c r="B377" s="85"/>
      <c r="C377" s="85"/>
      <c r="D377" s="85"/>
      <c r="E377" s="85"/>
      <c r="F377" s="85"/>
      <c r="G377" s="160"/>
      <c r="H377" s="85"/>
      <c r="I377" s="91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>
      <c r="A378" s="85"/>
      <c r="B378" s="85"/>
      <c r="C378" s="85"/>
      <c r="D378" s="85"/>
      <c r="E378" s="85"/>
      <c r="F378" s="85"/>
      <c r="G378" s="160"/>
      <c r="H378" s="85"/>
      <c r="I378" s="91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>
      <c r="A379" s="85"/>
      <c r="B379" s="85"/>
      <c r="C379" s="85"/>
      <c r="D379" s="85"/>
      <c r="E379" s="85"/>
      <c r="F379" s="85"/>
      <c r="G379" s="160"/>
      <c r="H379" s="85"/>
      <c r="I379" s="91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>
      <c r="A380" s="85"/>
      <c r="B380" s="85"/>
      <c r="C380" s="85"/>
      <c r="D380" s="85"/>
      <c r="E380" s="85"/>
      <c r="F380" s="85"/>
      <c r="G380" s="160"/>
      <c r="H380" s="85"/>
      <c r="I380" s="91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>
      <c r="A381" s="85"/>
      <c r="B381" s="85"/>
      <c r="C381" s="85"/>
      <c r="D381" s="85"/>
      <c r="E381" s="85"/>
      <c r="F381" s="85"/>
      <c r="G381" s="160"/>
      <c r="H381" s="85"/>
      <c r="I381" s="91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>
      <c r="A382" s="85"/>
      <c r="B382" s="85"/>
      <c r="C382" s="85"/>
      <c r="D382" s="85"/>
      <c r="E382" s="85"/>
      <c r="F382" s="85"/>
      <c r="G382" s="160"/>
      <c r="H382" s="85"/>
      <c r="I382" s="91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>
      <c r="A383" s="85"/>
      <c r="B383" s="85"/>
      <c r="C383" s="85"/>
      <c r="D383" s="85"/>
      <c r="E383" s="85"/>
      <c r="F383" s="85"/>
      <c r="G383" s="160"/>
      <c r="H383" s="85"/>
      <c r="I383" s="91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>
      <c r="A384" s="85"/>
      <c r="B384" s="85"/>
      <c r="C384" s="85"/>
      <c r="D384" s="85"/>
      <c r="E384" s="85"/>
      <c r="F384" s="85"/>
      <c r="G384" s="160"/>
      <c r="H384" s="85"/>
      <c r="I384" s="91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>
      <c r="A385" s="85"/>
      <c r="B385" s="85"/>
      <c r="C385" s="85"/>
      <c r="D385" s="85"/>
      <c r="E385" s="85"/>
      <c r="F385" s="85"/>
      <c r="G385" s="160"/>
      <c r="H385" s="85"/>
      <c r="I385" s="91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>
      <c r="A386" s="85"/>
      <c r="B386" s="85"/>
      <c r="C386" s="85"/>
      <c r="D386" s="85"/>
      <c r="E386" s="85"/>
      <c r="F386" s="85"/>
      <c r="G386" s="160"/>
      <c r="H386" s="85"/>
      <c r="I386" s="91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>
      <c r="A387" s="85"/>
      <c r="B387" s="85"/>
      <c r="C387" s="85"/>
      <c r="D387" s="85"/>
      <c r="E387" s="85"/>
      <c r="F387" s="85"/>
      <c r="G387" s="160"/>
      <c r="H387" s="85"/>
      <c r="I387" s="91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>
      <c r="A388" s="85"/>
      <c r="B388" s="85"/>
      <c r="C388" s="85"/>
      <c r="D388" s="85"/>
      <c r="E388" s="85"/>
      <c r="F388" s="85"/>
      <c r="G388" s="160"/>
      <c r="H388" s="85"/>
      <c r="I388" s="91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>
      <c r="A389" s="85"/>
      <c r="B389" s="85"/>
      <c r="C389" s="85"/>
      <c r="D389" s="85"/>
      <c r="E389" s="85"/>
      <c r="F389" s="85"/>
      <c r="G389" s="160"/>
      <c r="H389" s="85"/>
      <c r="I389" s="91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>
      <c r="A390" s="85"/>
      <c r="B390" s="85"/>
      <c r="C390" s="85"/>
      <c r="D390" s="85"/>
      <c r="E390" s="85"/>
      <c r="F390" s="85"/>
      <c r="G390" s="160"/>
      <c r="H390" s="85"/>
      <c r="I390" s="91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>
      <c r="A391" s="85"/>
      <c r="B391" s="85"/>
      <c r="C391" s="85"/>
      <c r="D391" s="85"/>
      <c r="E391" s="85"/>
      <c r="F391" s="85"/>
      <c r="G391" s="160"/>
      <c r="H391" s="85"/>
      <c r="I391" s="91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>
      <c r="A392" s="85"/>
      <c r="B392" s="85"/>
      <c r="C392" s="85"/>
      <c r="D392" s="85"/>
      <c r="E392" s="85"/>
      <c r="F392" s="85"/>
      <c r="G392" s="160"/>
      <c r="H392" s="85"/>
      <c r="I392" s="91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>
      <c r="A393" s="85"/>
      <c r="B393" s="85"/>
      <c r="C393" s="85"/>
      <c r="D393" s="85"/>
      <c r="E393" s="85"/>
      <c r="F393" s="85"/>
      <c r="G393" s="160"/>
      <c r="H393" s="85"/>
      <c r="I393" s="91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>
      <c r="A394" s="85"/>
      <c r="B394" s="85"/>
      <c r="C394" s="85"/>
      <c r="D394" s="85"/>
      <c r="E394" s="85"/>
      <c r="F394" s="85"/>
      <c r="G394" s="160"/>
      <c r="H394" s="85"/>
      <c r="I394" s="91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>
      <c r="A395" s="85"/>
      <c r="B395" s="85"/>
      <c r="C395" s="85"/>
      <c r="D395" s="85"/>
      <c r="E395" s="85"/>
      <c r="F395" s="85"/>
      <c r="G395" s="160"/>
      <c r="H395" s="85"/>
      <c r="I395" s="91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>
      <c r="A396" s="85"/>
      <c r="B396" s="85"/>
      <c r="C396" s="85"/>
      <c r="D396" s="85"/>
      <c r="E396" s="85"/>
      <c r="F396" s="85"/>
      <c r="G396" s="160"/>
      <c r="H396" s="85"/>
      <c r="I396" s="91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>
      <c r="A397" s="85"/>
      <c r="B397" s="85"/>
      <c r="C397" s="85"/>
      <c r="D397" s="85"/>
      <c r="E397" s="85"/>
      <c r="F397" s="85"/>
      <c r="G397" s="160"/>
      <c r="H397" s="85"/>
      <c r="I397" s="91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>
      <c r="A398" s="85"/>
      <c r="B398" s="85"/>
      <c r="C398" s="85"/>
      <c r="D398" s="85"/>
      <c r="E398" s="85"/>
      <c r="F398" s="85"/>
      <c r="G398" s="160"/>
      <c r="H398" s="85"/>
      <c r="I398" s="91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>
      <c r="A399" s="85"/>
      <c r="B399" s="85"/>
      <c r="C399" s="85"/>
      <c r="D399" s="85"/>
      <c r="E399" s="85"/>
      <c r="F399" s="85"/>
      <c r="G399" s="160"/>
      <c r="H399" s="85"/>
      <c r="I399" s="91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>
      <c r="A400" s="85"/>
      <c r="B400" s="85"/>
      <c r="C400" s="85"/>
      <c r="D400" s="85"/>
      <c r="E400" s="85"/>
      <c r="F400" s="85"/>
      <c r="G400" s="160"/>
      <c r="H400" s="85"/>
      <c r="I400" s="91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>
      <c r="A401" s="85"/>
      <c r="B401" s="85"/>
      <c r="C401" s="85"/>
      <c r="D401" s="85"/>
      <c r="E401" s="85"/>
      <c r="F401" s="85"/>
      <c r="G401" s="160"/>
      <c r="H401" s="85"/>
      <c r="I401" s="91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>
      <c r="A402" s="85"/>
      <c r="B402" s="85"/>
      <c r="C402" s="85"/>
      <c r="D402" s="85"/>
      <c r="E402" s="85"/>
      <c r="F402" s="85"/>
      <c r="G402" s="160"/>
      <c r="H402" s="85"/>
      <c r="I402" s="91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>
      <c r="A403" s="85"/>
      <c r="B403" s="85"/>
      <c r="C403" s="85"/>
      <c r="D403" s="85"/>
      <c r="E403" s="85"/>
      <c r="F403" s="85"/>
      <c r="G403" s="160"/>
      <c r="H403" s="85"/>
      <c r="I403" s="91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>
      <c r="A404" s="85"/>
      <c r="B404" s="85"/>
      <c r="C404" s="85"/>
      <c r="D404" s="85"/>
      <c r="E404" s="85"/>
      <c r="F404" s="85"/>
      <c r="G404" s="160"/>
      <c r="H404" s="85"/>
      <c r="I404" s="91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>
      <c r="A405" s="85"/>
      <c r="B405" s="85"/>
      <c r="C405" s="85"/>
      <c r="D405" s="85"/>
      <c r="E405" s="85"/>
      <c r="F405" s="85"/>
      <c r="G405" s="160"/>
      <c r="H405" s="85"/>
      <c r="I405" s="91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>
      <c r="A406" s="85"/>
      <c r="B406" s="85"/>
      <c r="C406" s="85"/>
      <c r="D406" s="85"/>
      <c r="E406" s="85"/>
      <c r="F406" s="85"/>
      <c r="G406" s="160"/>
      <c r="H406" s="85"/>
      <c r="I406" s="91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>
      <c r="A407" s="85"/>
      <c r="B407" s="85"/>
      <c r="C407" s="85"/>
      <c r="D407" s="85"/>
      <c r="E407" s="85"/>
      <c r="F407" s="85"/>
      <c r="G407" s="160"/>
      <c r="H407" s="85"/>
      <c r="I407" s="91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>
      <c r="A408" s="85"/>
      <c r="B408" s="85"/>
      <c r="C408" s="85"/>
      <c r="D408" s="85"/>
      <c r="E408" s="85"/>
      <c r="F408" s="85"/>
      <c r="G408" s="160"/>
      <c r="H408" s="85"/>
      <c r="I408" s="91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>
      <c r="A409" s="85"/>
      <c r="B409" s="85"/>
      <c r="C409" s="85"/>
      <c r="D409" s="85"/>
      <c r="E409" s="85"/>
      <c r="F409" s="85"/>
      <c r="G409" s="160"/>
      <c r="H409" s="85"/>
      <c r="I409" s="91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>
      <c r="A410" s="85"/>
      <c r="B410" s="85"/>
      <c r="C410" s="85"/>
      <c r="D410" s="85"/>
      <c r="E410" s="85"/>
      <c r="F410" s="85"/>
      <c r="G410" s="160"/>
      <c r="H410" s="85"/>
      <c r="I410" s="91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>
      <c r="A411" s="85"/>
      <c r="B411" s="85"/>
      <c r="C411" s="85"/>
      <c r="D411" s="85"/>
      <c r="E411" s="85"/>
      <c r="F411" s="85"/>
      <c r="G411" s="160"/>
      <c r="H411" s="85"/>
      <c r="I411" s="91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>
      <c r="A412" s="85"/>
      <c r="B412" s="85"/>
      <c r="C412" s="85"/>
      <c r="D412" s="85"/>
      <c r="E412" s="85"/>
      <c r="F412" s="85"/>
      <c r="G412" s="160"/>
      <c r="H412" s="85"/>
      <c r="I412" s="91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>
      <c r="A413" s="85"/>
      <c r="B413" s="85"/>
      <c r="C413" s="85"/>
      <c r="D413" s="85"/>
      <c r="E413" s="85"/>
      <c r="F413" s="85"/>
      <c r="G413" s="160"/>
      <c r="H413" s="85"/>
      <c r="I413" s="91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>
      <c r="A414" s="85"/>
      <c r="B414" s="85"/>
      <c r="C414" s="85"/>
      <c r="D414" s="85"/>
      <c r="E414" s="85"/>
      <c r="F414" s="85"/>
      <c r="G414" s="160"/>
      <c r="H414" s="85"/>
      <c r="I414" s="91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>
      <c r="A415" s="85"/>
      <c r="B415" s="85"/>
      <c r="C415" s="85"/>
      <c r="D415" s="85"/>
      <c r="E415" s="85"/>
      <c r="F415" s="85"/>
      <c r="G415" s="160"/>
      <c r="H415" s="85"/>
      <c r="I415" s="91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>
      <c r="A416" s="85"/>
      <c r="B416" s="85"/>
      <c r="C416" s="85"/>
      <c r="D416" s="85"/>
      <c r="E416" s="85"/>
      <c r="F416" s="85"/>
      <c r="G416" s="160"/>
      <c r="H416" s="85"/>
      <c r="I416" s="91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>
      <c r="A417" s="85"/>
      <c r="B417" s="85"/>
      <c r="C417" s="85"/>
      <c r="D417" s="85"/>
      <c r="E417" s="85"/>
      <c r="F417" s="85"/>
      <c r="G417" s="160"/>
      <c r="H417" s="85"/>
      <c r="I417" s="91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>
      <c r="A418" s="85"/>
      <c r="B418" s="85"/>
      <c r="C418" s="85"/>
      <c r="D418" s="85"/>
      <c r="E418" s="85"/>
      <c r="F418" s="85"/>
      <c r="G418" s="160"/>
      <c r="H418" s="85"/>
      <c r="I418" s="91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>
      <c r="A419" s="85"/>
      <c r="B419" s="85"/>
      <c r="C419" s="85"/>
      <c r="D419" s="85"/>
      <c r="E419" s="85"/>
      <c r="F419" s="85"/>
      <c r="G419" s="160"/>
      <c r="H419" s="85"/>
      <c r="I419" s="91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>
      <c r="A420" s="85"/>
      <c r="B420" s="85"/>
      <c r="C420" s="85"/>
      <c r="D420" s="85"/>
      <c r="E420" s="85"/>
      <c r="F420" s="85"/>
      <c r="G420" s="160"/>
      <c r="H420" s="85"/>
      <c r="I420" s="91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>
      <c r="A421" s="85"/>
      <c r="B421" s="85"/>
      <c r="C421" s="85"/>
      <c r="D421" s="85"/>
      <c r="E421" s="85"/>
      <c r="F421" s="85"/>
      <c r="G421" s="160"/>
      <c r="H421" s="85"/>
      <c r="I421" s="91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>
      <c r="A422" s="85"/>
      <c r="B422" s="85"/>
      <c r="C422" s="85"/>
      <c r="D422" s="85"/>
      <c r="E422" s="85"/>
      <c r="F422" s="85"/>
      <c r="G422" s="160"/>
      <c r="H422" s="85"/>
      <c r="I422" s="91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>
      <c r="A423" s="85"/>
      <c r="B423" s="85"/>
      <c r="C423" s="85"/>
      <c r="D423" s="85"/>
      <c r="E423" s="85"/>
      <c r="F423" s="85"/>
      <c r="G423" s="160"/>
      <c r="H423" s="85"/>
      <c r="I423" s="91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>
      <c r="A424" s="85"/>
      <c r="B424" s="85"/>
      <c r="C424" s="85"/>
      <c r="D424" s="85"/>
      <c r="E424" s="85"/>
      <c r="F424" s="85"/>
      <c r="G424" s="160"/>
      <c r="H424" s="85"/>
      <c r="I424" s="91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>
      <c r="A425" s="85"/>
      <c r="B425" s="85"/>
      <c r="C425" s="85"/>
      <c r="D425" s="85"/>
      <c r="E425" s="85"/>
      <c r="F425" s="85"/>
      <c r="G425" s="160"/>
      <c r="H425" s="85"/>
      <c r="I425" s="91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>
      <c r="A426" s="85"/>
      <c r="B426" s="85"/>
      <c r="C426" s="85"/>
      <c r="D426" s="85"/>
      <c r="E426" s="85"/>
      <c r="F426" s="85"/>
      <c r="G426" s="160"/>
      <c r="H426" s="85"/>
      <c r="I426" s="91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>
      <c r="A427" s="85"/>
      <c r="B427" s="85"/>
      <c r="C427" s="85"/>
      <c r="D427" s="85"/>
      <c r="E427" s="85"/>
      <c r="F427" s="85"/>
      <c r="G427" s="160"/>
      <c r="H427" s="85"/>
      <c r="I427" s="91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>
      <c r="A428" s="85"/>
      <c r="B428" s="85"/>
      <c r="C428" s="85"/>
      <c r="D428" s="85"/>
      <c r="E428" s="85"/>
      <c r="F428" s="85"/>
      <c r="G428" s="160"/>
      <c r="H428" s="85"/>
      <c r="I428" s="91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>
      <c r="A429" s="85"/>
      <c r="B429" s="85"/>
      <c r="C429" s="85"/>
      <c r="D429" s="85"/>
      <c r="E429" s="85"/>
      <c r="F429" s="85"/>
      <c r="G429" s="160"/>
      <c r="H429" s="85"/>
      <c r="I429" s="91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>
      <c r="A430" s="85"/>
      <c r="B430" s="85"/>
      <c r="C430" s="85"/>
      <c r="D430" s="85"/>
      <c r="E430" s="85"/>
      <c r="F430" s="85"/>
      <c r="G430" s="160"/>
      <c r="H430" s="85"/>
      <c r="I430" s="91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>
      <c r="A431" s="85"/>
      <c r="B431" s="85"/>
      <c r="C431" s="85"/>
      <c r="D431" s="85"/>
      <c r="E431" s="85"/>
      <c r="F431" s="85"/>
      <c r="G431" s="160"/>
      <c r="H431" s="85"/>
      <c r="I431" s="91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>
      <c r="A432" s="85"/>
      <c r="B432" s="85"/>
      <c r="C432" s="85"/>
      <c r="D432" s="85"/>
      <c r="E432" s="85"/>
      <c r="F432" s="85"/>
      <c r="G432" s="160"/>
      <c r="H432" s="85"/>
      <c r="I432" s="91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>
      <c r="A433" s="85"/>
      <c r="B433" s="85"/>
      <c r="C433" s="85"/>
      <c r="D433" s="85"/>
      <c r="E433" s="85"/>
      <c r="F433" s="85"/>
      <c r="G433" s="160"/>
      <c r="H433" s="85"/>
      <c r="I433" s="91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>
      <c r="A434" s="85"/>
      <c r="B434" s="85"/>
      <c r="C434" s="85"/>
      <c r="D434" s="85"/>
      <c r="E434" s="85"/>
      <c r="F434" s="85"/>
      <c r="G434" s="160"/>
      <c r="H434" s="85"/>
      <c r="I434" s="91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>
      <c r="A435" s="85"/>
      <c r="B435" s="85"/>
      <c r="C435" s="85"/>
      <c r="D435" s="85"/>
      <c r="E435" s="85"/>
      <c r="F435" s="85"/>
      <c r="G435" s="160"/>
      <c r="H435" s="85"/>
      <c r="I435" s="91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>
      <c r="A436" s="85"/>
      <c r="B436" s="85"/>
      <c r="C436" s="85"/>
      <c r="D436" s="85"/>
      <c r="E436" s="85"/>
      <c r="F436" s="85"/>
      <c r="G436" s="160"/>
      <c r="H436" s="85"/>
      <c r="I436" s="91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>
      <c r="A437" s="85"/>
      <c r="B437" s="85"/>
      <c r="C437" s="85"/>
      <c r="D437" s="85"/>
      <c r="E437" s="85"/>
      <c r="F437" s="85"/>
      <c r="G437" s="160"/>
      <c r="H437" s="85"/>
      <c r="I437" s="91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>
      <c r="A438" s="85"/>
      <c r="B438" s="85"/>
      <c r="C438" s="85"/>
      <c r="D438" s="85"/>
      <c r="E438" s="85"/>
      <c r="F438" s="85"/>
      <c r="G438" s="160"/>
      <c r="H438" s="85"/>
      <c r="I438" s="91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>
      <c r="A439" s="85"/>
      <c r="B439" s="85"/>
      <c r="C439" s="85"/>
      <c r="D439" s="85"/>
      <c r="E439" s="85"/>
      <c r="F439" s="85"/>
      <c r="G439" s="160"/>
      <c r="H439" s="85"/>
      <c r="I439" s="91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>
      <c r="A440" s="85"/>
      <c r="B440" s="85"/>
      <c r="C440" s="85"/>
      <c r="D440" s="85"/>
      <c r="E440" s="85"/>
      <c r="F440" s="85"/>
      <c r="G440" s="160"/>
      <c r="H440" s="85"/>
      <c r="I440" s="91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>
      <c r="A441" s="85"/>
      <c r="B441" s="85"/>
      <c r="C441" s="85"/>
      <c r="D441" s="85"/>
      <c r="E441" s="85"/>
      <c r="F441" s="85"/>
      <c r="G441" s="160"/>
      <c r="H441" s="85"/>
      <c r="I441" s="91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>
      <c r="A442" s="85"/>
      <c r="B442" s="85"/>
      <c r="C442" s="85"/>
      <c r="D442" s="85"/>
      <c r="E442" s="85"/>
      <c r="F442" s="85"/>
      <c r="G442" s="160"/>
      <c r="H442" s="85"/>
      <c r="I442" s="91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>
      <c r="A443" s="85"/>
      <c r="B443" s="85"/>
      <c r="C443" s="85"/>
      <c r="D443" s="85"/>
      <c r="E443" s="85"/>
      <c r="F443" s="85"/>
      <c r="G443" s="160"/>
      <c r="H443" s="85"/>
      <c r="I443" s="91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>
      <c r="A444" s="85"/>
      <c r="B444" s="85"/>
      <c r="C444" s="85"/>
      <c r="D444" s="85"/>
      <c r="E444" s="85"/>
      <c r="F444" s="85"/>
      <c r="G444" s="160"/>
      <c r="H444" s="85"/>
      <c r="I444" s="91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>
      <c r="A445" s="85"/>
      <c r="B445" s="85"/>
      <c r="C445" s="85"/>
      <c r="D445" s="85"/>
      <c r="E445" s="85"/>
      <c r="F445" s="85"/>
      <c r="G445" s="160"/>
      <c r="H445" s="85"/>
      <c r="I445" s="91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>
      <c r="A446" s="85"/>
      <c r="B446" s="85"/>
      <c r="C446" s="85"/>
      <c r="D446" s="85"/>
      <c r="E446" s="85"/>
      <c r="F446" s="85"/>
      <c r="G446" s="160"/>
      <c r="H446" s="85"/>
      <c r="I446" s="91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>
      <c r="A447" s="85"/>
      <c r="B447" s="85"/>
      <c r="C447" s="85"/>
      <c r="D447" s="85"/>
      <c r="E447" s="85"/>
      <c r="F447" s="85"/>
      <c r="G447" s="160"/>
      <c r="H447" s="85"/>
      <c r="I447" s="91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>
      <c r="A448" s="85"/>
      <c r="B448" s="85"/>
      <c r="C448" s="85"/>
      <c r="D448" s="85"/>
      <c r="E448" s="85"/>
      <c r="F448" s="85"/>
      <c r="G448" s="160"/>
      <c r="H448" s="85"/>
      <c r="I448" s="91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>
      <c r="A449" s="85"/>
      <c r="B449" s="85"/>
      <c r="C449" s="85"/>
      <c r="D449" s="85"/>
      <c r="E449" s="85"/>
      <c r="F449" s="85"/>
      <c r="G449" s="160"/>
      <c r="H449" s="85"/>
      <c r="I449" s="91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>
      <c r="A450" s="85"/>
      <c r="B450" s="85"/>
      <c r="C450" s="85"/>
      <c r="D450" s="85"/>
      <c r="E450" s="85"/>
      <c r="F450" s="85"/>
      <c r="G450" s="160"/>
      <c r="H450" s="85"/>
      <c r="I450" s="91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>
      <c r="A451" s="85"/>
      <c r="B451" s="85"/>
      <c r="C451" s="85"/>
      <c r="D451" s="85"/>
      <c r="E451" s="85"/>
      <c r="F451" s="85"/>
      <c r="G451" s="160"/>
      <c r="H451" s="85"/>
      <c r="I451" s="91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>
      <c r="A452" s="85"/>
      <c r="B452" s="85"/>
      <c r="C452" s="85"/>
      <c r="D452" s="85"/>
      <c r="E452" s="85"/>
      <c r="F452" s="85"/>
      <c r="G452" s="160"/>
      <c r="H452" s="85"/>
      <c r="I452" s="91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>
      <c r="A453" s="85"/>
      <c r="B453" s="85"/>
      <c r="C453" s="85"/>
      <c r="D453" s="85"/>
      <c r="E453" s="85"/>
      <c r="F453" s="85"/>
      <c r="G453" s="160"/>
      <c r="H453" s="85"/>
      <c r="I453" s="91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>
      <c r="A454" s="85"/>
      <c r="B454" s="85"/>
      <c r="C454" s="85"/>
      <c r="D454" s="85"/>
      <c r="E454" s="85"/>
      <c r="F454" s="85"/>
      <c r="G454" s="160"/>
      <c r="H454" s="85"/>
      <c r="I454" s="91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>
      <c r="A455" s="85"/>
      <c r="B455" s="85"/>
      <c r="C455" s="85"/>
      <c r="D455" s="85"/>
      <c r="E455" s="85"/>
      <c r="F455" s="85"/>
      <c r="G455" s="160"/>
      <c r="H455" s="85"/>
      <c r="I455" s="91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>
      <c r="A456" s="85"/>
      <c r="B456" s="85"/>
      <c r="C456" s="85"/>
      <c r="D456" s="85"/>
      <c r="E456" s="85"/>
      <c r="F456" s="85"/>
      <c r="G456" s="160"/>
      <c r="H456" s="85"/>
      <c r="I456" s="91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>
      <c r="A457" s="85"/>
      <c r="B457" s="85"/>
      <c r="C457" s="85"/>
      <c r="D457" s="85"/>
      <c r="E457" s="85"/>
      <c r="F457" s="85"/>
      <c r="G457" s="160"/>
      <c r="H457" s="85"/>
      <c r="I457" s="91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>
      <c r="A458" s="85"/>
      <c r="B458" s="85"/>
      <c r="C458" s="85"/>
      <c r="D458" s="85"/>
      <c r="E458" s="85"/>
      <c r="F458" s="85"/>
      <c r="G458" s="160"/>
      <c r="H458" s="85"/>
      <c r="I458" s="91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>
      <c r="A459" s="85"/>
      <c r="B459" s="85"/>
      <c r="C459" s="85"/>
      <c r="D459" s="85"/>
      <c r="E459" s="85"/>
      <c r="F459" s="85"/>
      <c r="G459" s="160"/>
      <c r="H459" s="85"/>
      <c r="I459" s="91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>
      <c r="A460" s="85"/>
      <c r="B460" s="85"/>
      <c r="C460" s="85"/>
      <c r="D460" s="85"/>
      <c r="E460" s="85"/>
      <c r="F460" s="85"/>
      <c r="G460" s="160"/>
      <c r="H460" s="85"/>
      <c r="I460" s="91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>
      <c r="A461" s="85"/>
      <c r="B461" s="85"/>
      <c r="C461" s="85"/>
      <c r="D461" s="85"/>
      <c r="E461" s="85"/>
      <c r="F461" s="85"/>
      <c r="G461" s="160"/>
      <c r="H461" s="85"/>
      <c r="I461" s="91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>
      <c r="A462" s="85"/>
      <c r="B462" s="85"/>
      <c r="C462" s="85"/>
      <c r="D462" s="85"/>
      <c r="E462" s="85"/>
      <c r="F462" s="85"/>
      <c r="G462" s="160"/>
      <c r="H462" s="85"/>
      <c r="I462" s="91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>
      <c r="A463" s="85"/>
      <c r="B463" s="85"/>
      <c r="C463" s="85"/>
      <c r="D463" s="85"/>
      <c r="E463" s="85"/>
      <c r="F463" s="85"/>
      <c r="G463" s="160"/>
      <c r="H463" s="85"/>
      <c r="I463" s="91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>
      <c r="A464" s="85"/>
      <c r="B464" s="85"/>
      <c r="C464" s="85"/>
      <c r="D464" s="85"/>
      <c r="E464" s="85"/>
      <c r="F464" s="85"/>
      <c r="G464" s="160"/>
      <c r="H464" s="85"/>
      <c r="I464" s="91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>
      <c r="A465" s="85"/>
      <c r="B465" s="85"/>
      <c r="C465" s="85"/>
      <c r="D465" s="85"/>
      <c r="E465" s="85"/>
      <c r="F465" s="85"/>
      <c r="G465" s="160"/>
      <c r="H465" s="85"/>
      <c r="I465" s="91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>
      <c r="A466" s="85"/>
      <c r="B466" s="85"/>
      <c r="C466" s="85"/>
      <c r="D466" s="85"/>
      <c r="E466" s="85"/>
      <c r="F466" s="85"/>
      <c r="G466" s="160"/>
      <c r="H466" s="85"/>
      <c r="I466" s="91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>
      <c r="A467" s="85"/>
      <c r="B467" s="85"/>
      <c r="C467" s="85"/>
      <c r="D467" s="85"/>
      <c r="E467" s="85"/>
      <c r="F467" s="85"/>
      <c r="G467" s="160"/>
      <c r="H467" s="85"/>
      <c r="I467" s="91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>
      <c r="A468" s="85"/>
      <c r="B468" s="85"/>
      <c r="C468" s="85"/>
      <c r="D468" s="85"/>
      <c r="E468" s="85"/>
      <c r="F468" s="85"/>
      <c r="G468" s="160"/>
      <c r="H468" s="85"/>
      <c r="I468" s="91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>
      <c r="A469" s="85"/>
      <c r="B469" s="85"/>
      <c r="C469" s="85"/>
      <c r="D469" s="85"/>
      <c r="E469" s="85"/>
      <c r="F469" s="85"/>
      <c r="G469" s="160"/>
      <c r="H469" s="85"/>
      <c r="I469" s="91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>
      <c r="A470" s="85"/>
      <c r="B470" s="85"/>
      <c r="C470" s="85"/>
      <c r="D470" s="85"/>
      <c r="E470" s="85"/>
      <c r="F470" s="85"/>
      <c r="G470" s="160"/>
      <c r="H470" s="85"/>
      <c r="I470" s="91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>
      <c r="A471" s="85"/>
      <c r="B471" s="85"/>
      <c r="C471" s="85"/>
      <c r="D471" s="85"/>
      <c r="E471" s="85"/>
      <c r="F471" s="85"/>
      <c r="G471" s="160"/>
      <c r="H471" s="85"/>
      <c r="I471" s="91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>
      <c r="A472" s="85"/>
      <c r="B472" s="85"/>
      <c r="C472" s="85"/>
      <c r="D472" s="85"/>
      <c r="E472" s="85"/>
      <c r="F472" s="85"/>
      <c r="G472" s="160"/>
      <c r="H472" s="85"/>
      <c r="I472" s="91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>
      <c r="A473" s="85"/>
      <c r="B473" s="85"/>
      <c r="C473" s="85"/>
      <c r="D473" s="85"/>
      <c r="E473" s="85"/>
      <c r="F473" s="85"/>
      <c r="G473" s="160"/>
      <c r="H473" s="85"/>
      <c r="I473" s="91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>
      <c r="A474" s="85"/>
      <c r="B474" s="85"/>
      <c r="C474" s="85"/>
      <c r="D474" s="85"/>
      <c r="E474" s="85"/>
      <c r="F474" s="85"/>
      <c r="G474" s="160"/>
      <c r="H474" s="85"/>
      <c r="I474" s="91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>
      <c r="A475" s="85"/>
      <c r="B475" s="85"/>
      <c r="C475" s="85"/>
      <c r="D475" s="85"/>
      <c r="E475" s="85"/>
      <c r="F475" s="85"/>
      <c r="G475" s="160"/>
      <c r="H475" s="85"/>
      <c r="I475" s="91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>
      <c r="A476" s="85"/>
      <c r="B476" s="85"/>
      <c r="C476" s="85"/>
      <c r="D476" s="85"/>
      <c r="E476" s="85"/>
      <c r="F476" s="85"/>
      <c r="G476" s="160"/>
      <c r="H476" s="85"/>
      <c r="I476" s="91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>
      <c r="A477" s="85"/>
      <c r="B477" s="85"/>
      <c r="C477" s="85"/>
      <c r="D477" s="85"/>
      <c r="E477" s="85"/>
      <c r="F477" s="85"/>
      <c r="G477" s="160"/>
      <c r="H477" s="85"/>
      <c r="I477" s="91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>
      <c r="A478" s="85"/>
      <c r="B478" s="85"/>
      <c r="C478" s="85"/>
      <c r="D478" s="85"/>
      <c r="E478" s="85"/>
      <c r="F478" s="85"/>
      <c r="G478" s="160"/>
      <c r="H478" s="85"/>
      <c r="I478" s="91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>
      <c r="A479" s="85"/>
      <c r="B479" s="85"/>
      <c r="C479" s="85"/>
      <c r="D479" s="85"/>
      <c r="E479" s="85"/>
      <c r="F479" s="85"/>
      <c r="G479" s="160"/>
      <c r="H479" s="85"/>
      <c r="I479" s="91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>
      <c r="A480" s="85"/>
      <c r="B480" s="85"/>
      <c r="C480" s="85"/>
      <c r="D480" s="85"/>
      <c r="E480" s="85"/>
      <c r="F480" s="85"/>
      <c r="G480" s="160"/>
      <c r="H480" s="85"/>
      <c r="I480" s="91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>
      <c r="A481" s="85"/>
      <c r="B481" s="85"/>
      <c r="C481" s="85"/>
      <c r="D481" s="85"/>
      <c r="E481" s="85"/>
      <c r="F481" s="85"/>
      <c r="G481" s="160"/>
      <c r="H481" s="85"/>
      <c r="I481" s="91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>
      <c r="A482" s="85"/>
      <c r="B482" s="85"/>
      <c r="C482" s="85"/>
      <c r="D482" s="85"/>
      <c r="E482" s="85"/>
      <c r="F482" s="85"/>
      <c r="G482" s="160"/>
      <c r="H482" s="85"/>
      <c r="I482" s="91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>
      <c r="A483" s="85"/>
      <c r="B483" s="85"/>
      <c r="C483" s="85"/>
      <c r="D483" s="85"/>
      <c r="E483" s="85"/>
      <c r="F483" s="85"/>
      <c r="G483" s="160"/>
      <c r="H483" s="85"/>
      <c r="I483" s="91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>
      <c r="A484" s="85"/>
      <c r="B484" s="85"/>
      <c r="C484" s="85"/>
      <c r="D484" s="85"/>
      <c r="E484" s="85"/>
      <c r="F484" s="85"/>
      <c r="G484" s="160"/>
      <c r="H484" s="85"/>
      <c r="I484" s="91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>
      <c r="A485" s="85"/>
      <c r="B485" s="85"/>
      <c r="C485" s="85"/>
      <c r="D485" s="85"/>
      <c r="E485" s="85"/>
      <c r="F485" s="85"/>
      <c r="G485" s="160"/>
      <c r="H485" s="85"/>
      <c r="I485" s="91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>
      <c r="A486" s="85"/>
      <c r="B486" s="85"/>
      <c r="C486" s="85"/>
      <c r="D486" s="85"/>
      <c r="E486" s="85"/>
      <c r="F486" s="85"/>
      <c r="G486" s="160"/>
      <c r="H486" s="85"/>
      <c r="I486" s="91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>
      <c r="A487" s="85"/>
      <c r="B487" s="85"/>
      <c r="C487" s="85"/>
      <c r="D487" s="85"/>
      <c r="E487" s="85"/>
      <c r="F487" s="85"/>
      <c r="G487" s="160"/>
      <c r="H487" s="85"/>
      <c r="I487" s="91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>
      <c r="A488" s="85"/>
      <c r="B488" s="85"/>
      <c r="C488" s="85"/>
      <c r="D488" s="85"/>
      <c r="E488" s="85"/>
      <c r="F488" s="85"/>
      <c r="G488" s="160"/>
      <c r="H488" s="85"/>
      <c r="I488" s="91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>
      <c r="A489" s="85"/>
      <c r="B489" s="85"/>
      <c r="C489" s="85"/>
      <c r="D489" s="85"/>
      <c r="E489" s="85"/>
      <c r="F489" s="85"/>
      <c r="G489" s="160"/>
      <c r="H489" s="85"/>
      <c r="I489" s="91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>
      <c r="A490" s="85"/>
      <c r="B490" s="85"/>
      <c r="C490" s="85"/>
      <c r="D490" s="85"/>
      <c r="E490" s="85"/>
      <c r="F490" s="85"/>
      <c r="G490" s="160"/>
      <c r="H490" s="85"/>
      <c r="I490" s="91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>
      <c r="A491" s="85"/>
      <c r="B491" s="85"/>
      <c r="C491" s="85"/>
      <c r="D491" s="85"/>
      <c r="E491" s="85"/>
      <c r="F491" s="85"/>
      <c r="G491" s="160"/>
      <c r="H491" s="85"/>
      <c r="I491" s="91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>
      <c r="A492" s="85"/>
      <c r="B492" s="85"/>
      <c r="C492" s="85"/>
      <c r="D492" s="85"/>
      <c r="E492" s="85"/>
      <c r="F492" s="85"/>
      <c r="G492" s="160"/>
      <c r="H492" s="85"/>
      <c r="I492" s="91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>
      <c r="A493" s="85"/>
      <c r="B493" s="85"/>
      <c r="C493" s="85"/>
      <c r="D493" s="85"/>
      <c r="E493" s="85"/>
      <c r="F493" s="85"/>
      <c r="G493" s="160"/>
      <c r="H493" s="85"/>
      <c r="I493" s="91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>
      <c r="A494" s="85"/>
      <c r="B494" s="85"/>
      <c r="C494" s="85"/>
      <c r="D494" s="85"/>
      <c r="E494" s="85"/>
      <c r="F494" s="85"/>
      <c r="G494" s="160"/>
      <c r="H494" s="85"/>
      <c r="I494" s="91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>
      <c r="A495" s="85"/>
      <c r="B495" s="85"/>
      <c r="C495" s="85"/>
      <c r="D495" s="85"/>
      <c r="E495" s="85"/>
      <c r="F495" s="85"/>
      <c r="G495" s="160"/>
      <c r="H495" s="85"/>
      <c r="I495" s="91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>
      <c r="A496" s="85"/>
      <c r="B496" s="85"/>
      <c r="C496" s="85"/>
      <c r="D496" s="85"/>
      <c r="E496" s="85"/>
      <c r="F496" s="85"/>
      <c r="G496" s="160"/>
      <c r="H496" s="85"/>
      <c r="I496" s="91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>
      <c r="A497" s="85"/>
      <c r="B497" s="85"/>
      <c r="C497" s="85"/>
      <c r="D497" s="85"/>
      <c r="E497" s="85"/>
      <c r="F497" s="85"/>
      <c r="G497" s="160"/>
      <c r="H497" s="85"/>
      <c r="I497" s="91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>
      <c r="A498" s="85"/>
      <c r="B498" s="85"/>
      <c r="C498" s="85"/>
      <c r="D498" s="85"/>
      <c r="E498" s="85"/>
      <c r="F498" s="85"/>
      <c r="G498" s="160"/>
      <c r="H498" s="85"/>
      <c r="I498" s="91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>
      <c r="A499" s="85"/>
      <c r="B499" s="85"/>
      <c r="C499" s="85"/>
      <c r="D499" s="85"/>
      <c r="E499" s="85"/>
      <c r="F499" s="85"/>
      <c r="G499" s="160"/>
      <c r="H499" s="85"/>
      <c r="I499" s="91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>
      <c r="A500" s="85"/>
      <c r="B500" s="85"/>
      <c r="C500" s="85"/>
      <c r="D500" s="85"/>
      <c r="E500" s="85"/>
      <c r="F500" s="85"/>
      <c r="G500" s="160"/>
      <c r="H500" s="85"/>
      <c r="I500" s="91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>
      <c r="A501" s="85"/>
      <c r="B501" s="85"/>
      <c r="C501" s="85"/>
      <c r="D501" s="85"/>
      <c r="E501" s="85"/>
      <c r="F501" s="85"/>
      <c r="G501" s="160"/>
      <c r="H501" s="85"/>
      <c r="I501" s="91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>
      <c r="A502" s="85"/>
      <c r="B502" s="85"/>
      <c r="C502" s="85"/>
      <c r="D502" s="85"/>
      <c r="E502" s="85"/>
      <c r="F502" s="85"/>
      <c r="G502" s="160"/>
      <c r="H502" s="85"/>
      <c r="I502" s="91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>
      <c r="A503" s="85"/>
      <c r="B503" s="85"/>
      <c r="C503" s="85"/>
      <c r="D503" s="85"/>
      <c r="E503" s="85"/>
      <c r="F503" s="85"/>
      <c r="G503" s="160"/>
      <c r="H503" s="85"/>
      <c r="I503" s="91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>
      <c r="A504" s="85"/>
      <c r="B504" s="85"/>
      <c r="C504" s="85"/>
      <c r="D504" s="85"/>
      <c r="E504" s="85"/>
      <c r="F504" s="85"/>
      <c r="G504" s="160"/>
      <c r="H504" s="85"/>
      <c r="I504" s="91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>
      <c r="A505" s="85"/>
      <c r="B505" s="85"/>
      <c r="C505" s="85"/>
      <c r="D505" s="85"/>
      <c r="E505" s="85"/>
      <c r="F505" s="85"/>
      <c r="G505" s="160"/>
      <c r="H505" s="85"/>
      <c r="I505" s="91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>
      <c r="A506" s="85"/>
      <c r="B506" s="85"/>
      <c r="C506" s="85"/>
      <c r="D506" s="85"/>
      <c r="E506" s="85"/>
      <c r="F506" s="85"/>
      <c r="G506" s="160"/>
      <c r="H506" s="85"/>
      <c r="I506" s="91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>
      <c r="A507" s="85"/>
      <c r="B507" s="85"/>
      <c r="C507" s="85"/>
      <c r="D507" s="85"/>
      <c r="E507" s="85"/>
      <c r="F507" s="85"/>
      <c r="G507" s="160"/>
      <c r="H507" s="85"/>
      <c r="I507" s="91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>
      <c r="A508" s="85"/>
      <c r="B508" s="85"/>
      <c r="C508" s="85"/>
      <c r="D508" s="85"/>
      <c r="E508" s="85"/>
      <c r="F508" s="85"/>
      <c r="G508" s="160"/>
      <c r="H508" s="85"/>
      <c r="I508" s="91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>
      <c r="A509" s="85"/>
      <c r="B509" s="85"/>
      <c r="C509" s="85"/>
      <c r="D509" s="85"/>
      <c r="E509" s="85"/>
      <c r="F509" s="85"/>
      <c r="G509" s="160"/>
      <c r="H509" s="85"/>
      <c r="I509" s="91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>
      <c r="A510" s="85"/>
      <c r="B510" s="85"/>
      <c r="C510" s="85"/>
      <c r="D510" s="85"/>
      <c r="E510" s="85"/>
      <c r="F510" s="85"/>
      <c r="G510" s="160"/>
      <c r="H510" s="85"/>
      <c r="I510" s="91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>
      <c r="A511" s="85"/>
      <c r="B511" s="85"/>
      <c r="C511" s="85"/>
      <c r="D511" s="85"/>
      <c r="E511" s="85"/>
      <c r="F511" s="85"/>
      <c r="G511" s="160"/>
      <c r="H511" s="85"/>
      <c r="I511" s="91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>
      <c r="A512" s="85"/>
      <c r="B512" s="85"/>
      <c r="C512" s="85"/>
      <c r="D512" s="85"/>
      <c r="E512" s="85"/>
      <c r="F512" s="85"/>
      <c r="G512" s="160"/>
      <c r="H512" s="85"/>
      <c r="I512" s="91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>
      <c r="A513" s="85"/>
      <c r="B513" s="85"/>
      <c r="C513" s="85"/>
      <c r="D513" s="85"/>
      <c r="E513" s="85"/>
      <c r="F513" s="85"/>
      <c r="G513" s="160"/>
      <c r="H513" s="85"/>
      <c r="I513" s="91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>
      <c r="A514" s="85"/>
      <c r="B514" s="85"/>
      <c r="C514" s="85"/>
      <c r="D514" s="85"/>
      <c r="E514" s="85"/>
      <c r="F514" s="85"/>
      <c r="G514" s="160"/>
      <c r="H514" s="85"/>
      <c r="I514" s="91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>
      <c r="A515" s="85"/>
      <c r="B515" s="85"/>
      <c r="C515" s="85"/>
      <c r="D515" s="85"/>
      <c r="E515" s="85"/>
      <c r="F515" s="85"/>
      <c r="G515" s="160"/>
      <c r="H515" s="85"/>
      <c r="I515" s="91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>
      <c r="A516" s="85"/>
      <c r="B516" s="85"/>
      <c r="C516" s="85"/>
      <c r="D516" s="85"/>
      <c r="E516" s="85"/>
      <c r="F516" s="85"/>
      <c r="G516" s="160"/>
      <c r="H516" s="85"/>
      <c r="I516" s="91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>
      <c r="A517" s="85"/>
      <c r="B517" s="85"/>
      <c r="C517" s="85"/>
      <c r="D517" s="85"/>
      <c r="E517" s="85"/>
      <c r="F517" s="85"/>
      <c r="G517" s="160"/>
      <c r="H517" s="85"/>
      <c r="I517" s="91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>
      <c r="A518" s="85"/>
      <c r="B518" s="85"/>
      <c r="C518" s="85"/>
      <c r="D518" s="85"/>
      <c r="E518" s="85"/>
      <c r="F518" s="85"/>
      <c r="G518" s="160"/>
      <c r="H518" s="85"/>
      <c r="I518" s="91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>
      <c r="A519" s="85"/>
      <c r="B519" s="85"/>
      <c r="C519" s="85"/>
      <c r="D519" s="85"/>
      <c r="E519" s="85"/>
      <c r="F519" s="85"/>
      <c r="G519" s="160"/>
      <c r="H519" s="85"/>
      <c r="I519" s="91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>
      <c r="A520" s="85"/>
      <c r="B520" s="85"/>
      <c r="C520" s="85"/>
      <c r="D520" s="85"/>
      <c r="E520" s="85"/>
      <c r="F520" s="85"/>
      <c r="G520" s="160"/>
      <c r="H520" s="85"/>
      <c r="I520" s="91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>
      <c r="A521" s="85"/>
      <c r="B521" s="85"/>
      <c r="C521" s="85"/>
      <c r="D521" s="85"/>
      <c r="E521" s="85"/>
      <c r="F521" s="85"/>
      <c r="G521" s="160"/>
      <c r="H521" s="85"/>
      <c r="I521" s="91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>
      <c r="A522" s="85"/>
      <c r="B522" s="85"/>
      <c r="C522" s="85"/>
      <c r="D522" s="85"/>
      <c r="E522" s="85"/>
      <c r="F522" s="85"/>
      <c r="G522" s="160"/>
      <c r="H522" s="85"/>
      <c r="I522" s="91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>
      <c r="A523" s="85"/>
      <c r="B523" s="85"/>
      <c r="C523" s="85"/>
      <c r="D523" s="85"/>
      <c r="E523" s="85"/>
      <c r="F523" s="85"/>
      <c r="G523" s="160"/>
      <c r="H523" s="85"/>
      <c r="I523" s="91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>
      <c r="A524" s="85"/>
      <c r="B524" s="85"/>
      <c r="C524" s="85"/>
      <c r="D524" s="85"/>
      <c r="E524" s="85"/>
      <c r="F524" s="85"/>
      <c r="G524" s="160"/>
      <c r="H524" s="85"/>
      <c r="I524" s="91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>
      <c r="A525" s="85"/>
      <c r="B525" s="85"/>
      <c r="C525" s="85"/>
      <c r="D525" s="85"/>
      <c r="E525" s="85"/>
      <c r="F525" s="85"/>
      <c r="G525" s="160"/>
      <c r="H525" s="85"/>
      <c r="I525" s="91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>
      <c r="A526" s="85"/>
      <c r="B526" s="85"/>
      <c r="C526" s="85"/>
      <c r="D526" s="85"/>
      <c r="E526" s="85"/>
      <c r="F526" s="85"/>
      <c r="G526" s="160"/>
      <c r="H526" s="85"/>
      <c r="I526" s="91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>
      <c r="A527" s="85"/>
      <c r="B527" s="85"/>
      <c r="C527" s="85"/>
      <c r="D527" s="85"/>
      <c r="E527" s="85"/>
      <c r="F527" s="85"/>
      <c r="G527" s="160"/>
      <c r="H527" s="85"/>
      <c r="I527" s="91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>
      <c r="A528" s="85"/>
      <c r="B528" s="85"/>
      <c r="C528" s="85"/>
      <c r="D528" s="85"/>
      <c r="E528" s="85"/>
      <c r="F528" s="85"/>
      <c r="G528" s="160"/>
      <c r="H528" s="85"/>
      <c r="I528" s="91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>
      <c r="A529" s="85"/>
      <c r="B529" s="85"/>
      <c r="C529" s="85"/>
      <c r="D529" s="85"/>
      <c r="E529" s="85"/>
      <c r="F529" s="85"/>
      <c r="G529" s="160"/>
      <c r="H529" s="85"/>
      <c r="I529" s="91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>
      <c r="A530" s="85"/>
      <c r="B530" s="85"/>
      <c r="C530" s="85"/>
      <c r="D530" s="85"/>
      <c r="E530" s="85"/>
      <c r="F530" s="85"/>
      <c r="G530" s="160"/>
      <c r="H530" s="85"/>
      <c r="I530" s="91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>
      <c r="A531" s="85"/>
      <c r="B531" s="85"/>
      <c r="C531" s="85"/>
      <c r="D531" s="85"/>
      <c r="E531" s="85"/>
      <c r="F531" s="85"/>
      <c r="G531" s="160"/>
      <c r="H531" s="85"/>
      <c r="I531" s="91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>
      <c r="A532" s="85"/>
      <c r="B532" s="85"/>
      <c r="C532" s="85"/>
      <c r="D532" s="85"/>
      <c r="E532" s="85"/>
      <c r="F532" s="85"/>
      <c r="G532" s="160"/>
      <c r="H532" s="85"/>
      <c r="I532" s="91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>
      <c r="A533" s="85"/>
      <c r="B533" s="85"/>
      <c r="C533" s="85"/>
      <c r="D533" s="85"/>
      <c r="E533" s="85"/>
      <c r="F533" s="85"/>
      <c r="G533" s="160"/>
      <c r="H533" s="85"/>
      <c r="I533" s="91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>
      <c r="A534" s="85"/>
      <c r="B534" s="85"/>
      <c r="C534" s="85"/>
      <c r="D534" s="85"/>
      <c r="E534" s="85"/>
      <c r="F534" s="85"/>
      <c r="G534" s="160"/>
      <c r="H534" s="85"/>
      <c r="I534" s="91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>
      <c r="A535" s="85"/>
      <c r="B535" s="85"/>
      <c r="C535" s="85"/>
      <c r="D535" s="85"/>
      <c r="E535" s="85"/>
      <c r="F535" s="85"/>
      <c r="G535" s="160"/>
      <c r="H535" s="85"/>
      <c r="I535" s="91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>
      <c r="A536" s="85"/>
      <c r="B536" s="85"/>
      <c r="C536" s="85"/>
      <c r="D536" s="85"/>
      <c r="E536" s="85"/>
      <c r="F536" s="85"/>
      <c r="G536" s="160"/>
      <c r="H536" s="85"/>
      <c r="I536" s="91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>
      <c r="A537" s="85"/>
      <c r="B537" s="85"/>
      <c r="C537" s="85"/>
      <c r="D537" s="85"/>
      <c r="E537" s="85"/>
      <c r="F537" s="85"/>
      <c r="G537" s="160"/>
      <c r="H537" s="85"/>
      <c r="I537" s="91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>
      <c r="A538" s="85"/>
      <c r="B538" s="85"/>
      <c r="C538" s="85"/>
      <c r="D538" s="85"/>
      <c r="E538" s="85"/>
      <c r="F538" s="85"/>
      <c r="G538" s="160"/>
      <c r="H538" s="85"/>
      <c r="I538" s="91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>
      <c r="A539" s="85"/>
      <c r="B539" s="85"/>
      <c r="C539" s="85"/>
      <c r="D539" s="85"/>
      <c r="E539" s="85"/>
      <c r="F539" s="85"/>
      <c r="G539" s="160"/>
      <c r="H539" s="85"/>
      <c r="I539" s="91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>
      <c r="A540" s="85"/>
      <c r="B540" s="85"/>
      <c r="C540" s="85"/>
      <c r="D540" s="85"/>
      <c r="E540" s="85"/>
      <c r="F540" s="85"/>
      <c r="G540" s="160"/>
      <c r="H540" s="85"/>
      <c r="I540" s="91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>
      <c r="A541" s="85"/>
      <c r="B541" s="85"/>
      <c r="C541" s="85"/>
      <c r="D541" s="85"/>
      <c r="E541" s="85"/>
      <c r="F541" s="85"/>
      <c r="G541" s="160"/>
      <c r="H541" s="85"/>
      <c r="I541" s="91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>
      <c r="A542" s="85"/>
      <c r="B542" s="85"/>
      <c r="C542" s="85"/>
      <c r="D542" s="85"/>
      <c r="E542" s="85"/>
      <c r="F542" s="85"/>
      <c r="G542" s="160"/>
      <c r="H542" s="85"/>
      <c r="I542" s="91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>
      <c r="A543" s="85"/>
      <c r="B543" s="85"/>
      <c r="C543" s="85"/>
      <c r="D543" s="85"/>
      <c r="E543" s="85"/>
      <c r="F543" s="85"/>
      <c r="G543" s="160"/>
      <c r="H543" s="85"/>
      <c r="I543" s="91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>
      <c r="A544" s="85"/>
      <c r="B544" s="85"/>
      <c r="C544" s="85"/>
      <c r="D544" s="85"/>
      <c r="E544" s="85"/>
      <c r="F544" s="85"/>
      <c r="G544" s="160"/>
      <c r="H544" s="85"/>
      <c r="I544" s="91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>
      <c r="A545" s="85"/>
      <c r="B545" s="85"/>
      <c r="C545" s="85"/>
      <c r="D545" s="85"/>
      <c r="E545" s="85"/>
      <c r="F545" s="85"/>
      <c r="G545" s="160"/>
      <c r="H545" s="85"/>
      <c r="I545" s="91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>
      <c r="A546" s="85"/>
      <c r="B546" s="85"/>
      <c r="C546" s="85"/>
      <c r="D546" s="85"/>
      <c r="E546" s="85"/>
      <c r="F546" s="85"/>
      <c r="G546" s="160"/>
      <c r="H546" s="85"/>
      <c r="I546" s="91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>
      <c r="A547" s="85"/>
      <c r="B547" s="85"/>
      <c r="C547" s="85"/>
      <c r="D547" s="85"/>
      <c r="E547" s="85"/>
      <c r="F547" s="85"/>
      <c r="G547" s="160"/>
      <c r="H547" s="85"/>
      <c r="I547" s="91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>
      <c r="A548" s="85"/>
      <c r="B548" s="85"/>
      <c r="C548" s="85"/>
      <c r="D548" s="85"/>
      <c r="E548" s="85"/>
      <c r="F548" s="85"/>
      <c r="G548" s="160"/>
      <c r="H548" s="85"/>
      <c r="I548" s="91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>
      <c r="A549" s="85"/>
      <c r="B549" s="85"/>
      <c r="C549" s="85"/>
      <c r="D549" s="85"/>
      <c r="E549" s="85"/>
      <c r="F549" s="85"/>
      <c r="G549" s="160"/>
      <c r="H549" s="85"/>
      <c r="I549" s="91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>
      <c r="A550" s="85"/>
      <c r="B550" s="85"/>
      <c r="C550" s="85"/>
      <c r="D550" s="85"/>
      <c r="E550" s="85"/>
      <c r="F550" s="85"/>
      <c r="G550" s="160"/>
      <c r="H550" s="85"/>
      <c r="I550" s="91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>
      <c r="A551" s="85"/>
      <c r="B551" s="85"/>
      <c r="C551" s="85"/>
      <c r="D551" s="85"/>
      <c r="E551" s="85"/>
      <c r="F551" s="85"/>
      <c r="G551" s="160"/>
      <c r="H551" s="85"/>
      <c r="I551" s="91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>
      <c r="A552" s="85"/>
      <c r="B552" s="85"/>
      <c r="C552" s="85"/>
      <c r="D552" s="85"/>
      <c r="E552" s="85"/>
      <c r="F552" s="85"/>
      <c r="G552" s="160"/>
      <c r="H552" s="85"/>
      <c r="I552" s="91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>
      <c r="A553" s="85"/>
      <c r="B553" s="85"/>
      <c r="C553" s="85"/>
      <c r="D553" s="85"/>
      <c r="E553" s="85"/>
      <c r="F553" s="85"/>
      <c r="G553" s="160"/>
      <c r="H553" s="85"/>
      <c r="I553" s="91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>
      <c r="A554" s="85"/>
      <c r="B554" s="85"/>
      <c r="C554" s="85"/>
      <c r="D554" s="85"/>
      <c r="E554" s="85"/>
      <c r="F554" s="85"/>
      <c r="G554" s="160"/>
      <c r="H554" s="85"/>
      <c r="I554" s="91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>
      <c r="A555" s="85"/>
      <c r="B555" s="85"/>
      <c r="C555" s="85"/>
      <c r="D555" s="85"/>
      <c r="E555" s="85"/>
      <c r="F555" s="85"/>
      <c r="G555" s="160"/>
      <c r="H555" s="85"/>
      <c r="I555" s="91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>
      <c r="A556" s="85"/>
      <c r="B556" s="85"/>
      <c r="C556" s="85"/>
      <c r="D556" s="85"/>
      <c r="E556" s="85"/>
      <c r="F556" s="85"/>
      <c r="G556" s="160"/>
      <c r="H556" s="85"/>
      <c r="I556" s="91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>
      <c r="A557" s="85"/>
      <c r="B557" s="85"/>
      <c r="C557" s="85"/>
      <c r="D557" s="85"/>
      <c r="E557" s="85"/>
      <c r="F557" s="85"/>
      <c r="G557" s="160"/>
      <c r="H557" s="85"/>
      <c r="I557" s="91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>
      <c r="A558" s="85"/>
      <c r="B558" s="85"/>
      <c r="C558" s="85"/>
      <c r="D558" s="85"/>
      <c r="E558" s="85"/>
      <c r="F558" s="85"/>
      <c r="G558" s="160"/>
      <c r="H558" s="85"/>
      <c r="I558" s="91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>
      <c r="A559" s="85"/>
      <c r="B559" s="85"/>
      <c r="C559" s="85"/>
      <c r="D559" s="85"/>
      <c r="E559" s="85"/>
      <c r="F559" s="85"/>
      <c r="G559" s="160"/>
      <c r="H559" s="85"/>
      <c r="I559" s="91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>
      <c r="A560" s="85"/>
      <c r="B560" s="85"/>
      <c r="C560" s="85"/>
      <c r="D560" s="85"/>
      <c r="E560" s="85"/>
      <c r="F560" s="85"/>
      <c r="G560" s="160"/>
      <c r="H560" s="85"/>
      <c r="I560" s="91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>
      <c r="A561" s="85"/>
      <c r="B561" s="85"/>
      <c r="C561" s="85"/>
      <c r="D561" s="85"/>
      <c r="E561" s="85"/>
      <c r="F561" s="85"/>
      <c r="G561" s="160"/>
      <c r="H561" s="85"/>
      <c r="I561" s="91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>
      <c r="A562" s="85"/>
      <c r="B562" s="85"/>
      <c r="C562" s="85"/>
      <c r="D562" s="85"/>
      <c r="E562" s="85"/>
      <c r="F562" s="85"/>
      <c r="G562" s="160"/>
      <c r="H562" s="85"/>
      <c r="I562" s="91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>
      <c r="A563" s="85"/>
      <c r="B563" s="85"/>
      <c r="C563" s="85"/>
      <c r="D563" s="85"/>
      <c r="E563" s="85"/>
      <c r="F563" s="85"/>
      <c r="G563" s="160"/>
      <c r="H563" s="85"/>
      <c r="I563" s="91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>
      <c r="A564" s="85"/>
      <c r="B564" s="85"/>
      <c r="C564" s="85"/>
      <c r="D564" s="85"/>
      <c r="E564" s="85"/>
      <c r="F564" s="85"/>
      <c r="G564" s="160"/>
      <c r="H564" s="85"/>
      <c r="I564" s="91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>
      <c r="A565" s="85"/>
      <c r="B565" s="85"/>
      <c r="C565" s="85"/>
      <c r="D565" s="85"/>
      <c r="E565" s="85"/>
      <c r="F565" s="85"/>
      <c r="G565" s="160"/>
      <c r="H565" s="85"/>
      <c r="I565" s="91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>
      <c r="A566" s="85"/>
      <c r="B566" s="85"/>
      <c r="C566" s="85"/>
      <c r="D566" s="85"/>
      <c r="E566" s="85"/>
      <c r="F566" s="85"/>
      <c r="G566" s="160"/>
      <c r="H566" s="85"/>
      <c r="I566" s="91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>
      <c r="A567" s="85"/>
      <c r="B567" s="85"/>
      <c r="C567" s="85"/>
      <c r="D567" s="85"/>
      <c r="E567" s="85"/>
      <c r="F567" s="85"/>
      <c r="G567" s="160"/>
      <c r="H567" s="85"/>
      <c r="I567" s="91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>
      <c r="A568" s="85"/>
      <c r="B568" s="85"/>
      <c r="C568" s="85"/>
      <c r="D568" s="85"/>
      <c r="E568" s="85"/>
      <c r="F568" s="85"/>
      <c r="G568" s="160"/>
      <c r="H568" s="85"/>
      <c r="I568" s="91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>
      <c r="A569" s="85"/>
      <c r="B569" s="85"/>
      <c r="C569" s="85"/>
      <c r="D569" s="85"/>
      <c r="E569" s="85"/>
      <c r="F569" s="85"/>
      <c r="G569" s="160"/>
      <c r="H569" s="85"/>
      <c r="I569" s="91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>
      <c r="A570" s="85"/>
      <c r="B570" s="85"/>
      <c r="C570" s="85"/>
      <c r="D570" s="85"/>
      <c r="E570" s="85"/>
      <c r="F570" s="85"/>
      <c r="G570" s="160"/>
      <c r="H570" s="85"/>
      <c r="I570" s="91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>
      <c r="A571" s="85"/>
      <c r="B571" s="85"/>
      <c r="C571" s="85"/>
      <c r="D571" s="85"/>
      <c r="E571" s="85"/>
      <c r="F571" s="85"/>
      <c r="G571" s="160"/>
      <c r="H571" s="85"/>
      <c r="I571" s="91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>
      <c r="A572" s="85"/>
      <c r="B572" s="85"/>
      <c r="C572" s="85"/>
      <c r="D572" s="85"/>
      <c r="E572" s="85"/>
      <c r="F572" s="85"/>
      <c r="G572" s="160"/>
      <c r="H572" s="85"/>
      <c r="I572" s="91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>
      <c r="A573" s="85"/>
      <c r="B573" s="85"/>
      <c r="C573" s="85"/>
      <c r="D573" s="85"/>
      <c r="E573" s="85"/>
      <c r="F573" s="85"/>
      <c r="G573" s="160"/>
      <c r="H573" s="85"/>
      <c r="I573" s="91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>
      <c r="A574" s="85"/>
      <c r="B574" s="85"/>
      <c r="C574" s="85"/>
      <c r="D574" s="85"/>
      <c r="E574" s="85"/>
      <c r="F574" s="85"/>
      <c r="G574" s="160"/>
      <c r="H574" s="85"/>
      <c r="I574" s="91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>
      <c r="A575" s="85"/>
      <c r="B575" s="85"/>
      <c r="C575" s="85"/>
      <c r="D575" s="85"/>
      <c r="E575" s="85"/>
      <c r="F575" s="85"/>
      <c r="G575" s="160"/>
      <c r="H575" s="85"/>
      <c r="I575" s="91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>
      <c r="A576" s="85"/>
      <c r="B576" s="85"/>
      <c r="C576" s="85"/>
      <c r="D576" s="85"/>
      <c r="E576" s="85"/>
      <c r="F576" s="85"/>
      <c r="G576" s="160"/>
      <c r="H576" s="85"/>
      <c r="I576" s="91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>
      <c r="A577" s="85"/>
      <c r="B577" s="85"/>
      <c r="C577" s="85"/>
      <c r="D577" s="85"/>
      <c r="E577" s="85"/>
      <c r="F577" s="85"/>
      <c r="G577" s="160"/>
      <c r="H577" s="85"/>
      <c r="I577" s="91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>
      <c r="A578" s="85"/>
      <c r="B578" s="85"/>
      <c r="C578" s="85"/>
      <c r="D578" s="85"/>
      <c r="E578" s="85"/>
      <c r="F578" s="85"/>
      <c r="G578" s="160"/>
      <c r="H578" s="85"/>
      <c r="I578" s="91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>
      <c r="A579" s="85"/>
      <c r="B579" s="85"/>
      <c r="C579" s="85"/>
      <c r="D579" s="85"/>
      <c r="E579" s="85"/>
      <c r="F579" s="85"/>
      <c r="G579" s="160"/>
      <c r="H579" s="85"/>
      <c r="I579" s="91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>
      <c r="A580" s="85"/>
      <c r="B580" s="85"/>
      <c r="C580" s="85"/>
      <c r="D580" s="85"/>
      <c r="E580" s="85"/>
      <c r="F580" s="85"/>
      <c r="G580" s="160"/>
      <c r="H580" s="85"/>
      <c r="I580" s="91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>
      <c r="A581" s="85"/>
      <c r="B581" s="85"/>
      <c r="C581" s="85"/>
      <c r="D581" s="85"/>
      <c r="E581" s="85"/>
      <c r="F581" s="85"/>
      <c r="G581" s="160"/>
      <c r="H581" s="85"/>
      <c r="I581" s="91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>
      <c r="A582" s="85"/>
      <c r="B582" s="85"/>
      <c r="C582" s="85"/>
      <c r="D582" s="85"/>
      <c r="E582" s="85"/>
      <c r="F582" s="85"/>
      <c r="G582" s="160"/>
      <c r="H582" s="85"/>
      <c r="I582" s="91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>
      <c r="A583" s="85"/>
      <c r="B583" s="85"/>
      <c r="C583" s="85"/>
      <c r="D583" s="85"/>
      <c r="E583" s="85"/>
      <c r="F583" s="85"/>
      <c r="G583" s="160"/>
      <c r="H583" s="85"/>
      <c r="I583" s="91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>
      <c r="A584" s="85"/>
      <c r="B584" s="85"/>
      <c r="C584" s="85"/>
      <c r="D584" s="85"/>
      <c r="E584" s="85"/>
      <c r="F584" s="85"/>
      <c r="G584" s="160"/>
      <c r="H584" s="85"/>
      <c r="I584" s="91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>
      <c r="A585" s="85"/>
      <c r="B585" s="85"/>
      <c r="C585" s="85"/>
      <c r="D585" s="85"/>
      <c r="E585" s="85"/>
      <c r="F585" s="85"/>
      <c r="G585" s="160"/>
      <c r="H585" s="85"/>
      <c r="I585" s="91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>
      <c r="A586" s="85"/>
      <c r="B586" s="85"/>
      <c r="C586" s="85"/>
      <c r="D586" s="85"/>
      <c r="E586" s="85"/>
      <c r="F586" s="85"/>
      <c r="G586" s="160"/>
      <c r="H586" s="85"/>
      <c r="I586" s="91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>
      <c r="A587" s="85"/>
      <c r="B587" s="85"/>
      <c r="C587" s="85"/>
      <c r="D587" s="85"/>
      <c r="E587" s="85"/>
      <c r="F587" s="85"/>
      <c r="G587" s="160"/>
      <c r="H587" s="85"/>
      <c r="I587" s="91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>
      <c r="A588" s="85"/>
      <c r="B588" s="85"/>
      <c r="C588" s="85"/>
      <c r="D588" s="85"/>
      <c r="E588" s="85"/>
      <c r="F588" s="85"/>
      <c r="G588" s="160"/>
      <c r="H588" s="85"/>
      <c r="I588" s="91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>
      <c r="A589" s="85"/>
      <c r="B589" s="85"/>
      <c r="C589" s="85"/>
      <c r="D589" s="85"/>
      <c r="E589" s="85"/>
      <c r="F589" s="85"/>
      <c r="G589" s="160"/>
      <c r="H589" s="85"/>
      <c r="I589" s="91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>
      <c r="A590" s="85"/>
      <c r="B590" s="85"/>
      <c r="C590" s="85"/>
      <c r="D590" s="85"/>
      <c r="E590" s="85"/>
      <c r="F590" s="85"/>
      <c r="G590" s="160"/>
      <c r="H590" s="85"/>
      <c r="I590" s="91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>
      <c r="A591" s="85"/>
      <c r="B591" s="85"/>
      <c r="C591" s="85"/>
      <c r="D591" s="85"/>
      <c r="E591" s="85"/>
      <c r="F591" s="85"/>
      <c r="G591" s="160"/>
      <c r="H591" s="85"/>
      <c r="I591" s="91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>
      <c r="A592" s="85"/>
      <c r="B592" s="85"/>
      <c r="C592" s="85"/>
      <c r="D592" s="85"/>
      <c r="E592" s="85"/>
      <c r="F592" s="85"/>
      <c r="G592" s="160"/>
      <c r="H592" s="85"/>
      <c r="I592" s="91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>
      <c r="A593" s="85"/>
      <c r="B593" s="85"/>
      <c r="C593" s="85"/>
      <c r="D593" s="85"/>
      <c r="E593" s="85"/>
      <c r="F593" s="85"/>
      <c r="G593" s="160"/>
      <c r="H593" s="85"/>
      <c r="I593" s="91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>
      <c r="A594" s="85"/>
      <c r="B594" s="85"/>
      <c r="C594" s="85"/>
      <c r="D594" s="85"/>
      <c r="E594" s="85"/>
      <c r="F594" s="85"/>
      <c r="G594" s="160"/>
      <c r="H594" s="85"/>
      <c r="I594" s="91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>
      <c r="A595" s="85"/>
      <c r="B595" s="85"/>
      <c r="C595" s="85"/>
      <c r="D595" s="85"/>
      <c r="E595" s="85"/>
      <c r="F595" s="85"/>
      <c r="G595" s="160"/>
      <c r="H595" s="85"/>
      <c r="I595" s="91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>
      <c r="A596" s="85"/>
      <c r="B596" s="85"/>
      <c r="C596" s="85"/>
      <c r="D596" s="85"/>
      <c r="E596" s="85"/>
      <c r="F596" s="85"/>
      <c r="G596" s="160"/>
      <c r="H596" s="85"/>
      <c r="I596" s="91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>
      <c r="A597" s="85"/>
      <c r="B597" s="85"/>
      <c r="C597" s="85"/>
      <c r="D597" s="85"/>
      <c r="E597" s="85"/>
      <c r="F597" s="85"/>
      <c r="G597" s="160"/>
      <c r="H597" s="85"/>
      <c r="I597" s="91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>
      <c r="A598" s="85"/>
      <c r="B598" s="85"/>
      <c r="C598" s="85"/>
      <c r="D598" s="85"/>
      <c r="E598" s="85"/>
      <c r="F598" s="85"/>
      <c r="G598" s="160"/>
      <c r="H598" s="85"/>
      <c r="I598" s="91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>
      <c r="A599" s="85"/>
      <c r="B599" s="85"/>
      <c r="C599" s="85"/>
      <c r="D599" s="85"/>
      <c r="E599" s="85"/>
      <c r="F599" s="85"/>
      <c r="G599" s="160"/>
      <c r="H599" s="85"/>
      <c r="I599" s="91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>
      <c r="A600" s="85"/>
      <c r="B600" s="85"/>
      <c r="C600" s="85"/>
      <c r="D600" s="85"/>
      <c r="E600" s="85"/>
      <c r="F600" s="85"/>
      <c r="G600" s="160"/>
      <c r="H600" s="85"/>
      <c r="I600" s="91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>
      <c r="A601" s="85"/>
      <c r="B601" s="85"/>
      <c r="C601" s="85"/>
      <c r="D601" s="85"/>
      <c r="E601" s="85"/>
      <c r="F601" s="85"/>
      <c r="G601" s="160"/>
      <c r="H601" s="85"/>
      <c r="I601" s="91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>
      <c r="A602" s="85"/>
      <c r="B602" s="85"/>
      <c r="C602" s="85"/>
      <c r="D602" s="85"/>
      <c r="E602" s="85"/>
      <c r="F602" s="85"/>
      <c r="G602" s="160"/>
      <c r="H602" s="85"/>
      <c r="I602" s="91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>
      <c r="A603" s="85"/>
      <c r="B603" s="85"/>
      <c r="C603" s="85"/>
      <c r="D603" s="85"/>
      <c r="E603" s="85"/>
      <c r="F603" s="85"/>
      <c r="G603" s="160"/>
      <c r="H603" s="85"/>
      <c r="I603" s="91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>
      <c r="A604" s="85"/>
      <c r="B604" s="85"/>
      <c r="C604" s="85"/>
      <c r="D604" s="85"/>
      <c r="E604" s="85"/>
      <c r="F604" s="85"/>
      <c r="G604" s="160"/>
      <c r="H604" s="85"/>
      <c r="I604" s="91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>
      <c r="A605" s="85"/>
      <c r="B605" s="85"/>
      <c r="C605" s="85"/>
      <c r="D605" s="85"/>
      <c r="E605" s="85"/>
      <c r="F605" s="85"/>
      <c r="G605" s="160"/>
      <c r="H605" s="85"/>
      <c r="I605" s="91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>
      <c r="A606" s="85"/>
      <c r="B606" s="85"/>
      <c r="C606" s="85"/>
      <c r="D606" s="85"/>
      <c r="E606" s="85"/>
      <c r="F606" s="85"/>
      <c r="G606" s="160"/>
      <c r="H606" s="85"/>
      <c r="I606" s="91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>
      <c r="A607" s="85"/>
      <c r="B607" s="85"/>
      <c r="C607" s="85"/>
      <c r="D607" s="85"/>
      <c r="E607" s="85"/>
      <c r="F607" s="85"/>
      <c r="G607" s="160"/>
      <c r="H607" s="85"/>
      <c r="I607" s="91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>
      <c r="A608" s="85"/>
      <c r="B608" s="85"/>
      <c r="C608" s="85"/>
      <c r="D608" s="85"/>
      <c r="E608" s="85"/>
      <c r="F608" s="85"/>
      <c r="G608" s="160"/>
      <c r="H608" s="85"/>
      <c r="I608" s="91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>
      <c r="A609" s="85"/>
      <c r="B609" s="85"/>
      <c r="C609" s="85"/>
      <c r="D609" s="85"/>
      <c r="E609" s="85"/>
      <c r="F609" s="85"/>
      <c r="G609" s="160"/>
      <c r="H609" s="85"/>
      <c r="I609" s="91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>
      <c r="A610" s="85"/>
      <c r="B610" s="85"/>
      <c r="C610" s="85"/>
      <c r="D610" s="85"/>
      <c r="E610" s="85"/>
      <c r="F610" s="85"/>
      <c r="G610" s="160"/>
      <c r="H610" s="85"/>
      <c r="I610" s="91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>
      <c r="A611" s="85"/>
      <c r="B611" s="85"/>
      <c r="C611" s="85"/>
      <c r="D611" s="85"/>
      <c r="E611" s="85"/>
      <c r="F611" s="85"/>
      <c r="G611" s="160"/>
      <c r="H611" s="85"/>
      <c r="I611" s="91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>
      <c r="A612" s="85"/>
      <c r="B612" s="85"/>
      <c r="C612" s="85"/>
      <c r="D612" s="85"/>
      <c r="E612" s="85"/>
      <c r="F612" s="85"/>
      <c r="G612" s="160"/>
      <c r="H612" s="85"/>
      <c r="I612" s="91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>
      <c r="A613" s="85"/>
      <c r="B613" s="85"/>
      <c r="C613" s="85"/>
      <c r="D613" s="85"/>
      <c r="E613" s="85"/>
      <c r="F613" s="85"/>
      <c r="G613" s="160"/>
      <c r="H613" s="85"/>
      <c r="I613" s="91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>
      <c r="A614" s="85"/>
      <c r="B614" s="85"/>
      <c r="C614" s="85"/>
      <c r="D614" s="85"/>
      <c r="E614" s="85"/>
      <c r="F614" s="85"/>
      <c r="G614" s="160"/>
      <c r="H614" s="85"/>
      <c r="I614" s="91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>
      <c r="A615" s="85"/>
      <c r="B615" s="85"/>
      <c r="C615" s="85"/>
      <c r="D615" s="85"/>
      <c r="E615" s="85"/>
      <c r="F615" s="85"/>
      <c r="G615" s="160"/>
      <c r="H615" s="85"/>
      <c r="I615" s="91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>
      <c r="A616" s="85"/>
      <c r="B616" s="85"/>
      <c r="C616" s="85"/>
      <c r="D616" s="85"/>
      <c r="E616" s="85"/>
      <c r="F616" s="85"/>
      <c r="G616" s="160"/>
      <c r="H616" s="85"/>
      <c r="I616" s="91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>
      <c r="A617" s="85"/>
      <c r="B617" s="85"/>
      <c r="C617" s="85"/>
      <c r="D617" s="85"/>
      <c r="E617" s="85"/>
      <c r="F617" s="85"/>
      <c r="G617" s="160"/>
      <c r="H617" s="85"/>
      <c r="I617" s="91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>
      <c r="A618" s="85"/>
      <c r="B618" s="85"/>
      <c r="C618" s="85"/>
      <c r="D618" s="85"/>
      <c r="E618" s="85"/>
      <c r="F618" s="85"/>
      <c r="G618" s="160"/>
      <c r="H618" s="85"/>
      <c r="I618" s="91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>
      <c r="A619" s="85"/>
      <c r="B619" s="85"/>
      <c r="C619" s="85"/>
      <c r="D619" s="85"/>
      <c r="E619" s="85"/>
      <c r="F619" s="85"/>
      <c r="G619" s="160"/>
      <c r="H619" s="85"/>
      <c r="I619" s="91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>
      <c r="A620" s="85"/>
      <c r="B620" s="85"/>
      <c r="C620" s="85"/>
      <c r="D620" s="85"/>
      <c r="E620" s="85"/>
      <c r="F620" s="85"/>
      <c r="G620" s="160"/>
      <c r="H620" s="85"/>
      <c r="I620" s="91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>
      <c r="A621" s="85"/>
      <c r="B621" s="85"/>
      <c r="C621" s="85"/>
      <c r="D621" s="85"/>
      <c r="E621" s="85"/>
      <c r="F621" s="85"/>
      <c r="G621" s="160"/>
      <c r="H621" s="85"/>
      <c r="I621" s="91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>
      <c r="A622" s="85"/>
      <c r="B622" s="85"/>
      <c r="C622" s="85"/>
      <c r="D622" s="85"/>
      <c r="E622" s="85"/>
      <c r="F622" s="85"/>
      <c r="G622" s="160"/>
      <c r="H622" s="85"/>
      <c r="I622" s="91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>
      <c r="A623" s="85"/>
      <c r="B623" s="85"/>
      <c r="C623" s="85"/>
      <c r="D623" s="85"/>
      <c r="E623" s="85"/>
      <c r="F623" s="85"/>
      <c r="G623" s="160"/>
      <c r="H623" s="85"/>
      <c r="I623" s="91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>
      <c r="A624" s="85"/>
      <c r="B624" s="85"/>
      <c r="C624" s="85"/>
      <c r="D624" s="85"/>
      <c r="E624" s="85"/>
      <c r="F624" s="85"/>
      <c r="G624" s="160"/>
      <c r="H624" s="85"/>
      <c r="I624" s="91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>
      <c r="A625" s="85"/>
      <c r="B625" s="85"/>
      <c r="C625" s="85"/>
      <c r="D625" s="85"/>
      <c r="E625" s="85"/>
      <c r="F625" s="85"/>
      <c r="G625" s="160"/>
      <c r="H625" s="85"/>
      <c r="I625" s="91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>
      <c r="A626" s="85"/>
      <c r="B626" s="85"/>
      <c r="C626" s="85"/>
      <c r="D626" s="85"/>
      <c r="E626" s="85"/>
      <c r="F626" s="85"/>
      <c r="G626" s="160"/>
      <c r="H626" s="85"/>
      <c r="I626" s="91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>
      <c r="A627" s="85"/>
      <c r="B627" s="85"/>
      <c r="C627" s="85"/>
      <c r="D627" s="85"/>
      <c r="E627" s="85"/>
      <c r="F627" s="85"/>
      <c r="G627" s="160"/>
      <c r="H627" s="85"/>
      <c r="I627" s="91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>
      <c r="A628" s="85"/>
      <c r="B628" s="85"/>
      <c r="C628" s="85"/>
      <c r="D628" s="85"/>
      <c r="E628" s="85"/>
      <c r="F628" s="85"/>
      <c r="G628" s="160"/>
      <c r="H628" s="85"/>
      <c r="I628" s="91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>
      <c r="A629" s="85"/>
      <c r="B629" s="85"/>
      <c r="C629" s="85"/>
      <c r="D629" s="85"/>
      <c r="E629" s="85"/>
      <c r="F629" s="85"/>
      <c r="G629" s="160"/>
      <c r="H629" s="85"/>
      <c r="I629" s="91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>
      <c r="A630" s="85"/>
      <c r="B630" s="85"/>
      <c r="C630" s="85"/>
      <c r="D630" s="85"/>
      <c r="E630" s="85"/>
      <c r="F630" s="85"/>
      <c r="G630" s="160"/>
      <c r="H630" s="85"/>
      <c r="I630" s="91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>
      <c r="A631" s="85"/>
      <c r="B631" s="85"/>
      <c r="C631" s="85"/>
      <c r="D631" s="85"/>
      <c r="E631" s="85"/>
      <c r="F631" s="85"/>
      <c r="G631" s="160"/>
      <c r="H631" s="85"/>
      <c r="I631" s="91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>
      <c r="A632" s="85"/>
      <c r="B632" s="85"/>
      <c r="C632" s="85"/>
      <c r="D632" s="85"/>
      <c r="E632" s="85"/>
      <c r="F632" s="85"/>
      <c r="G632" s="160"/>
      <c r="H632" s="85"/>
      <c r="I632" s="91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>
      <c r="A633" s="85"/>
      <c r="B633" s="85"/>
      <c r="C633" s="85"/>
      <c r="D633" s="85"/>
      <c r="E633" s="85"/>
      <c r="F633" s="85"/>
      <c r="G633" s="160"/>
      <c r="H633" s="85"/>
      <c r="I633" s="91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>
      <c r="A634" s="85"/>
      <c r="B634" s="85"/>
      <c r="C634" s="85"/>
      <c r="D634" s="85"/>
      <c r="E634" s="85"/>
      <c r="F634" s="85"/>
      <c r="G634" s="160"/>
      <c r="H634" s="85"/>
      <c r="I634" s="91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>
      <c r="A635" s="85"/>
      <c r="B635" s="85"/>
      <c r="C635" s="85"/>
      <c r="D635" s="85"/>
      <c r="E635" s="85"/>
      <c r="F635" s="85"/>
      <c r="G635" s="160"/>
      <c r="H635" s="85"/>
      <c r="I635" s="91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>
      <c r="A636" s="85"/>
      <c r="B636" s="85"/>
      <c r="C636" s="85"/>
      <c r="D636" s="85"/>
      <c r="E636" s="85"/>
      <c r="F636" s="85"/>
      <c r="G636" s="160"/>
      <c r="H636" s="85"/>
      <c r="I636" s="91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>
      <c r="A637" s="85"/>
      <c r="B637" s="85"/>
      <c r="C637" s="85"/>
      <c r="D637" s="85"/>
      <c r="E637" s="85"/>
      <c r="F637" s="85"/>
      <c r="G637" s="160"/>
      <c r="H637" s="85"/>
      <c r="I637" s="91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>
      <c r="A638" s="85"/>
      <c r="B638" s="85"/>
      <c r="C638" s="85"/>
      <c r="D638" s="85"/>
      <c r="E638" s="85"/>
      <c r="F638" s="85"/>
      <c r="G638" s="160"/>
      <c r="H638" s="85"/>
      <c r="I638" s="91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>
      <c r="A639" s="85"/>
      <c r="B639" s="85"/>
      <c r="C639" s="85"/>
      <c r="D639" s="85"/>
      <c r="E639" s="85"/>
      <c r="F639" s="85"/>
      <c r="G639" s="160"/>
      <c r="H639" s="85"/>
      <c r="I639" s="91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>
      <c r="A640" s="85"/>
      <c r="B640" s="85"/>
      <c r="C640" s="85"/>
      <c r="D640" s="85"/>
      <c r="E640" s="85"/>
      <c r="F640" s="85"/>
      <c r="G640" s="160"/>
      <c r="H640" s="85"/>
      <c r="I640" s="91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>
      <c r="A641" s="85"/>
      <c r="B641" s="85"/>
      <c r="C641" s="85"/>
      <c r="D641" s="85"/>
      <c r="E641" s="85"/>
      <c r="F641" s="85"/>
      <c r="G641" s="160"/>
      <c r="H641" s="85"/>
      <c r="I641" s="91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>
      <c r="A642" s="85"/>
      <c r="B642" s="85"/>
      <c r="C642" s="85"/>
      <c r="D642" s="85"/>
      <c r="E642" s="85"/>
      <c r="F642" s="85"/>
      <c r="G642" s="160"/>
      <c r="H642" s="85"/>
      <c r="I642" s="91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>
      <c r="A643" s="85"/>
      <c r="B643" s="85"/>
      <c r="C643" s="85"/>
      <c r="D643" s="85"/>
      <c r="E643" s="85"/>
      <c r="F643" s="85"/>
      <c r="G643" s="160"/>
      <c r="H643" s="85"/>
      <c r="I643" s="91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>
      <c r="A644" s="85"/>
      <c r="B644" s="85"/>
      <c r="C644" s="85"/>
      <c r="D644" s="85"/>
      <c r="E644" s="85"/>
      <c r="F644" s="85"/>
      <c r="G644" s="160"/>
      <c r="H644" s="85"/>
      <c r="I644" s="91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>
      <c r="A645" s="85"/>
      <c r="B645" s="85"/>
      <c r="C645" s="85"/>
      <c r="D645" s="85"/>
      <c r="E645" s="85"/>
      <c r="F645" s="85"/>
      <c r="G645" s="160"/>
      <c r="H645" s="85"/>
      <c r="I645" s="91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>
      <c r="A646" s="85"/>
      <c r="B646" s="85"/>
      <c r="C646" s="85"/>
      <c r="D646" s="85"/>
      <c r="E646" s="85"/>
      <c r="F646" s="85"/>
      <c r="G646" s="160"/>
      <c r="H646" s="85"/>
      <c r="I646" s="91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>
      <c r="A647" s="85"/>
      <c r="B647" s="85"/>
      <c r="C647" s="85"/>
      <c r="D647" s="85"/>
      <c r="E647" s="85"/>
      <c r="F647" s="85"/>
      <c r="G647" s="160"/>
      <c r="H647" s="85"/>
      <c r="I647" s="91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>
      <c r="A648" s="85"/>
      <c r="B648" s="85"/>
      <c r="C648" s="85"/>
      <c r="D648" s="85"/>
      <c r="E648" s="85"/>
      <c r="F648" s="85"/>
      <c r="G648" s="160"/>
      <c r="H648" s="85"/>
      <c r="I648" s="91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>
      <c r="A649" s="85"/>
      <c r="B649" s="85"/>
      <c r="C649" s="85"/>
      <c r="D649" s="85"/>
      <c r="E649" s="85"/>
      <c r="F649" s="85"/>
      <c r="G649" s="160"/>
      <c r="H649" s="85"/>
      <c r="I649" s="91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>
      <c r="A650" s="85"/>
      <c r="B650" s="85"/>
      <c r="C650" s="85"/>
      <c r="D650" s="85"/>
      <c r="E650" s="85"/>
      <c r="F650" s="85"/>
      <c r="G650" s="160"/>
      <c r="H650" s="85"/>
      <c r="I650" s="91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>
      <c r="A651" s="85"/>
      <c r="B651" s="85"/>
      <c r="C651" s="85"/>
      <c r="D651" s="85"/>
      <c r="E651" s="85"/>
      <c r="F651" s="85"/>
      <c r="G651" s="160"/>
      <c r="H651" s="85"/>
      <c r="I651" s="91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>
      <c r="A652" s="85"/>
      <c r="B652" s="85"/>
      <c r="C652" s="85"/>
      <c r="D652" s="85"/>
      <c r="E652" s="85"/>
      <c r="F652" s="85"/>
      <c r="G652" s="160"/>
      <c r="H652" s="85"/>
      <c r="I652" s="91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>
      <c r="A653" s="85"/>
      <c r="B653" s="85"/>
      <c r="C653" s="85"/>
      <c r="D653" s="85"/>
      <c r="E653" s="85"/>
      <c r="F653" s="85"/>
      <c r="G653" s="160"/>
      <c r="H653" s="85"/>
      <c r="I653" s="91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>
      <c r="A654" s="85"/>
      <c r="B654" s="85"/>
      <c r="C654" s="85"/>
      <c r="D654" s="85"/>
      <c r="E654" s="85"/>
      <c r="F654" s="85"/>
      <c r="G654" s="160"/>
      <c r="H654" s="85"/>
      <c r="I654" s="91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>
      <c r="A655" s="85"/>
      <c r="B655" s="85"/>
      <c r="C655" s="85"/>
      <c r="D655" s="85"/>
      <c r="E655" s="85"/>
      <c r="F655" s="85"/>
      <c r="G655" s="160"/>
      <c r="H655" s="85"/>
      <c r="I655" s="91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>
      <c r="A656" s="85"/>
      <c r="B656" s="85"/>
      <c r="C656" s="85"/>
      <c r="D656" s="85"/>
      <c r="E656" s="85"/>
      <c r="F656" s="85"/>
      <c r="G656" s="160"/>
      <c r="H656" s="85"/>
      <c r="I656" s="91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>
      <c r="A657" s="85"/>
      <c r="B657" s="85"/>
      <c r="C657" s="85"/>
      <c r="D657" s="85"/>
      <c r="E657" s="85"/>
      <c r="F657" s="85"/>
      <c r="G657" s="160"/>
      <c r="H657" s="85"/>
      <c r="I657" s="91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>
      <c r="A658" s="85"/>
      <c r="B658" s="85"/>
      <c r="C658" s="85"/>
      <c r="D658" s="85"/>
      <c r="E658" s="85"/>
      <c r="F658" s="85"/>
      <c r="G658" s="160"/>
      <c r="H658" s="85"/>
      <c r="I658" s="91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>
      <c r="A659" s="85"/>
      <c r="B659" s="85"/>
      <c r="C659" s="85"/>
      <c r="D659" s="85"/>
      <c r="E659" s="85"/>
      <c r="F659" s="85"/>
      <c r="G659" s="160"/>
      <c r="H659" s="85"/>
      <c r="I659" s="91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>
      <c r="A660" s="85"/>
      <c r="B660" s="85"/>
      <c r="C660" s="85"/>
      <c r="D660" s="85"/>
      <c r="E660" s="85"/>
      <c r="F660" s="85"/>
      <c r="G660" s="160"/>
      <c r="H660" s="85"/>
      <c r="I660" s="91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>
      <c r="A661" s="85"/>
      <c r="B661" s="85"/>
      <c r="C661" s="85"/>
      <c r="D661" s="85"/>
      <c r="E661" s="85"/>
      <c r="F661" s="85"/>
      <c r="G661" s="160"/>
      <c r="H661" s="85"/>
      <c r="I661" s="91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>
      <c r="A662" s="85"/>
      <c r="B662" s="85"/>
      <c r="C662" s="85"/>
      <c r="D662" s="85"/>
      <c r="E662" s="85"/>
      <c r="F662" s="85"/>
      <c r="G662" s="160"/>
      <c r="H662" s="85"/>
      <c r="I662" s="91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>
      <c r="A663" s="85"/>
      <c r="B663" s="85"/>
      <c r="C663" s="85"/>
      <c r="D663" s="85"/>
      <c r="E663" s="85"/>
      <c r="F663" s="85"/>
      <c r="G663" s="160"/>
      <c r="H663" s="85"/>
      <c r="I663" s="91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>
      <c r="A664" s="85"/>
      <c r="B664" s="85"/>
      <c r="C664" s="85"/>
      <c r="D664" s="85"/>
      <c r="E664" s="85"/>
      <c r="F664" s="85"/>
      <c r="G664" s="160"/>
      <c r="H664" s="85"/>
      <c r="I664" s="91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>
      <c r="A665" s="85"/>
      <c r="B665" s="85"/>
      <c r="C665" s="85"/>
      <c r="D665" s="85"/>
      <c r="E665" s="85"/>
      <c r="F665" s="85"/>
      <c r="G665" s="160"/>
      <c r="H665" s="85"/>
      <c r="I665" s="91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>
      <c r="A666" s="85"/>
      <c r="B666" s="85"/>
      <c r="C666" s="85"/>
      <c r="D666" s="85"/>
      <c r="E666" s="85"/>
      <c r="F666" s="85"/>
      <c r="G666" s="160"/>
      <c r="H666" s="85"/>
      <c r="I666" s="91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>
      <c r="A667" s="85"/>
      <c r="B667" s="85"/>
      <c r="C667" s="85"/>
      <c r="D667" s="85"/>
      <c r="E667" s="85"/>
      <c r="F667" s="85"/>
      <c r="G667" s="160"/>
      <c r="H667" s="85"/>
      <c r="I667" s="91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>
      <c r="A668" s="85"/>
      <c r="B668" s="85"/>
      <c r="C668" s="85"/>
      <c r="D668" s="85"/>
      <c r="E668" s="85"/>
      <c r="F668" s="85"/>
      <c r="G668" s="160"/>
      <c r="H668" s="85"/>
      <c r="I668" s="91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>
      <c r="A669" s="85"/>
      <c r="B669" s="85"/>
      <c r="C669" s="85"/>
      <c r="D669" s="85"/>
      <c r="E669" s="85"/>
      <c r="F669" s="85"/>
      <c r="G669" s="160"/>
      <c r="H669" s="85"/>
      <c r="I669" s="91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>
      <c r="A670" s="85"/>
      <c r="B670" s="85"/>
      <c r="C670" s="85"/>
      <c r="D670" s="85"/>
      <c r="E670" s="85"/>
      <c r="F670" s="85"/>
      <c r="G670" s="160"/>
      <c r="H670" s="85"/>
      <c r="I670" s="91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>
      <c r="A671" s="85"/>
      <c r="B671" s="85"/>
      <c r="C671" s="85"/>
      <c r="D671" s="85"/>
      <c r="E671" s="85"/>
      <c r="F671" s="85"/>
      <c r="G671" s="160"/>
      <c r="H671" s="85"/>
      <c r="I671" s="91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>
      <c r="A672" s="85"/>
      <c r="B672" s="85"/>
      <c r="C672" s="85"/>
      <c r="D672" s="85"/>
      <c r="E672" s="85"/>
      <c r="F672" s="85"/>
      <c r="G672" s="160"/>
      <c r="H672" s="85"/>
      <c r="I672" s="91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>
      <c r="A673" s="85"/>
      <c r="B673" s="85"/>
      <c r="C673" s="85"/>
      <c r="D673" s="85"/>
      <c r="E673" s="85"/>
      <c r="F673" s="85"/>
      <c r="G673" s="160"/>
      <c r="H673" s="85"/>
      <c r="I673" s="91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>
      <c r="A674" s="85"/>
      <c r="B674" s="85"/>
      <c r="C674" s="85"/>
      <c r="D674" s="85"/>
      <c r="E674" s="85"/>
      <c r="F674" s="85"/>
      <c r="G674" s="160"/>
      <c r="H674" s="85"/>
      <c r="I674" s="91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>
      <c r="A675" s="85"/>
      <c r="B675" s="85"/>
      <c r="C675" s="85"/>
      <c r="D675" s="85"/>
      <c r="E675" s="85"/>
      <c r="F675" s="85"/>
      <c r="G675" s="160"/>
      <c r="H675" s="85"/>
      <c r="I675" s="91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>
      <c r="A676" s="85"/>
      <c r="B676" s="85"/>
      <c r="C676" s="85"/>
      <c r="D676" s="85"/>
      <c r="E676" s="85"/>
      <c r="F676" s="85"/>
      <c r="G676" s="160"/>
      <c r="H676" s="85"/>
      <c r="I676" s="91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>
      <c r="A677" s="85"/>
      <c r="B677" s="85"/>
      <c r="C677" s="85"/>
      <c r="D677" s="85"/>
      <c r="E677" s="85"/>
      <c r="F677" s="85"/>
      <c r="G677" s="160"/>
      <c r="H677" s="85"/>
      <c r="I677" s="91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>
      <c r="A678" s="85"/>
      <c r="B678" s="85"/>
      <c r="C678" s="85"/>
      <c r="D678" s="85"/>
      <c r="E678" s="85"/>
      <c r="F678" s="85"/>
      <c r="G678" s="160"/>
      <c r="H678" s="85"/>
      <c r="I678" s="91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>
      <c r="A679" s="85"/>
      <c r="B679" s="85"/>
      <c r="C679" s="85"/>
      <c r="D679" s="85"/>
      <c r="E679" s="85"/>
      <c r="F679" s="85"/>
      <c r="G679" s="160"/>
      <c r="H679" s="85"/>
      <c r="I679" s="91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>
      <c r="A680" s="85"/>
      <c r="B680" s="85"/>
      <c r="C680" s="85"/>
      <c r="D680" s="85"/>
      <c r="E680" s="85"/>
      <c r="F680" s="85"/>
      <c r="G680" s="160"/>
      <c r="H680" s="85"/>
      <c r="I680" s="91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>
      <c r="A681" s="85"/>
      <c r="B681" s="85"/>
      <c r="C681" s="85"/>
      <c r="D681" s="85"/>
      <c r="E681" s="85"/>
      <c r="F681" s="85"/>
      <c r="G681" s="160"/>
      <c r="H681" s="85"/>
      <c r="I681" s="91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>
      <c r="A682" s="85"/>
      <c r="B682" s="85"/>
      <c r="C682" s="85"/>
      <c r="D682" s="85"/>
      <c r="E682" s="85"/>
      <c r="F682" s="85"/>
      <c r="G682" s="160"/>
      <c r="H682" s="85"/>
      <c r="I682" s="91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>
      <c r="A683" s="85"/>
      <c r="B683" s="85"/>
      <c r="C683" s="85"/>
      <c r="D683" s="85"/>
      <c r="E683" s="85"/>
      <c r="F683" s="85"/>
      <c r="G683" s="160"/>
      <c r="H683" s="85"/>
      <c r="I683" s="91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>
      <c r="A684" s="85"/>
      <c r="B684" s="85"/>
      <c r="C684" s="85"/>
      <c r="D684" s="85"/>
      <c r="E684" s="85"/>
      <c r="F684" s="85"/>
      <c r="G684" s="160"/>
      <c r="H684" s="85"/>
      <c r="I684" s="91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>
      <c r="A685" s="85"/>
      <c r="B685" s="85"/>
      <c r="C685" s="85"/>
      <c r="D685" s="85"/>
      <c r="E685" s="85"/>
      <c r="F685" s="85"/>
      <c r="G685" s="160"/>
      <c r="H685" s="85"/>
      <c r="I685" s="91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>
      <c r="A686" s="85"/>
      <c r="B686" s="85"/>
      <c r="C686" s="85"/>
      <c r="D686" s="85"/>
      <c r="E686" s="85"/>
      <c r="F686" s="85"/>
      <c r="G686" s="160"/>
      <c r="H686" s="85"/>
      <c r="I686" s="91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>
      <c r="A687" s="85"/>
      <c r="B687" s="85"/>
      <c r="C687" s="85"/>
      <c r="D687" s="85"/>
      <c r="E687" s="85"/>
      <c r="F687" s="85"/>
      <c r="G687" s="160"/>
      <c r="H687" s="85"/>
      <c r="I687" s="91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>
      <c r="A688" s="85"/>
      <c r="B688" s="85"/>
      <c r="C688" s="85"/>
      <c r="D688" s="85"/>
      <c r="E688" s="85"/>
      <c r="F688" s="85"/>
      <c r="G688" s="160"/>
      <c r="H688" s="85"/>
      <c r="I688" s="91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>
      <c r="A689" s="85"/>
      <c r="B689" s="85"/>
      <c r="C689" s="85"/>
      <c r="D689" s="85"/>
      <c r="E689" s="85"/>
      <c r="F689" s="85"/>
      <c r="G689" s="160"/>
      <c r="H689" s="85"/>
      <c r="I689" s="91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>
      <c r="A690" s="85"/>
      <c r="B690" s="85"/>
      <c r="C690" s="85"/>
      <c r="D690" s="85"/>
      <c r="E690" s="85"/>
      <c r="F690" s="85"/>
      <c r="G690" s="160"/>
      <c r="H690" s="85"/>
      <c r="I690" s="91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>
      <c r="A691" s="85"/>
      <c r="B691" s="85"/>
      <c r="C691" s="85"/>
      <c r="D691" s="85"/>
      <c r="E691" s="85"/>
      <c r="F691" s="85"/>
      <c r="G691" s="160"/>
      <c r="H691" s="85"/>
      <c r="I691" s="91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>
      <c r="A692" s="85"/>
      <c r="B692" s="85"/>
      <c r="C692" s="85"/>
      <c r="D692" s="85"/>
      <c r="E692" s="85"/>
      <c r="F692" s="85"/>
      <c r="G692" s="160"/>
      <c r="H692" s="85"/>
      <c r="I692" s="91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>
      <c r="A693" s="85"/>
      <c r="B693" s="85"/>
      <c r="C693" s="85"/>
      <c r="D693" s="85"/>
      <c r="E693" s="85"/>
      <c r="F693" s="85"/>
      <c r="G693" s="160"/>
      <c r="H693" s="85"/>
      <c r="I693" s="91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>
      <c r="A694" s="85"/>
      <c r="B694" s="85"/>
      <c r="C694" s="85"/>
      <c r="D694" s="85"/>
      <c r="E694" s="85"/>
      <c r="F694" s="85"/>
      <c r="G694" s="160"/>
      <c r="H694" s="85"/>
      <c r="I694" s="91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>
      <c r="A695" s="85"/>
      <c r="B695" s="85"/>
      <c r="C695" s="85"/>
      <c r="D695" s="85"/>
      <c r="E695" s="85"/>
      <c r="F695" s="85"/>
      <c r="G695" s="160"/>
      <c r="H695" s="85"/>
      <c r="I695" s="91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>
      <c r="A696" s="85"/>
      <c r="B696" s="85"/>
      <c r="C696" s="85"/>
      <c r="D696" s="85"/>
      <c r="E696" s="85"/>
      <c r="F696" s="85"/>
      <c r="G696" s="160"/>
      <c r="H696" s="85"/>
      <c r="I696" s="91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>
      <c r="A697" s="85"/>
      <c r="B697" s="85"/>
      <c r="C697" s="85"/>
      <c r="D697" s="85"/>
      <c r="E697" s="85"/>
      <c r="F697" s="85"/>
      <c r="G697" s="160"/>
      <c r="H697" s="85"/>
      <c r="I697" s="91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>
      <c r="A698" s="85"/>
      <c r="B698" s="85"/>
      <c r="C698" s="85"/>
      <c r="D698" s="85"/>
      <c r="E698" s="85"/>
      <c r="F698" s="85"/>
      <c r="G698" s="160"/>
      <c r="H698" s="85"/>
      <c r="I698" s="91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>
      <c r="A699" s="85"/>
      <c r="B699" s="85"/>
      <c r="C699" s="85"/>
      <c r="D699" s="85"/>
      <c r="E699" s="85"/>
      <c r="F699" s="85"/>
      <c r="G699" s="160"/>
      <c r="H699" s="85"/>
      <c r="I699" s="91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>
      <c r="A700" s="85"/>
      <c r="B700" s="85"/>
      <c r="C700" s="85"/>
      <c r="D700" s="85"/>
      <c r="E700" s="85"/>
      <c r="F700" s="85"/>
      <c r="G700" s="160"/>
      <c r="H700" s="85"/>
      <c r="I700" s="91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>
      <c r="A701" s="85"/>
      <c r="B701" s="85"/>
      <c r="C701" s="85"/>
      <c r="D701" s="85"/>
      <c r="E701" s="85"/>
      <c r="F701" s="85"/>
      <c r="G701" s="160"/>
      <c r="H701" s="85"/>
      <c r="I701" s="91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>
      <c r="A702" s="85"/>
      <c r="B702" s="85"/>
      <c r="C702" s="85"/>
      <c r="D702" s="85"/>
      <c r="E702" s="85"/>
      <c r="F702" s="85"/>
      <c r="G702" s="160"/>
      <c r="H702" s="85"/>
      <c r="I702" s="91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>
      <c r="A703" s="85"/>
      <c r="B703" s="85"/>
      <c r="C703" s="85"/>
      <c r="D703" s="85"/>
      <c r="E703" s="85"/>
      <c r="F703" s="85"/>
      <c r="G703" s="160"/>
      <c r="H703" s="85"/>
      <c r="I703" s="91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>
      <c r="A704" s="85"/>
      <c r="B704" s="85"/>
      <c r="C704" s="85"/>
      <c r="D704" s="85"/>
      <c r="E704" s="85"/>
      <c r="F704" s="85"/>
      <c r="G704" s="160"/>
      <c r="H704" s="85"/>
      <c r="I704" s="91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>
      <c r="A705" s="85"/>
      <c r="B705" s="85"/>
      <c r="C705" s="85"/>
      <c r="D705" s="85"/>
      <c r="E705" s="85"/>
      <c r="F705" s="85"/>
      <c r="G705" s="160"/>
      <c r="H705" s="85"/>
      <c r="I705" s="91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>
      <c r="A706" s="85"/>
      <c r="B706" s="85"/>
      <c r="C706" s="85"/>
      <c r="D706" s="85"/>
      <c r="E706" s="85"/>
      <c r="F706" s="85"/>
      <c r="G706" s="160"/>
      <c r="H706" s="85"/>
      <c r="I706" s="91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>
      <c r="A707" s="85"/>
      <c r="B707" s="85"/>
      <c r="C707" s="85"/>
      <c r="D707" s="85"/>
      <c r="E707" s="85"/>
      <c r="F707" s="85"/>
      <c r="G707" s="160"/>
      <c r="H707" s="85"/>
      <c r="I707" s="91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>
      <c r="A708" s="85"/>
      <c r="B708" s="85"/>
      <c r="C708" s="85"/>
      <c r="D708" s="85"/>
      <c r="E708" s="85"/>
      <c r="F708" s="85"/>
      <c r="G708" s="160"/>
      <c r="H708" s="85"/>
      <c r="I708" s="91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>
      <c r="A709" s="85"/>
      <c r="B709" s="85"/>
      <c r="C709" s="85"/>
      <c r="D709" s="85"/>
      <c r="E709" s="85"/>
      <c r="F709" s="85"/>
      <c r="G709" s="160"/>
      <c r="H709" s="85"/>
      <c r="I709" s="91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>
      <c r="A710" s="85"/>
      <c r="B710" s="85"/>
      <c r="C710" s="85"/>
      <c r="D710" s="85"/>
      <c r="E710" s="85"/>
      <c r="F710" s="85"/>
      <c r="G710" s="160"/>
      <c r="H710" s="85"/>
      <c r="I710" s="91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>
      <c r="A711" s="85"/>
      <c r="B711" s="85"/>
      <c r="C711" s="85"/>
      <c r="D711" s="85"/>
      <c r="E711" s="85"/>
      <c r="F711" s="85"/>
      <c r="G711" s="160"/>
      <c r="H711" s="85"/>
      <c r="I711" s="91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>
      <c r="A712" s="85"/>
      <c r="B712" s="85"/>
      <c r="C712" s="85"/>
      <c r="D712" s="85"/>
      <c r="E712" s="85"/>
      <c r="F712" s="85"/>
      <c r="G712" s="160"/>
      <c r="H712" s="85"/>
      <c r="I712" s="91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>
      <c r="A713" s="85"/>
      <c r="B713" s="85"/>
      <c r="C713" s="85"/>
      <c r="D713" s="85"/>
      <c r="E713" s="85"/>
      <c r="F713" s="85"/>
      <c r="G713" s="160"/>
      <c r="H713" s="85"/>
      <c r="I713" s="91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>
      <c r="A714" s="85"/>
      <c r="B714" s="85"/>
      <c r="C714" s="85"/>
      <c r="D714" s="85"/>
      <c r="E714" s="85"/>
      <c r="F714" s="85"/>
      <c r="G714" s="160"/>
      <c r="H714" s="85"/>
      <c r="I714" s="91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>
      <c r="A715" s="85"/>
      <c r="B715" s="85"/>
      <c r="C715" s="85"/>
      <c r="D715" s="85"/>
      <c r="E715" s="85"/>
      <c r="F715" s="85"/>
      <c r="G715" s="160"/>
      <c r="H715" s="85"/>
      <c r="I715" s="91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>
      <c r="A716" s="85"/>
      <c r="B716" s="85"/>
      <c r="C716" s="85"/>
      <c r="D716" s="85"/>
      <c r="E716" s="85"/>
      <c r="F716" s="85"/>
      <c r="G716" s="160"/>
      <c r="H716" s="85"/>
      <c r="I716" s="91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>
      <c r="A717" s="85"/>
      <c r="B717" s="85"/>
      <c r="C717" s="85"/>
      <c r="D717" s="85"/>
      <c r="E717" s="85"/>
      <c r="F717" s="85"/>
      <c r="G717" s="160"/>
      <c r="H717" s="85"/>
      <c r="I717" s="91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>
      <c r="A718" s="85"/>
      <c r="B718" s="85"/>
      <c r="C718" s="85"/>
      <c r="D718" s="85"/>
      <c r="E718" s="85"/>
      <c r="F718" s="85"/>
      <c r="G718" s="160"/>
      <c r="H718" s="85"/>
      <c r="I718" s="91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>
      <c r="A719" s="85"/>
      <c r="B719" s="85"/>
      <c r="C719" s="85"/>
      <c r="D719" s="85"/>
      <c r="E719" s="85"/>
      <c r="F719" s="85"/>
      <c r="G719" s="160"/>
      <c r="H719" s="85"/>
      <c r="I719" s="91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>
      <c r="A720" s="85"/>
      <c r="B720" s="85"/>
      <c r="C720" s="85"/>
      <c r="D720" s="85"/>
      <c r="E720" s="85"/>
      <c r="F720" s="85"/>
      <c r="G720" s="160"/>
      <c r="H720" s="85"/>
      <c r="I720" s="91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>
      <c r="A721" s="85"/>
      <c r="B721" s="85"/>
      <c r="C721" s="85"/>
      <c r="D721" s="85"/>
      <c r="E721" s="85"/>
      <c r="F721" s="85"/>
      <c r="G721" s="160"/>
      <c r="H721" s="85"/>
      <c r="I721" s="91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>
      <c r="A722" s="85"/>
      <c r="B722" s="85"/>
      <c r="C722" s="85"/>
      <c r="D722" s="85"/>
      <c r="E722" s="85"/>
      <c r="F722" s="85"/>
      <c r="G722" s="160"/>
      <c r="H722" s="85"/>
      <c r="I722" s="91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>
      <c r="A723" s="85"/>
      <c r="B723" s="85"/>
      <c r="C723" s="85"/>
      <c r="D723" s="85"/>
      <c r="E723" s="85"/>
      <c r="F723" s="85"/>
      <c r="G723" s="160"/>
      <c r="H723" s="85"/>
      <c r="I723" s="91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>
      <c r="A724" s="85"/>
      <c r="B724" s="85"/>
      <c r="C724" s="85"/>
      <c r="D724" s="85"/>
      <c r="E724" s="85"/>
      <c r="F724" s="85"/>
      <c r="G724" s="160"/>
      <c r="H724" s="85"/>
      <c r="I724" s="91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>
      <c r="A725" s="85"/>
      <c r="B725" s="85"/>
      <c r="C725" s="85"/>
      <c r="D725" s="85"/>
      <c r="E725" s="85"/>
      <c r="F725" s="85"/>
      <c r="G725" s="160"/>
      <c r="H725" s="85"/>
      <c r="I725" s="91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>
      <c r="A726" s="85"/>
      <c r="B726" s="85"/>
      <c r="C726" s="85"/>
      <c r="D726" s="85"/>
      <c r="E726" s="85"/>
      <c r="F726" s="85"/>
      <c r="G726" s="160"/>
      <c r="H726" s="85"/>
      <c r="I726" s="91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>
      <c r="A727" s="85"/>
      <c r="B727" s="85"/>
      <c r="C727" s="85"/>
      <c r="D727" s="85"/>
      <c r="E727" s="85"/>
      <c r="F727" s="85"/>
      <c r="G727" s="160"/>
      <c r="H727" s="85"/>
      <c r="I727" s="91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>
      <c r="A728" s="85"/>
      <c r="B728" s="85"/>
      <c r="C728" s="85"/>
      <c r="D728" s="85"/>
      <c r="E728" s="85"/>
      <c r="F728" s="85"/>
      <c r="G728" s="160"/>
      <c r="H728" s="85"/>
      <c r="I728" s="91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>
      <c r="A729" s="85"/>
      <c r="B729" s="85"/>
      <c r="C729" s="85"/>
      <c r="D729" s="85"/>
      <c r="E729" s="85"/>
      <c r="F729" s="85"/>
      <c r="G729" s="160"/>
      <c r="H729" s="85"/>
      <c r="I729" s="91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>
      <c r="A730" s="85"/>
      <c r="B730" s="85"/>
      <c r="C730" s="85"/>
      <c r="D730" s="85"/>
      <c r="E730" s="85"/>
      <c r="F730" s="85"/>
      <c r="G730" s="160"/>
      <c r="H730" s="85"/>
      <c r="I730" s="91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>
      <c r="A731" s="85"/>
      <c r="B731" s="85"/>
      <c r="C731" s="85"/>
      <c r="D731" s="85"/>
      <c r="E731" s="85"/>
      <c r="F731" s="85"/>
      <c r="G731" s="160"/>
      <c r="H731" s="85"/>
      <c r="I731" s="91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>
      <c r="A732" s="85"/>
      <c r="B732" s="85"/>
      <c r="C732" s="85"/>
      <c r="D732" s="85"/>
      <c r="E732" s="85"/>
      <c r="F732" s="85"/>
      <c r="G732" s="160"/>
      <c r="H732" s="85"/>
      <c r="I732" s="91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>
      <c r="A733" s="85"/>
      <c r="B733" s="85"/>
      <c r="C733" s="85"/>
      <c r="D733" s="85"/>
      <c r="E733" s="85"/>
      <c r="F733" s="85"/>
      <c r="G733" s="160"/>
      <c r="H733" s="85"/>
      <c r="I733" s="91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>
      <c r="A734" s="85"/>
      <c r="B734" s="85"/>
      <c r="C734" s="85"/>
      <c r="D734" s="85"/>
      <c r="E734" s="85"/>
      <c r="F734" s="85"/>
      <c r="G734" s="160"/>
      <c r="H734" s="85"/>
      <c r="I734" s="91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>
      <c r="A735" s="85"/>
      <c r="B735" s="85"/>
      <c r="C735" s="85"/>
      <c r="D735" s="85"/>
      <c r="E735" s="85"/>
      <c r="F735" s="85"/>
      <c r="G735" s="160"/>
      <c r="H735" s="85"/>
      <c r="I735" s="91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>
      <c r="A736" s="85"/>
      <c r="B736" s="85"/>
      <c r="C736" s="85"/>
      <c r="D736" s="85"/>
      <c r="E736" s="85"/>
      <c r="F736" s="85"/>
      <c r="G736" s="160"/>
      <c r="H736" s="85"/>
      <c r="I736" s="91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>
      <c r="A737" s="85"/>
      <c r="B737" s="85"/>
      <c r="C737" s="85"/>
      <c r="D737" s="85"/>
      <c r="E737" s="85"/>
      <c r="F737" s="85"/>
      <c r="G737" s="160"/>
      <c r="H737" s="85"/>
      <c r="I737" s="91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>
      <c r="A738" s="85"/>
      <c r="B738" s="85"/>
      <c r="C738" s="85"/>
      <c r="D738" s="85"/>
      <c r="E738" s="85"/>
      <c r="F738" s="85"/>
      <c r="G738" s="160"/>
      <c r="H738" s="85"/>
      <c r="I738" s="91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>
      <c r="A739" s="85"/>
      <c r="B739" s="85"/>
      <c r="C739" s="85"/>
      <c r="D739" s="85"/>
      <c r="E739" s="85"/>
      <c r="F739" s="85"/>
      <c r="G739" s="160"/>
      <c r="H739" s="85"/>
      <c r="I739" s="91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>
      <c r="A740" s="85"/>
      <c r="B740" s="85"/>
      <c r="C740" s="85"/>
      <c r="D740" s="85"/>
      <c r="E740" s="85"/>
      <c r="F740" s="85"/>
      <c r="G740" s="160"/>
      <c r="H740" s="85"/>
      <c r="I740" s="91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>
      <c r="A741" s="85"/>
      <c r="B741" s="85"/>
      <c r="C741" s="85"/>
      <c r="D741" s="85"/>
      <c r="E741" s="85"/>
      <c r="F741" s="85"/>
      <c r="G741" s="160"/>
      <c r="H741" s="85"/>
      <c r="I741" s="91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>
      <c r="A742" s="85"/>
      <c r="B742" s="85"/>
      <c r="C742" s="85"/>
      <c r="D742" s="85"/>
      <c r="E742" s="85"/>
      <c r="F742" s="85"/>
      <c r="G742" s="160"/>
      <c r="H742" s="85"/>
      <c r="I742" s="91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>
      <c r="A743" s="85"/>
      <c r="B743" s="85"/>
      <c r="C743" s="85"/>
      <c r="D743" s="85"/>
      <c r="E743" s="85"/>
      <c r="F743" s="85"/>
      <c r="G743" s="160"/>
      <c r="H743" s="85"/>
      <c r="I743" s="91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>
      <c r="A744" s="85"/>
      <c r="B744" s="85"/>
      <c r="C744" s="85"/>
      <c r="D744" s="85"/>
      <c r="E744" s="85"/>
      <c r="F744" s="85"/>
      <c r="G744" s="160"/>
      <c r="H744" s="85"/>
      <c r="I744" s="91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>
      <c r="A745" s="85"/>
      <c r="B745" s="85"/>
      <c r="C745" s="85"/>
      <c r="D745" s="85"/>
      <c r="E745" s="85"/>
      <c r="F745" s="85"/>
      <c r="G745" s="160"/>
      <c r="H745" s="85"/>
      <c r="I745" s="91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>
      <c r="A746" s="85"/>
      <c r="B746" s="85"/>
      <c r="C746" s="85"/>
      <c r="D746" s="85"/>
      <c r="E746" s="85"/>
      <c r="F746" s="85"/>
      <c r="G746" s="160"/>
      <c r="H746" s="85"/>
      <c r="I746" s="91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>
      <c r="A747" s="85"/>
      <c r="B747" s="85"/>
      <c r="C747" s="85"/>
      <c r="D747" s="85"/>
      <c r="E747" s="85"/>
      <c r="F747" s="85"/>
      <c r="G747" s="160"/>
      <c r="H747" s="85"/>
      <c r="I747" s="91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>
      <c r="A748" s="85"/>
      <c r="B748" s="85"/>
      <c r="C748" s="85"/>
      <c r="D748" s="85"/>
      <c r="E748" s="85"/>
      <c r="F748" s="85"/>
      <c r="G748" s="160"/>
      <c r="H748" s="85"/>
      <c r="I748" s="91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>
      <c r="A749" s="85"/>
      <c r="B749" s="85"/>
      <c r="C749" s="85"/>
      <c r="D749" s="85"/>
      <c r="E749" s="85"/>
      <c r="F749" s="85"/>
      <c r="G749" s="160"/>
      <c r="H749" s="85"/>
      <c r="I749" s="91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>
      <c r="A750" s="85"/>
      <c r="B750" s="85"/>
      <c r="C750" s="85"/>
      <c r="D750" s="85"/>
      <c r="E750" s="85"/>
      <c r="F750" s="85"/>
      <c r="G750" s="160"/>
      <c r="H750" s="85"/>
      <c r="I750" s="91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>
      <c r="A751" s="85"/>
      <c r="B751" s="85"/>
      <c r="C751" s="85"/>
      <c r="D751" s="85"/>
      <c r="E751" s="85"/>
      <c r="F751" s="85"/>
      <c r="G751" s="160"/>
      <c r="H751" s="85"/>
      <c r="I751" s="91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>
      <c r="A752" s="85"/>
      <c r="B752" s="85"/>
      <c r="C752" s="85"/>
      <c r="D752" s="85"/>
      <c r="E752" s="85"/>
      <c r="F752" s="85"/>
      <c r="G752" s="160"/>
      <c r="H752" s="85"/>
      <c r="I752" s="91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>
      <c r="A753" s="85"/>
      <c r="B753" s="85"/>
      <c r="C753" s="85"/>
      <c r="D753" s="85"/>
      <c r="E753" s="85"/>
      <c r="F753" s="85"/>
      <c r="G753" s="160"/>
      <c r="H753" s="85"/>
      <c r="I753" s="91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>
      <c r="A754" s="85"/>
      <c r="B754" s="85"/>
      <c r="C754" s="85"/>
      <c r="D754" s="85"/>
      <c r="E754" s="85"/>
      <c r="F754" s="85"/>
      <c r="G754" s="160"/>
      <c r="H754" s="85"/>
      <c r="I754" s="91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>
      <c r="A755" s="85"/>
      <c r="B755" s="85"/>
      <c r="C755" s="85"/>
      <c r="D755" s="85"/>
      <c r="E755" s="85"/>
      <c r="F755" s="85"/>
      <c r="G755" s="160"/>
      <c r="H755" s="85"/>
      <c r="I755" s="91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>
      <c r="A756" s="85"/>
      <c r="B756" s="85"/>
      <c r="C756" s="85"/>
      <c r="D756" s="85"/>
      <c r="E756" s="85"/>
      <c r="F756" s="85"/>
      <c r="G756" s="160"/>
      <c r="H756" s="85"/>
      <c r="I756" s="91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>
      <c r="A757" s="85"/>
      <c r="B757" s="85"/>
      <c r="C757" s="85"/>
      <c r="D757" s="85"/>
      <c r="E757" s="85"/>
      <c r="F757" s="85"/>
      <c r="G757" s="160"/>
      <c r="H757" s="85"/>
      <c r="I757" s="91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>
      <c r="A758" s="85"/>
      <c r="B758" s="85"/>
      <c r="C758" s="85"/>
      <c r="D758" s="85"/>
      <c r="E758" s="85"/>
      <c r="F758" s="85"/>
      <c r="G758" s="160"/>
      <c r="H758" s="85"/>
      <c r="I758" s="91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>
      <c r="A759" s="85"/>
      <c r="B759" s="85"/>
      <c r="C759" s="85"/>
      <c r="D759" s="85"/>
      <c r="E759" s="85"/>
      <c r="F759" s="85"/>
      <c r="G759" s="160"/>
      <c r="H759" s="85"/>
      <c r="I759" s="91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>
      <c r="A760" s="85"/>
      <c r="B760" s="85"/>
      <c r="C760" s="85"/>
      <c r="D760" s="85"/>
      <c r="E760" s="85"/>
      <c r="F760" s="85"/>
      <c r="G760" s="160"/>
      <c r="H760" s="85"/>
      <c r="I760" s="91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>
      <c r="A761" s="85"/>
      <c r="B761" s="85"/>
      <c r="C761" s="85"/>
      <c r="D761" s="85"/>
      <c r="E761" s="85"/>
      <c r="F761" s="85"/>
      <c r="G761" s="160"/>
      <c r="H761" s="85"/>
      <c r="I761" s="91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>
      <c r="A762" s="85"/>
      <c r="B762" s="85"/>
      <c r="C762" s="85"/>
      <c r="D762" s="85"/>
      <c r="E762" s="85"/>
      <c r="F762" s="85"/>
      <c r="G762" s="160"/>
      <c r="H762" s="85"/>
      <c r="I762" s="91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>
      <c r="A763" s="85"/>
      <c r="B763" s="85"/>
      <c r="C763" s="85"/>
      <c r="D763" s="85"/>
      <c r="E763" s="85"/>
      <c r="F763" s="85"/>
      <c r="G763" s="160"/>
      <c r="H763" s="85"/>
      <c r="I763" s="91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>
      <c r="A764" s="85"/>
      <c r="B764" s="85"/>
      <c r="C764" s="85"/>
      <c r="D764" s="85"/>
      <c r="E764" s="85"/>
      <c r="F764" s="85"/>
      <c r="G764" s="160"/>
      <c r="H764" s="85"/>
      <c r="I764" s="91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>
      <c r="A765" s="85"/>
      <c r="B765" s="85"/>
      <c r="C765" s="85"/>
      <c r="D765" s="85"/>
      <c r="E765" s="85"/>
      <c r="F765" s="85"/>
      <c r="G765" s="160"/>
      <c r="H765" s="85"/>
      <c r="I765" s="91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>
      <c r="A766" s="85"/>
      <c r="B766" s="85"/>
      <c r="C766" s="85"/>
      <c r="D766" s="85"/>
      <c r="E766" s="85"/>
      <c r="F766" s="85"/>
      <c r="G766" s="160"/>
      <c r="H766" s="85"/>
      <c r="I766" s="91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>
      <c r="A767" s="85"/>
      <c r="B767" s="85"/>
      <c r="C767" s="85"/>
      <c r="D767" s="85"/>
      <c r="E767" s="85"/>
      <c r="F767" s="85"/>
      <c r="G767" s="160"/>
      <c r="H767" s="85"/>
      <c r="I767" s="91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>
      <c r="A768" s="85"/>
      <c r="B768" s="85"/>
      <c r="C768" s="85"/>
      <c r="D768" s="85"/>
      <c r="E768" s="85"/>
      <c r="F768" s="85"/>
      <c r="G768" s="160"/>
      <c r="H768" s="85"/>
      <c r="I768" s="91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>
      <c r="A769" s="85"/>
      <c r="B769" s="85"/>
      <c r="C769" s="85"/>
      <c r="D769" s="85"/>
      <c r="E769" s="85"/>
      <c r="F769" s="85"/>
      <c r="G769" s="160"/>
      <c r="H769" s="85"/>
      <c r="I769" s="91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>
      <c r="A770" s="85"/>
      <c r="B770" s="85"/>
      <c r="C770" s="85"/>
      <c r="D770" s="85"/>
      <c r="E770" s="85"/>
      <c r="F770" s="85"/>
      <c r="G770" s="160"/>
      <c r="H770" s="85"/>
      <c r="I770" s="91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>
      <c r="A771" s="85"/>
      <c r="B771" s="85"/>
      <c r="C771" s="85"/>
      <c r="D771" s="85"/>
      <c r="E771" s="85"/>
      <c r="F771" s="85"/>
      <c r="G771" s="160"/>
      <c r="H771" s="85"/>
      <c r="I771" s="91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>
      <c r="A772" s="85"/>
      <c r="B772" s="85"/>
      <c r="C772" s="85"/>
      <c r="D772" s="85"/>
      <c r="E772" s="85"/>
      <c r="F772" s="85"/>
      <c r="G772" s="160"/>
      <c r="H772" s="85"/>
      <c r="I772" s="91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>
      <c r="A773" s="85"/>
      <c r="B773" s="85"/>
      <c r="C773" s="85"/>
      <c r="D773" s="85"/>
      <c r="E773" s="85"/>
      <c r="F773" s="85"/>
      <c r="G773" s="160"/>
      <c r="H773" s="85"/>
      <c r="I773" s="91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>
      <c r="A774" s="85"/>
      <c r="B774" s="85"/>
      <c r="C774" s="85"/>
      <c r="D774" s="85"/>
      <c r="E774" s="85"/>
      <c r="F774" s="85"/>
      <c r="G774" s="160"/>
      <c r="H774" s="85"/>
      <c r="I774" s="91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>
      <c r="A775" s="85"/>
      <c r="B775" s="85"/>
      <c r="C775" s="85"/>
      <c r="D775" s="85"/>
      <c r="E775" s="85"/>
      <c r="F775" s="85"/>
      <c r="G775" s="160"/>
      <c r="H775" s="85"/>
      <c r="I775" s="91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>
      <c r="A776" s="85"/>
      <c r="B776" s="85"/>
      <c r="C776" s="85"/>
      <c r="D776" s="85"/>
      <c r="E776" s="85"/>
      <c r="F776" s="85"/>
      <c r="G776" s="160"/>
      <c r="H776" s="85"/>
      <c r="I776" s="91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>
      <c r="A777" s="85"/>
      <c r="B777" s="85"/>
      <c r="C777" s="85"/>
      <c r="D777" s="85"/>
      <c r="E777" s="85"/>
      <c r="F777" s="85"/>
      <c r="G777" s="160"/>
      <c r="H777" s="85"/>
      <c r="I777" s="91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>
      <c r="A778" s="85"/>
      <c r="B778" s="85"/>
      <c r="C778" s="85"/>
      <c r="D778" s="85"/>
      <c r="E778" s="85"/>
      <c r="F778" s="85"/>
      <c r="G778" s="160"/>
      <c r="H778" s="85"/>
      <c r="I778" s="91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>
      <c r="A779" s="85"/>
      <c r="B779" s="85"/>
      <c r="C779" s="85"/>
      <c r="D779" s="85"/>
      <c r="E779" s="85"/>
      <c r="F779" s="85"/>
      <c r="G779" s="160"/>
      <c r="H779" s="85"/>
      <c r="I779" s="91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>
      <c r="A780" s="85"/>
      <c r="B780" s="85"/>
      <c r="C780" s="85"/>
      <c r="D780" s="85"/>
      <c r="E780" s="85"/>
      <c r="F780" s="85"/>
      <c r="G780" s="160"/>
      <c r="H780" s="85"/>
      <c r="I780" s="91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>
      <c r="A781" s="85"/>
      <c r="B781" s="85"/>
      <c r="C781" s="85"/>
      <c r="D781" s="85"/>
      <c r="E781" s="85"/>
      <c r="F781" s="85"/>
      <c r="G781" s="160"/>
      <c r="H781" s="85"/>
      <c r="I781" s="91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>
      <c r="A782" s="85"/>
      <c r="B782" s="85"/>
      <c r="C782" s="85"/>
      <c r="D782" s="85"/>
      <c r="E782" s="85"/>
      <c r="F782" s="85"/>
      <c r="G782" s="160"/>
      <c r="H782" s="85"/>
      <c r="I782" s="91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>
      <c r="A783" s="85"/>
      <c r="B783" s="85"/>
      <c r="C783" s="85"/>
      <c r="D783" s="85"/>
      <c r="E783" s="85"/>
      <c r="F783" s="85"/>
      <c r="G783" s="160"/>
      <c r="H783" s="85"/>
      <c r="I783" s="91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>
      <c r="A784" s="85"/>
      <c r="B784" s="85"/>
      <c r="C784" s="85"/>
      <c r="D784" s="85"/>
      <c r="E784" s="85"/>
      <c r="F784" s="85"/>
      <c r="G784" s="160"/>
      <c r="H784" s="85"/>
      <c r="I784" s="91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>
      <c r="A785" s="85"/>
      <c r="B785" s="85"/>
      <c r="C785" s="85"/>
      <c r="D785" s="85"/>
      <c r="E785" s="85"/>
      <c r="F785" s="85"/>
      <c r="G785" s="160"/>
      <c r="H785" s="85"/>
      <c r="I785" s="91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>
      <c r="A786" s="85"/>
      <c r="B786" s="85"/>
      <c r="C786" s="85"/>
      <c r="D786" s="85"/>
      <c r="E786" s="85"/>
      <c r="F786" s="85"/>
      <c r="G786" s="160"/>
      <c r="H786" s="85"/>
      <c r="I786" s="91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>
      <c r="A787" s="85"/>
      <c r="B787" s="85"/>
      <c r="C787" s="85"/>
      <c r="D787" s="85"/>
      <c r="E787" s="85"/>
      <c r="F787" s="85"/>
      <c r="G787" s="160"/>
      <c r="H787" s="85"/>
      <c r="I787" s="91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>
      <c r="A788" s="85"/>
      <c r="B788" s="85"/>
      <c r="C788" s="85"/>
      <c r="D788" s="85"/>
      <c r="E788" s="85"/>
      <c r="F788" s="85"/>
      <c r="G788" s="160"/>
      <c r="H788" s="85"/>
      <c r="I788" s="91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>
      <c r="A789" s="85"/>
      <c r="B789" s="85"/>
      <c r="C789" s="85"/>
      <c r="D789" s="85"/>
      <c r="E789" s="85"/>
      <c r="F789" s="85"/>
      <c r="G789" s="160"/>
      <c r="H789" s="85"/>
      <c r="I789" s="91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>
      <c r="A790" s="85"/>
      <c r="B790" s="85"/>
      <c r="C790" s="85"/>
      <c r="D790" s="85"/>
      <c r="E790" s="85"/>
      <c r="F790" s="85"/>
      <c r="G790" s="160"/>
      <c r="H790" s="85"/>
      <c r="I790" s="91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>
      <c r="A791" s="85"/>
      <c r="B791" s="85"/>
      <c r="C791" s="85"/>
      <c r="D791" s="85"/>
      <c r="E791" s="85"/>
      <c r="F791" s="85"/>
      <c r="G791" s="160"/>
      <c r="H791" s="85"/>
      <c r="I791" s="91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>
      <c r="A792" s="85"/>
      <c r="B792" s="85"/>
      <c r="C792" s="85"/>
      <c r="D792" s="85"/>
      <c r="E792" s="85"/>
      <c r="F792" s="85"/>
      <c r="G792" s="160"/>
      <c r="H792" s="85"/>
      <c r="I792" s="91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>
      <c r="A793" s="85"/>
      <c r="B793" s="85"/>
      <c r="C793" s="85"/>
      <c r="D793" s="85"/>
      <c r="E793" s="85"/>
      <c r="F793" s="85"/>
      <c r="G793" s="160"/>
      <c r="H793" s="85"/>
      <c r="I793" s="91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>
      <c r="A794" s="85"/>
      <c r="B794" s="85"/>
      <c r="C794" s="85"/>
      <c r="D794" s="85"/>
      <c r="E794" s="85"/>
      <c r="F794" s="85"/>
      <c r="G794" s="160"/>
      <c r="H794" s="85"/>
      <c r="I794" s="91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>
      <c r="A795" s="85"/>
      <c r="B795" s="85"/>
      <c r="C795" s="85"/>
      <c r="D795" s="85"/>
      <c r="E795" s="85"/>
      <c r="F795" s="85"/>
      <c r="G795" s="160"/>
      <c r="H795" s="85"/>
      <c r="I795" s="91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>
      <c r="A796" s="85"/>
      <c r="B796" s="85"/>
      <c r="C796" s="85"/>
      <c r="D796" s="85"/>
      <c r="E796" s="85"/>
      <c r="F796" s="85"/>
      <c r="G796" s="160"/>
      <c r="H796" s="85"/>
      <c r="I796" s="91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>
      <c r="A797" s="85"/>
      <c r="B797" s="85"/>
      <c r="C797" s="85"/>
      <c r="D797" s="85"/>
      <c r="E797" s="85"/>
      <c r="F797" s="85"/>
      <c r="G797" s="160"/>
      <c r="H797" s="85"/>
      <c r="I797" s="91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>
      <c r="A798" s="85"/>
      <c r="B798" s="85"/>
      <c r="C798" s="85"/>
      <c r="D798" s="85"/>
      <c r="E798" s="85"/>
      <c r="F798" s="85"/>
      <c r="G798" s="160"/>
      <c r="H798" s="85"/>
      <c r="I798" s="91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>
      <c r="A799" s="85"/>
      <c r="B799" s="85"/>
      <c r="C799" s="85"/>
      <c r="D799" s="85"/>
      <c r="E799" s="85"/>
      <c r="F799" s="85"/>
      <c r="G799" s="160"/>
      <c r="H799" s="85"/>
      <c r="I799" s="91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>
      <c r="A800" s="85"/>
      <c r="B800" s="85"/>
      <c r="C800" s="85"/>
      <c r="D800" s="85"/>
      <c r="E800" s="85"/>
      <c r="F800" s="85"/>
      <c r="G800" s="160"/>
      <c r="H800" s="85"/>
      <c r="I800" s="91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>
      <c r="A801" s="85"/>
      <c r="B801" s="85"/>
      <c r="C801" s="85"/>
      <c r="D801" s="85"/>
      <c r="E801" s="85"/>
      <c r="F801" s="85"/>
      <c r="G801" s="160"/>
      <c r="H801" s="85"/>
      <c r="I801" s="91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>
      <c r="A802" s="85"/>
      <c r="B802" s="85"/>
      <c r="C802" s="85"/>
      <c r="D802" s="85"/>
      <c r="E802" s="85"/>
      <c r="F802" s="85"/>
      <c r="G802" s="160"/>
      <c r="H802" s="85"/>
      <c r="I802" s="91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>
      <c r="A803" s="85"/>
      <c r="B803" s="85"/>
      <c r="C803" s="85"/>
      <c r="D803" s="85"/>
      <c r="E803" s="85"/>
      <c r="F803" s="85"/>
      <c r="G803" s="160"/>
      <c r="H803" s="85"/>
      <c r="I803" s="91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>
      <c r="A804" s="85"/>
      <c r="B804" s="85"/>
      <c r="C804" s="85"/>
      <c r="D804" s="85"/>
      <c r="E804" s="85"/>
      <c r="F804" s="85"/>
      <c r="G804" s="160"/>
      <c r="H804" s="85"/>
      <c r="I804" s="91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>
      <c r="A805" s="85"/>
      <c r="B805" s="85"/>
      <c r="C805" s="85"/>
      <c r="D805" s="85"/>
      <c r="E805" s="85"/>
      <c r="F805" s="85"/>
      <c r="G805" s="160"/>
      <c r="H805" s="85"/>
      <c r="I805" s="91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>
      <c r="A806" s="85"/>
      <c r="B806" s="85"/>
      <c r="C806" s="85"/>
      <c r="D806" s="85"/>
      <c r="E806" s="85"/>
      <c r="F806" s="85"/>
      <c r="G806" s="160"/>
      <c r="H806" s="85"/>
      <c r="I806" s="91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>
      <c r="A807" s="85"/>
      <c r="B807" s="85"/>
      <c r="C807" s="85"/>
      <c r="D807" s="85"/>
      <c r="E807" s="85"/>
      <c r="F807" s="85"/>
      <c r="G807" s="160"/>
      <c r="H807" s="85"/>
      <c r="I807" s="91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>
      <c r="A808" s="85"/>
      <c r="B808" s="85"/>
      <c r="C808" s="85"/>
      <c r="D808" s="85"/>
      <c r="E808" s="85"/>
      <c r="F808" s="85"/>
      <c r="G808" s="160"/>
      <c r="H808" s="85"/>
      <c r="I808" s="91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>
      <c r="A809" s="85"/>
      <c r="B809" s="85"/>
      <c r="C809" s="85"/>
      <c r="D809" s="85"/>
      <c r="E809" s="85"/>
      <c r="F809" s="85"/>
      <c r="G809" s="160"/>
      <c r="H809" s="85"/>
      <c r="I809" s="91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>
      <c r="A810" s="85"/>
      <c r="B810" s="85"/>
      <c r="C810" s="85"/>
      <c r="D810" s="85"/>
      <c r="E810" s="85"/>
      <c r="F810" s="85"/>
      <c r="G810" s="160"/>
      <c r="H810" s="85"/>
      <c r="I810" s="91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>
      <c r="A811" s="85"/>
      <c r="B811" s="85"/>
      <c r="C811" s="85"/>
      <c r="D811" s="85"/>
      <c r="E811" s="85"/>
      <c r="F811" s="85"/>
      <c r="G811" s="160"/>
      <c r="H811" s="85"/>
      <c r="I811" s="91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>
      <c r="A812" s="85"/>
      <c r="B812" s="85"/>
      <c r="C812" s="85"/>
      <c r="D812" s="85"/>
      <c r="E812" s="85"/>
      <c r="F812" s="85"/>
      <c r="G812" s="160"/>
      <c r="H812" s="85"/>
      <c r="I812" s="91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>
      <c r="A813" s="85"/>
      <c r="B813" s="85"/>
      <c r="C813" s="85"/>
      <c r="D813" s="85"/>
      <c r="E813" s="85"/>
      <c r="F813" s="85"/>
      <c r="G813" s="160"/>
      <c r="H813" s="85"/>
      <c r="I813" s="91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>
      <c r="A814" s="85"/>
      <c r="B814" s="85"/>
      <c r="C814" s="85"/>
      <c r="D814" s="85"/>
      <c r="E814" s="85"/>
      <c r="F814" s="85"/>
      <c r="G814" s="160"/>
      <c r="H814" s="85"/>
      <c r="I814" s="91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>
      <c r="A815" s="85"/>
      <c r="B815" s="85"/>
      <c r="C815" s="85"/>
      <c r="D815" s="85"/>
      <c r="E815" s="85"/>
      <c r="F815" s="85"/>
      <c r="G815" s="160"/>
      <c r="H815" s="85"/>
      <c r="I815" s="91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>
      <c r="A816" s="85"/>
      <c r="B816" s="85"/>
      <c r="C816" s="85"/>
      <c r="D816" s="85"/>
      <c r="E816" s="85"/>
      <c r="F816" s="85"/>
      <c r="G816" s="160"/>
      <c r="H816" s="85"/>
      <c r="I816" s="91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>
      <c r="A817" s="85"/>
      <c r="B817" s="85"/>
      <c r="C817" s="85"/>
      <c r="D817" s="85"/>
      <c r="E817" s="85"/>
      <c r="F817" s="85"/>
      <c r="G817" s="160"/>
      <c r="H817" s="85"/>
      <c r="I817" s="91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>
      <c r="A818" s="85"/>
      <c r="B818" s="85"/>
      <c r="C818" s="85"/>
      <c r="D818" s="85"/>
      <c r="E818" s="85"/>
      <c r="F818" s="85"/>
      <c r="G818" s="160"/>
      <c r="H818" s="85"/>
      <c r="I818" s="91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>
      <c r="A819" s="85"/>
      <c r="B819" s="85"/>
      <c r="C819" s="85"/>
      <c r="D819" s="85"/>
      <c r="E819" s="85"/>
      <c r="F819" s="85"/>
      <c r="G819" s="160"/>
      <c r="H819" s="85"/>
      <c r="I819" s="91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>
      <c r="A820" s="85"/>
      <c r="B820" s="85"/>
      <c r="C820" s="85"/>
      <c r="D820" s="85"/>
      <c r="E820" s="85"/>
      <c r="F820" s="85"/>
      <c r="G820" s="160"/>
      <c r="H820" s="85"/>
      <c r="I820" s="91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>
      <c r="A821" s="85"/>
      <c r="B821" s="85"/>
      <c r="C821" s="85"/>
      <c r="D821" s="85"/>
      <c r="E821" s="85"/>
      <c r="F821" s="85"/>
      <c r="G821" s="160"/>
      <c r="H821" s="85"/>
      <c r="I821" s="91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>
      <c r="A822" s="85"/>
      <c r="B822" s="85"/>
      <c r="C822" s="85"/>
      <c r="D822" s="85"/>
      <c r="E822" s="85"/>
      <c r="F822" s="85"/>
      <c r="G822" s="160"/>
      <c r="H822" s="85"/>
      <c r="I822" s="91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>
      <c r="A823" s="85"/>
      <c r="B823" s="85"/>
      <c r="C823" s="85"/>
      <c r="D823" s="85"/>
      <c r="E823" s="85"/>
      <c r="F823" s="85"/>
      <c r="G823" s="160"/>
      <c r="H823" s="85"/>
      <c r="I823" s="91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>
      <c r="A824" s="85"/>
      <c r="B824" s="85"/>
      <c r="C824" s="85"/>
      <c r="D824" s="85"/>
      <c r="E824" s="85"/>
      <c r="F824" s="85"/>
      <c r="G824" s="160"/>
      <c r="H824" s="85"/>
      <c r="I824" s="91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>
      <c r="A825" s="85"/>
      <c r="B825" s="85"/>
      <c r="C825" s="85"/>
      <c r="D825" s="85"/>
      <c r="E825" s="85"/>
      <c r="F825" s="85"/>
      <c r="G825" s="160"/>
      <c r="H825" s="85"/>
      <c r="I825" s="91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>
      <c r="A826" s="85"/>
      <c r="B826" s="85"/>
      <c r="C826" s="85"/>
      <c r="D826" s="85"/>
      <c r="E826" s="85"/>
      <c r="F826" s="85"/>
      <c r="G826" s="160"/>
      <c r="H826" s="85"/>
      <c r="I826" s="91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>
      <c r="A827" s="85"/>
      <c r="B827" s="85"/>
      <c r="C827" s="85"/>
      <c r="D827" s="85"/>
      <c r="E827" s="85"/>
      <c r="F827" s="85"/>
      <c r="G827" s="160"/>
      <c r="H827" s="85"/>
      <c r="I827" s="91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>
      <c r="A828" s="85"/>
      <c r="B828" s="85"/>
      <c r="C828" s="85"/>
      <c r="D828" s="85"/>
      <c r="E828" s="85"/>
      <c r="F828" s="85"/>
      <c r="G828" s="160"/>
      <c r="H828" s="85"/>
      <c r="I828" s="91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>
      <c r="A829" s="85"/>
      <c r="B829" s="85"/>
      <c r="C829" s="85"/>
      <c r="D829" s="85"/>
      <c r="E829" s="85"/>
      <c r="F829" s="85"/>
      <c r="G829" s="160"/>
      <c r="H829" s="85"/>
      <c r="I829" s="91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>
      <c r="A830" s="85"/>
      <c r="B830" s="85"/>
      <c r="C830" s="85"/>
      <c r="D830" s="85"/>
      <c r="E830" s="85"/>
      <c r="F830" s="85"/>
      <c r="G830" s="160"/>
      <c r="H830" s="85"/>
      <c r="I830" s="91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>
      <c r="A831" s="85"/>
      <c r="B831" s="85"/>
      <c r="C831" s="85"/>
      <c r="D831" s="85"/>
      <c r="E831" s="85"/>
      <c r="F831" s="85"/>
      <c r="G831" s="160"/>
      <c r="H831" s="85"/>
      <c r="I831" s="91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>
      <c r="A832" s="85"/>
      <c r="B832" s="85"/>
      <c r="C832" s="85"/>
      <c r="D832" s="85"/>
      <c r="E832" s="85"/>
      <c r="F832" s="85"/>
      <c r="G832" s="160"/>
      <c r="H832" s="85"/>
      <c r="I832" s="91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>
      <c r="A833" s="85"/>
      <c r="B833" s="85"/>
      <c r="C833" s="85"/>
      <c r="D833" s="85"/>
      <c r="E833" s="85"/>
      <c r="F833" s="85"/>
      <c r="G833" s="160"/>
      <c r="H833" s="85"/>
      <c r="I833" s="91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>
      <c r="A834" s="85"/>
      <c r="B834" s="85"/>
      <c r="C834" s="85"/>
      <c r="D834" s="85"/>
      <c r="E834" s="85"/>
      <c r="F834" s="85"/>
      <c r="G834" s="160"/>
      <c r="H834" s="85"/>
      <c r="I834" s="91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>
      <c r="A835" s="85"/>
      <c r="B835" s="85"/>
      <c r="C835" s="85"/>
      <c r="D835" s="85"/>
      <c r="E835" s="85"/>
      <c r="F835" s="85"/>
      <c r="G835" s="160"/>
      <c r="H835" s="85"/>
      <c r="I835" s="91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>
      <c r="A836" s="85"/>
      <c r="B836" s="85"/>
      <c r="C836" s="85"/>
      <c r="D836" s="85"/>
      <c r="E836" s="85"/>
      <c r="F836" s="85"/>
      <c r="G836" s="160"/>
      <c r="H836" s="85"/>
      <c r="I836" s="91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>
      <c r="A837" s="85"/>
      <c r="B837" s="85"/>
      <c r="C837" s="85"/>
      <c r="D837" s="85"/>
      <c r="E837" s="85"/>
      <c r="F837" s="85"/>
      <c r="G837" s="160"/>
      <c r="H837" s="85"/>
      <c r="I837" s="91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>
      <c r="A838" s="85"/>
      <c r="B838" s="85"/>
      <c r="C838" s="85"/>
      <c r="D838" s="85"/>
      <c r="E838" s="85"/>
      <c r="F838" s="85"/>
      <c r="G838" s="160"/>
      <c r="H838" s="85"/>
      <c r="I838" s="91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>
      <c r="A839" s="85"/>
      <c r="B839" s="85"/>
      <c r="C839" s="85"/>
      <c r="D839" s="85"/>
      <c r="E839" s="85"/>
      <c r="F839" s="85"/>
      <c r="G839" s="160"/>
      <c r="H839" s="85"/>
      <c r="I839" s="91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>
      <c r="A840" s="85"/>
      <c r="B840" s="85"/>
      <c r="C840" s="85"/>
      <c r="D840" s="85"/>
      <c r="E840" s="85"/>
      <c r="F840" s="85"/>
      <c r="G840" s="160"/>
      <c r="H840" s="85"/>
      <c r="I840" s="91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>
      <c r="A841" s="85"/>
      <c r="B841" s="85"/>
      <c r="C841" s="85"/>
      <c r="D841" s="85"/>
      <c r="E841" s="85"/>
      <c r="F841" s="85"/>
      <c r="G841" s="160"/>
      <c r="H841" s="85"/>
      <c r="I841" s="91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>
      <c r="A842" s="85"/>
      <c r="B842" s="85"/>
      <c r="C842" s="85"/>
      <c r="D842" s="85"/>
      <c r="E842" s="85"/>
      <c r="F842" s="85"/>
      <c r="G842" s="160"/>
      <c r="H842" s="85"/>
      <c r="I842" s="91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>
      <c r="A843" s="85"/>
      <c r="B843" s="85"/>
      <c r="C843" s="85"/>
      <c r="D843" s="85"/>
      <c r="E843" s="85"/>
      <c r="F843" s="85"/>
      <c r="G843" s="160"/>
      <c r="H843" s="85"/>
      <c r="I843" s="91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>
      <c r="A844" s="85"/>
      <c r="B844" s="85"/>
      <c r="C844" s="85"/>
      <c r="D844" s="85"/>
      <c r="E844" s="85"/>
      <c r="F844" s="85"/>
      <c r="G844" s="160"/>
      <c r="H844" s="85"/>
      <c r="I844" s="91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>
      <c r="A845" s="85"/>
      <c r="B845" s="85"/>
      <c r="C845" s="85"/>
      <c r="D845" s="85"/>
      <c r="E845" s="85"/>
      <c r="F845" s="85"/>
      <c r="G845" s="160"/>
      <c r="H845" s="85"/>
      <c r="I845" s="91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>
      <c r="A846" s="85"/>
      <c r="B846" s="85"/>
      <c r="C846" s="85"/>
      <c r="D846" s="85"/>
      <c r="E846" s="85"/>
      <c r="F846" s="85"/>
      <c r="G846" s="160"/>
      <c r="H846" s="85"/>
      <c r="I846" s="91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>
      <c r="A847" s="85"/>
      <c r="B847" s="85"/>
      <c r="C847" s="85"/>
      <c r="D847" s="85"/>
      <c r="E847" s="85"/>
      <c r="F847" s="85"/>
      <c r="G847" s="160"/>
      <c r="H847" s="85"/>
      <c r="I847" s="91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>
      <c r="A848" s="85"/>
      <c r="B848" s="85"/>
      <c r="C848" s="85"/>
      <c r="D848" s="85"/>
      <c r="E848" s="85"/>
      <c r="F848" s="85"/>
      <c r="G848" s="160"/>
      <c r="H848" s="85"/>
      <c r="I848" s="91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>
      <c r="A849" s="85"/>
      <c r="B849" s="85"/>
      <c r="C849" s="85"/>
      <c r="D849" s="85"/>
      <c r="E849" s="85"/>
      <c r="F849" s="85"/>
      <c r="G849" s="160"/>
      <c r="H849" s="85"/>
      <c r="I849" s="91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>
      <c r="A850" s="85"/>
      <c r="B850" s="85"/>
      <c r="C850" s="85"/>
      <c r="D850" s="85"/>
      <c r="E850" s="85"/>
      <c r="F850" s="85"/>
      <c r="G850" s="160"/>
      <c r="H850" s="85"/>
      <c r="I850" s="91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>
      <c r="A851" s="85"/>
      <c r="B851" s="85"/>
      <c r="C851" s="85"/>
      <c r="D851" s="85"/>
      <c r="E851" s="85"/>
      <c r="F851" s="85"/>
      <c r="G851" s="160"/>
      <c r="H851" s="85"/>
      <c r="I851" s="91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>
      <c r="A852" s="85"/>
      <c r="B852" s="85"/>
      <c r="C852" s="85"/>
      <c r="D852" s="85"/>
      <c r="E852" s="85"/>
      <c r="F852" s="85"/>
      <c r="G852" s="160"/>
      <c r="H852" s="85"/>
      <c r="I852" s="91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>
      <c r="A853" s="85"/>
      <c r="B853" s="85"/>
      <c r="C853" s="85"/>
      <c r="D853" s="85"/>
      <c r="E853" s="85"/>
      <c r="F853" s="85"/>
      <c r="G853" s="160"/>
      <c r="H853" s="85"/>
      <c r="I853" s="91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>
      <c r="A854" s="85"/>
      <c r="B854" s="85"/>
      <c r="C854" s="85"/>
      <c r="D854" s="85"/>
      <c r="E854" s="85"/>
      <c r="F854" s="85"/>
      <c r="G854" s="160"/>
      <c r="H854" s="85"/>
      <c r="I854" s="91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>
      <c r="A855" s="85"/>
      <c r="B855" s="85"/>
      <c r="C855" s="85"/>
      <c r="D855" s="85"/>
      <c r="E855" s="85"/>
      <c r="F855" s="85"/>
      <c r="G855" s="160"/>
      <c r="H855" s="85"/>
      <c r="I855" s="91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>
      <c r="A856" s="85"/>
      <c r="B856" s="85"/>
      <c r="C856" s="85"/>
      <c r="D856" s="85"/>
      <c r="E856" s="85"/>
      <c r="F856" s="85"/>
      <c r="G856" s="160"/>
      <c r="H856" s="85"/>
      <c r="I856" s="91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>
      <c r="A857" s="85"/>
      <c r="B857" s="85"/>
      <c r="C857" s="85"/>
      <c r="D857" s="85"/>
      <c r="E857" s="85"/>
      <c r="F857" s="85"/>
      <c r="G857" s="160"/>
      <c r="H857" s="85"/>
      <c r="I857" s="91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>
      <c r="A858" s="85"/>
      <c r="B858" s="85"/>
      <c r="C858" s="85"/>
      <c r="D858" s="85"/>
      <c r="E858" s="85"/>
      <c r="F858" s="85"/>
      <c r="G858" s="160"/>
      <c r="H858" s="85"/>
      <c r="I858" s="91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>
      <c r="A859" s="85"/>
      <c r="B859" s="85"/>
      <c r="C859" s="85"/>
      <c r="D859" s="85"/>
      <c r="E859" s="85"/>
      <c r="F859" s="85"/>
      <c r="G859" s="160"/>
      <c r="H859" s="85"/>
      <c r="I859" s="91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>
      <c r="A860" s="85"/>
      <c r="B860" s="85"/>
      <c r="C860" s="85"/>
      <c r="D860" s="85"/>
      <c r="E860" s="85"/>
      <c r="F860" s="85"/>
      <c r="G860" s="160"/>
      <c r="H860" s="85"/>
      <c r="I860" s="91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>
      <c r="A861" s="85"/>
      <c r="B861" s="85"/>
      <c r="C861" s="85"/>
      <c r="D861" s="85"/>
      <c r="E861" s="85"/>
      <c r="F861" s="85"/>
      <c r="G861" s="160"/>
      <c r="H861" s="85"/>
      <c r="I861" s="91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>
      <c r="A862" s="85"/>
      <c r="B862" s="85"/>
      <c r="C862" s="85"/>
      <c r="D862" s="85"/>
      <c r="E862" s="85"/>
      <c r="F862" s="85"/>
      <c r="G862" s="160"/>
      <c r="H862" s="85"/>
      <c r="I862" s="91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>
      <c r="A863" s="85"/>
      <c r="B863" s="85"/>
      <c r="C863" s="85"/>
      <c r="D863" s="85"/>
      <c r="E863" s="85"/>
      <c r="F863" s="85"/>
      <c r="G863" s="160"/>
      <c r="H863" s="85"/>
      <c r="I863" s="91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>
      <c r="A864" s="85"/>
      <c r="B864" s="85"/>
      <c r="C864" s="85"/>
      <c r="D864" s="85"/>
      <c r="E864" s="85"/>
      <c r="F864" s="85"/>
      <c r="G864" s="160"/>
      <c r="H864" s="85"/>
      <c r="I864" s="91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>
      <c r="A865" s="85"/>
      <c r="B865" s="85"/>
      <c r="C865" s="85"/>
      <c r="D865" s="85"/>
      <c r="E865" s="85"/>
      <c r="F865" s="85"/>
      <c r="G865" s="160"/>
      <c r="H865" s="85"/>
      <c r="I865" s="91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>
      <c r="A866" s="85"/>
      <c r="B866" s="85"/>
      <c r="C866" s="85"/>
      <c r="D866" s="85"/>
      <c r="E866" s="85"/>
      <c r="F866" s="85"/>
      <c r="G866" s="160"/>
      <c r="H866" s="85"/>
      <c r="I866" s="91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>
      <c r="A867" s="85"/>
      <c r="B867" s="85"/>
      <c r="C867" s="85"/>
      <c r="D867" s="85"/>
      <c r="E867" s="85"/>
      <c r="F867" s="85"/>
      <c r="G867" s="160"/>
      <c r="H867" s="85"/>
      <c r="I867" s="91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>
      <c r="A868" s="85"/>
      <c r="B868" s="85"/>
      <c r="C868" s="85"/>
      <c r="D868" s="85"/>
      <c r="E868" s="85"/>
      <c r="F868" s="85"/>
      <c r="G868" s="160"/>
      <c r="H868" s="85"/>
      <c r="I868" s="91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 G8:G15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0"/>
  <sheetViews>
    <sheetView workbookViewId="0">
      <pane ySplit="8" topLeftCell="A9" activePane="bottomLeft" state="frozen"/>
      <selection/>
      <selection pane="bottomLeft" activeCell="A10" sqref="A10"/>
    </sheetView>
  </sheetViews>
  <sheetFormatPr defaultColWidth="12.6333333333333" defaultRowHeight="15" customHeight="1"/>
  <cols>
    <col min="1" max="1" width="16.25" style="53" customWidth="1"/>
    <col min="2" max="2" width="19.1333333333333" style="53" customWidth="1"/>
    <col min="3" max="3" width="25.6333333333333" style="53" customWidth="1"/>
    <col min="4" max="4" width="29" style="53" customWidth="1"/>
    <col min="5" max="5" width="28.1333333333333" style="53" customWidth="1"/>
    <col min="6" max="6" width="28.3833333333333" style="53" customWidth="1"/>
    <col min="7" max="7" width="9" style="53" customWidth="1"/>
    <col min="8" max="8" width="17.6333333333333" style="53" customWidth="1"/>
    <col min="9" max="9" width="8.13333333333333" style="53" customWidth="1"/>
    <col min="10" max="10" width="3.88333333333333" style="53" hidden="1" customWidth="1"/>
    <col min="11" max="26" width="10" style="53" customWidth="1"/>
    <col min="27" max="16384" width="12.6333333333333" style="53"/>
  </cols>
  <sheetData>
    <row r="1" ht="12.75" customHeight="1" spans="1:26">
      <c r="A1" s="54"/>
      <c r="B1" s="55"/>
      <c r="C1" s="55"/>
      <c r="D1" s="55"/>
      <c r="E1" s="55"/>
      <c r="F1" s="56"/>
      <c r="G1" s="57"/>
      <c r="H1" s="58"/>
      <c r="I1" s="8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customHeight="1" spans="1:26">
      <c r="A2" s="59" t="s">
        <v>54</v>
      </c>
      <c r="B2" s="60" t="s">
        <v>112</v>
      </c>
      <c r="C2" s="61"/>
      <c r="D2" s="61"/>
      <c r="E2" s="61"/>
      <c r="F2" s="62"/>
      <c r="G2" s="58"/>
      <c r="H2" s="58"/>
      <c r="I2" s="86"/>
      <c r="J2" s="76" t="s">
        <v>55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5.5" customHeight="1" spans="1:26">
      <c r="A3" s="63" t="s">
        <v>56</v>
      </c>
      <c r="B3" s="60" t="s">
        <v>113</v>
      </c>
      <c r="C3" s="61"/>
      <c r="D3" s="61"/>
      <c r="E3" s="61"/>
      <c r="F3" s="62"/>
      <c r="G3" s="58"/>
      <c r="H3" s="58"/>
      <c r="I3" s="86"/>
      <c r="J3" s="76" t="s">
        <v>58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8" customHeight="1" spans="1:26">
      <c r="A4" s="59" t="s">
        <v>59</v>
      </c>
      <c r="B4" s="64" t="s">
        <v>28</v>
      </c>
      <c r="C4" s="65"/>
      <c r="D4" s="65"/>
      <c r="E4" s="65"/>
      <c r="F4" s="66"/>
      <c r="G4" s="58"/>
      <c r="H4" s="58"/>
      <c r="I4" s="86"/>
      <c r="J4" s="87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9.5" customHeight="1" spans="1:26">
      <c r="A5" s="67" t="s">
        <v>55</v>
      </c>
      <c r="B5" s="68" t="s">
        <v>58</v>
      </c>
      <c r="C5" s="68" t="s">
        <v>60</v>
      </c>
      <c r="D5" s="69" t="s">
        <v>61</v>
      </c>
      <c r="E5" s="69" t="s">
        <v>62</v>
      </c>
      <c r="F5" s="62"/>
      <c r="G5" s="70"/>
      <c r="H5" s="70"/>
      <c r="I5" s="88"/>
      <c r="J5" s="76" t="s">
        <v>63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customHeight="1" spans="1:26">
      <c r="A6" s="71">
        <f>COUNTIF(F10:G868,"Pass")</f>
        <v>7</v>
      </c>
      <c r="B6" s="72">
        <f>COUNTIF(F10:G868,"Fail")</f>
        <v>0</v>
      </c>
      <c r="C6" s="72">
        <f>E6-D6-B6-A6</f>
        <v>0</v>
      </c>
      <c r="D6" s="73">
        <f>COUNTIF(F$9:F$868,"N/A")</f>
        <v>0</v>
      </c>
      <c r="E6" s="74">
        <f>COUNTA(A9:A868)</f>
        <v>7</v>
      </c>
      <c r="F6" s="75"/>
      <c r="G6" s="70"/>
      <c r="H6" s="70"/>
      <c r="I6" s="88"/>
      <c r="J6" s="76" t="s">
        <v>61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customHeight="1" spans="1:26">
      <c r="A7" s="76"/>
      <c r="B7" s="76"/>
      <c r="C7" s="76"/>
      <c r="D7" s="77"/>
      <c r="E7" s="77"/>
      <c r="F7" s="70"/>
      <c r="G7" s="70"/>
      <c r="H7" s="70"/>
      <c r="I7" s="88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5.5" customHeight="1" spans="1:26">
      <c r="A8" s="78" t="s">
        <v>64</v>
      </c>
      <c r="B8" s="78" t="s">
        <v>65</v>
      </c>
      <c r="C8" s="78" t="s">
        <v>66</v>
      </c>
      <c r="D8" s="78" t="s">
        <v>67</v>
      </c>
      <c r="E8" s="78" t="s">
        <v>68</v>
      </c>
      <c r="F8" s="79" t="s">
        <v>69</v>
      </c>
      <c r="G8" s="79" t="s">
        <v>70</v>
      </c>
      <c r="H8" s="79" t="s">
        <v>71</v>
      </c>
      <c r="I8" s="78" t="s">
        <v>72</v>
      </c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3.5" spans="1:26">
      <c r="A9" s="80"/>
      <c r="B9" s="81" t="s">
        <v>73</v>
      </c>
      <c r="C9" s="80"/>
      <c r="D9" s="80"/>
      <c r="E9" s="80"/>
      <c r="F9" s="80"/>
      <c r="G9" s="80"/>
      <c r="H9" s="80"/>
      <c r="I9" s="89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38.25" spans="1:26">
      <c r="A10" s="82" t="str">
        <f>IF(OR(B10&lt;&gt;"",E10&lt;&gt;""),"["&amp;TEXT($B$2,"##")&amp;"-"&amp;TEXT(ROW()-9,"##")&amp;"]","")</f>
        <v>[M_Them_tin-1]</v>
      </c>
      <c r="B10" s="82" t="s">
        <v>114</v>
      </c>
      <c r="C10" s="82" t="s">
        <v>115</v>
      </c>
      <c r="D10" s="82" t="s">
        <v>116</v>
      </c>
      <c r="E10" s="82" t="s">
        <v>117</v>
      </c>
      <c r="F10" s="83"/>
      <c r="G10" s="82" t="s">
        <v>55</v>
      </c>
      <c r="H10" s="84">
        <v>45992</v>
      </c>
      <c r="I10" s="82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45" customHeight="1" spans="1:26">
      <c r="A11" s="82" t="str">
        <f>IF(OR(B11&lt;&gt;"",E11&lt;&gt;""),"["&amp;TEXT($B$2,"##")&amp;"-"&amp;TEXT(ROW()-9,"##")&amp;"]","")</f>
        <v>[M_Them_tin-2]</v>
      </c>
      <c r="B11" s="82" t="s">
        <v>118</v>
      </c>
      <c r="C11" s="82" t="s">
        <v>115</v>
      </c>
      <c r="D11" s="82" t="s">
        <v>119</v>
      </c>
      <c r="E11" s="82" t="s">
        <v>120</v>
      </c>
      <c r="F11" s="83"/>
      <c r="G11" s="82" t="s">
        <v>55</v>
      </c>
      <c r="H11" s="84">
        <v>45992</v>
      </c>
      <c r="I11" s="82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3.5" spans="1:26">
      <c r="A12" s="80"/>
      <c r="B12" s="81" t="s">
        <v>80</v>
      </c>
      <c r="C12" s="80"/>
      <c r="D12" s="80"/>
      <c r="E12" s="80"/>
      <c r="F12" s="80"/>
      <c r="G12" s="80"/>
      <c r="H12" s="80"/>
      <c r="I12" s="89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38.25" spans="1:26">
      <c r="A13" s="82" t="str">
        <f>IF(OR(B13&lt;&gt;"",E13&lt;&gt;""),"["&amp;TEXT($B$2,"##")&amp;"-"&amp;TEXT(ROW()-10,"##")&amp;"]","")</f>
        <v>[M_Them_tin-3]</v>
      </c>
      <c r="B13" s="82" t="s">
        <v>121</v>
      </c>
      <c r="C13" s="82" t="s">
        <v>122</v>
      </c>
      <c r="D13" s="82" t="s">
        <v>123</v>
      </c>
      <c r="E13" s="82" t="s">
        <v>124</v>
      </c>
      <c r="F13" s="83" t="s">
        <v>125</v>
      </c>
      <c r="G13" s="82" t="s">
        <v>55</v>
      </c>
      <c r="H13" s="84">
        <v>45992</v>
      </c>
      <c r="I13" s="90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38.25" spans="1:26">
      <c r="A14" s="82" t="str">
        <f>IF(OR(B14&lt;&gt;"",E14&lt;&gt;""),"["&amp;TEXT($B$2,"##")&amp;"-"&amp;TEXT(ROW()-10,"##")&amp;"]","")</f>
        <v>[M_Them_tin-4]</v>
      </c>
      <c r="B14" s="82" t="s">
        <v>126</v>
      </c>
      <c r="C14" s="82" t="s">
        <v>115</v>
      </c>
      <c r="D14" s="82" t="s">
        <v>127</v>
      </c>
      <c r="E14" s="82" t="s">
        <v>128</v>
      </c>
      <c r="G14" s="82" t="s">
        <v>55</v>
      </c>
      <c r="H14" s="84">
        <v>45992</v>
      </c>
      <c r="I14" s="82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38.25" spans="1:26">
      <c r="A15" s="82" t="str">
        <f>IF(OR(B15&lt;&gt;"",E15&lt;&gt;""),"["&amp;TEXT($B$2,"##")&amp;"-"&amp;TEXT(ROW()-10,"##")&amp;"]","")</f>
        <v>[M_Them_tin-5]</v>
      </c>
      <c r="B15" s="82" t="s">
        <v>129</v>
      </c>
      <c r="C15" s="82" t="s">
        <v>115</v>
      </c>
      <c r="D15" s="82" t="s">
        <v>130</v>
      </c>
      <c r="E15" s="82" t="s">
        <v>131</v>
      </c>
      <c r="F15" s="83" t="s">
        <v>132</v>
      </c>
      <c r="G15" s="82" t="s">
        <v>55</v>
      </c>
      <c r="H15" s="84">
        <v>45992</v>
      </c>
      <c r="I15" s="90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38.25" spans="1:26">
      <c r="A16" s="82" t="str">
        <f>IF(OR(B16&lt;&gt;"",E16&lt;&gt;""),"["&amp;TEXT($B$2,"##")&amp;"-"&amp;TEXT(ROW()-10,"##")&amp;"]","")</f>
        <v>[M_Them_tin-6]</v>
      </c>
      <c r="B16" s="82" t="s">
        <v>133</v>
      </c>
      <c r="C16" s="82" t="s">
        <v>115</v>
      </c>
      <c r="D16" s="82" t="s">
        <v>134</v>
      </c>
      <c r="E16" s="82" t="s">
        <v>135</v>
      </c>
      <c r="F16" s="83" t="s">
        <v>136</v>
      </c>
      <c r="G16" s="82" t="s">
        <v>55</v>
      </c>
      <c r="H16" s="84">
        <v>45992</v>
      </c>
      <c r="I16" s="90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38.25" spans="1:26">
      <c r="A17" s="82" t="str">
        <f>IF(OR(B17&lt;&gt;"",E17&lt;&gt;""),"["&amp;TEXT($B$2,"##")&amp;"-"&amp;TEXT(ROW()-10,"##")&amp;"]","")</f>
        <v>[M_Them_tin-7]</v>
      </c>
      <c r="B17" s="82" t="s">
        <v>137</v>
      </c>
      <c r="C17" s="82" t="s">
        <v>115</v>
      </c>
      <c r="D17" s="82" t="s">
        <v>138</v>
      </c>
      <c r="E17" s="82" t="s">
        <v>139</v>
      </c>
      <c r="F17" s="83" t="s">
        <v>140</v>
      </c>
      <c r="G17" s="82" t="s">
        <v>55</v>
      </c>
      <c r="H17" s="84">
        <v>45992</v>
      </c>
      <c r="I17" s="90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2.75" customHeight="1" spans="1:26">
      <c r="A18" s="85"/>
      <c r="B18" s="85"/>
      <c r="C18" s="85"/>
      <c r="D18" s="85"/>
      <c r="E18" s="85"/>
      <c r="F18" s="85"/>
      <c r="G18" s="85"/>
      <c r="H18" s="85"/>
      <c r="I18" s="91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2.75" customHeight="1" spans="1:26">
      <c r="A19" s="85"/>
      <c r="B19" s="85"/>
      <c r="C19" s="85"/>
      <c r="D19" s="85"/>
      <c r="E19" s="85"/>
      <c r="F19" s="85"/>
      <c r="G19" s="85"/>
      <c r="H19" s="85"/>
      <c r="I19" s="91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2.75" customHeight="1" spans="1:26">
      <c r="A20" s="85"/>
      <c r="B20" s="85"/>
      <c r="C20" s="85"/>
      <c r="D20" s="85"/>
      <c r="E20" s="85"/>
      <c r="F20" s="85"/>
      <c r="G20" s="85"/>
      <c r="H20" s="85"/>
      <c r="I20" s="91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2.75" customHeight="1" spans="1:26">
      <c r="A21" s="85"/>
      <c r="B21" s="85"/>
      <c r="C21" s="85"/>
      <c r="D21" s="85"/>
      <c r="E21" s="85"/>
      <c r="F21" s="85"/>
      <c r="G21" s="85"/>
      <c r="H21" s="85"/>
      <c r="I21" s="91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2.75" customHeight="1" spans="1:26">
      <c r="A22" s="85"/>
      <c r="B22" s="85"/>
      <c r="C22" s="85"/>
      <c r="D22" s="85"/>
      <c r="E22" s="85"/>
      <c r="F22" s="85"/>
      <c r="G22" s="85"/>
      <c r="H22" s="85"/>
      <c r="I22" s="91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2.75" customHeight="1" spans="1:26">
      <c r="A23" s="85"/>
      <c r="B23" s="85"/>
      <c r="C23" s="85"/>
      <c r="D23" s="85"/>
      <c r="E23" s="85"/>
      <c r="F23" s="85"/>
      <c r="G23" s="85"/>
      <c r="H23" s="85"/>
      <c r="I23" s="91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2.75" customHeight="1" spans="1:26">
      <c r="A24" s="85"/>
      <c r="B24" s="85"/>
      <c r="C24" s="85"/>
      <c r="D24" s="85"/>
      <c r="E24" s="85"/>
      <c r="F24" s="85"/>
      <c r="G24" s="85"/>
      <c r="H24" s="85"/>
      <c r="I24" s="91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2.75" customHeight="1" spans="1:26">
      <c r="A25" s="85"/>
      <c r="B25" s="85"/>
      <c r="C25" s="85"/>
      <c r="D25" s="85"/>
      <c r="E25" s="85"/>
      <c r="F25" s="85"/>
      <c r="G25" s="85"/>
      <c r="H25" s="85"/>
      <c r="I25" s="91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2.75" customHeight="1" spans="1:26">
      <c r="A26" s="85"/>
      <c r="B26" s="85"/>
      <c r="C26" s="85"/>
      <c r="D26" s="85"/>
      <c r="E26" s="85"/>
      <c r="F26" s="85"/>
      <c r="G26" s="85"/>
      <c r="H26" s="85"/>
      <c r="I26" s="91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2.75" customHeight="1" spans="1:26">
      <c r="A27" s="85"/>
      <c r="B27" s="85"/>
      <c r="C27" s="85"/>
      <c r="D27" s="85"/>
      <c r="E27" s="85"/>
      <c r="F27" s="85"/>
      <c r="G27" s="85"/>
      <c r="H27" s="85"/>
      <c r="I27" s="91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2.75" customHeight="1" spans="1:26">
      <c r="A28" s="85"/>
      <c r="B28" s="85"/>
      <c r="C28" s="85"/>
      <c r="D28" s="85"/>
      <c r="E28" s="85"/>
      <c r="F28" s="85"/>
      <c r="G28" s="85"/>
      <c r="H28" s="85"/>
      <c r="I28" s="91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2.75" customHeight="1" spans="1:26">
      <c r="A29" s="85"/>
      <c r="B29" s="85"/>
      <c r="C29" s="85"/>
      <c r="D29" s="85"/>
      <c r="E29" s="85"/>
      <c r="F29" s="85"/>
      <c r="G29" s="85"/>
      <c r="H29" s="85"/>
      <c r="I29" s="91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2.75" customHeight="1" spans="1:26">
      <c r="A30" s="85"/>
      <c r="B30" s="85"/>
      <c r="C30" s="85"/>
      <c r="D30" s="85"/>
      <c r="E30" s="85"/>
      <c r="F30" s="85"/>
      <c r="G30" s="85"/>
      <c r="H30" s="85"/>
      <c r="I30" s="91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2.75" customHeight="1" spans="1:26">
      <c r="A31" s="85"/>
      <c r="B31" s="85"/>
      <c r="C31" s="85"/>
      <c r="D31" s="85"/>
      <c r="E31" s="85"/>
      <c r="F31" s="85"/>
      <c r="G31" s="85"/>
      <c r="H31" s="85"/>
      <c r="I31" s="91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2.75" customHeight="1" spans="1:26">
      <c r="A32" s="85"/>
      <c r="B32" s="85"/>
      <c r="C32" s="85"/>
      <c r="D32" s="85"/>
      <c r="E32" s="85"/>
      <c r="F32" s="85"/>
      <c r="G32" s="85"/>
      <c r="H32" s="85"/>
      <c r="I32" s="91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2.75" customHeight="1" spans="1:26">
      <c r="A33" s="85"/>
      <c r="B33" s="85"/>
      <c r="C33" s="85"/>
      <c r="D33" s="85"/>
      <c r="E33" s="85"/>
      <c r="F33" s="85"/>
      <c r="G33" s="85"/>
      <c r="H33" s="85"/>
      <c r="I33" s="91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2.75" customHeight="1" spans="1:26">
      <c r="A34" s="85"/>
      <c r="B34" s="85"/>
      <c r="C34" s="85"/>
      <c r="D34" s="85"/>
      <c r="E34" s="85"/>
      <c r="F34" s="85"/>
      <c r="G34" s="85"/>
      <c r="H34" s="85"/>
      <c r="I34" s="91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2.75" customHeight="1" spans="1:26">
      <c r="A35" s="85"/>
      <c r="B35" s="85"/>
      <c r="C35" s="85"/>
      <c r="D35" s="85"/>
      <c r="E35" s="85"/>
      <c r="F35" s="85"/>
      <c r="G35" s="85"/>
      <c r="H35" s="85"/>
      <c r="I35" s="91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2.75" customHeight="1" spans="1:26">
      <c r="A36" s="85"/>
      <c r="B36" s="85"/>
      <c r="C36" s="85"/>
      <c r="D36" s="85"/>
      <c r="E36" s="85"/>
      <c r="F36" s="85"/>
      <c r="G36" s="85"/>
      <c r="H36" s="85"/>
      <c r="I36" s="91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2.75" customHeight="1" spans="1:26">
      <c r="A37" s="85"/>
      <c r="B37" s="85"/>
      <c r="C37" s="85"/>
      <c r="D37" s="85"/>
      <c r="E37" s="85"/>
      <c r="F37" s="85"/>
      <c r="G37" s="85"/>
      <c r="H37" s="85"/>
      <c r="I37" s="91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2.75" customHeight="1" spans="1:26">
      <c r="A38" s="85"/>
      <c r="B38" s="85"/>
      <c r="C38" s="85"/>
      <c r="D38" s="85"/>
      <c r="E38" s="85"/>
      <c r="F38" s="85"/>
      <c r="G38" s="85"/>
      <c r="H38" s="85"/>
      <c r="I38" s="91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2.75" customHeight="1" spans="1:26">
      <c r="A39" s="85"/>
      <c r="B39" s="85"/>
      <c r="C39" s="85"/>
      <c r="D39" s="85"/>
      <c r="E39" s="85"/>
      <c r="F39" s="85"/>
      <c r="G39" s="85"/>
      <c r="H39" s="85"/>
      <c r="I39" s="91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2.75" customHeight="1" spans="1:26">
      <c r="A40" s="85"/>
      <c r="B40" s="85"/>
      <c r="C40" s="85"/>
      <c r="D40" s="85"/>
      <c r="E40" s="85"/>
      <c r="F40" s="85"/>
      <c r="G40" s="85"/>
      <c r="H40" s="85"/>
      <c r="I40" s="91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2.75" customHeight="1" spans="1:26">
      <c r="A41" s="85"/>
      <c r="B41" s="85"/>
      <c r="C41" s="85"/>
      <c r="D41" s="85"/>
      <c r="E41" s="85"/>
      <c r="F41" s="85"/>
      <c r="G41" s="85"/>
      <c r="H41" s="85"/>
      <c r="I41" s="91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2.75" customHeight="1" spans="1:26">
      <c r="A42" s="85"/>
      <c r="B42" s="85"/>
      <c r="C42" s="85"/>
      <c r="D42" s="85"/>
      <c r="E42" s="85"/>
      <c r="F42" s="85"/>
      <c r="G42" s="85"/>
      <c r="H42" s="85"/>
      <c r="I42" s="91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2.75" customHeight="1" spans="1:26">
      <c r="A43" s="85"/>
      <c r="B43" s="85"/>
      <c r="C43" s="85"/>
      <c r="D43" s="85"/>
      <c r="E43" s="85"/>
      <c r="F43" s="85"/>
      <c r="G43" s="85"/>
      <c r="H43" s="85"/>
      <c r="I43" s="91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2.75" customHeight="1" spans="1:26">
      <c r="A44" s="85"/>
      <c r="B44" s="85"/>
      <c r="C44" s="85"/>
      <c r="D44" s="85"/>
      <c r="E44" s="85"/>
      <c r="F44" s="85"/>
      <c r="G44" s="85"/>
      <c r="H44" s="85"/>
      <c r="I44" s="91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2.75" customHeight="1" spans="1:26">
      <c r="A45" s="85"/>
      <c r="B45" s="85"/>
      <c r="C45" s="85"/>
      <c r="D45" s="85"/>
      <c r="E45" s="85"/>
      <c r="F45" s="85"/>
      <c r="G45" s="85"/>
      <c r="H45" s="85"/>
      <c r="I45" s="91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2.75" customHeight="1" spans="1:26">
      <c r="A46" s="85"/>
      <c r="B46" s="85"/>
      <c r="C46" s="85"/>
      <c r="D46" s="85"/>
      <c r="E46" s="85"/>
      <c r="F46" s="85"/>
      <c r="G46" s="85"/>
      <c r="H46" s="85"/>
      <c r="I46" s="91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2.75" customHeight="1" spans="1:26">
      <c r="A47" s="85"/>
      <c r="B47" s="85"/>
      <c r="C47" s="85"/>
      <c r="D47" s="85"/>
      <c r="E47" s="85"/>
      <c r="F47" s="85"/>
      <c r="G47" s="85"/>
      <c r="H47" s="85"/>
      <c r="I47" s="91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2.75" customHeight="1" spans="1:26">
      <c r="A48" s="85"/>
      <c r="B48" s="85"/>
      <c r="C48" s="85"/>
      <c r="D48" s="85"/>
      <c r="E48" s="85"/>
      <c r="F48" s="85"/>
      <c r="G48" s="85"/>
      <c r="H48" s="85"/>
      <c r="I48" s="91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2.75" customHeight="1" spans="1:26">
      <c r="A49" s="85"/>
      <c r="B49" s="85"/>
      <c r="C49" s="85"/>
      <c r="D49" s="85"/>
      <c r="E49" s="85"/>
      <c r="F49" s="85"/>
      <c r="G49" s="85"/>
      <c r="H49" s="85"/>
      <c r="I49" s="91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2.75" customHeight="1" spans="1:26">
      <c r="A50" s="85"/>
      <c r="B50" s="85"/>
      <c r="C50" s="85"/>
      <c r="D50" s="85"/>
      <c r="E50" s="85"/>
      <c r="F50" s="85"/>
      <c r="G50" s="85"/>
      <c r="H50" s="85"/>
      <c r="I50" s="91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2.75" customHeight="1" spans="1:26">
      <c r="A51" s="85"/>
      <c r="B51" s="85"/>
      <c r="C51" s="85"/>
      <c r="D51" s="85"/>
      <c r="E51" s="85"/>
      <c r="F51" s="85"/>
      <c r="G51" s="85"/>
      <c r="H51" s="85"/>
      <c r="I51" s="91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2.75" customHeight="1" spans="1:26">
      <c r="A52" s="85"/>
      <c r="B52" s="85"/>
      <c r="C52" s="85"/>
      <c r="D52" s="85"/>
      <c r="E52" s="85"/>
      <c r="F52" s="85"/>
      <c r="G52" s="85"/>
      <c r="H52" s="85"/>
      <c r="I52" s="91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2.75" customHeight="1" spans="1:26">
      <c r="A53" s="85"/>
      <c r="B53" s="85"/>
      <c r="C53" s="85"/>
      <c r="D53" s="85"/>
      <c r="E53" s="85"/>
      <c r="F53" s="85"/>
      <c r="G53" s="85"/>
      <c r="H53" s="85"/>
      <c r="I53" s="91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2.75" customHeight="1" spans="1:26">
      <c r="A54" s="85"/>
      <c r="B54" s="85"/>
      <c r="C54" s="85"/>
      <c r="D54" s="85"/>
      <c r="E54" s="85"/>
      <c r="F54" s="85"/>
      <c r="G54" s="85"/>
      <c r="H54" s="85"/>
      <c r="I54" s="91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2.75" customHeight="1" spans="1:26">
      <c r="A55" s="85"/>
      <c r="B55" s="85"/>
      <c r="C55" s="85"/>
      <c r="D55" s="85"/>
      <c r="E55" s="85"/>
      <c r="F55" s="85"/>
      <c r="G55" s="85"/>
      <c r="H55" s="85"/>
      <c r="I55" s="91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2.75" customHeight="1" spans="1:26">
      <c r="A56" s="85"/>
      <c r="B56" s="85"/>
      <c r="C56" s="85"/>
      <c r="D56" s="85"/>
      <c r="E56" s="85"/>
      <c r="F56" s="85"/>
      <c r="G56" s="85"/>
      <c r="H56" s="85"/>
      <c r="I56" s="91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2.75" customHeight="1" spans="1:26">
      <c r="A57" s="85"/>
      <c r="B57" s="85"/>
      <c r="C57" s="85"/>
      <c r="D57" s="85"/>
      <c r="E57" s="85"/>
      <c r="F57" s="85"/>
      <c r="G57" s="85"/>
      <c r="H57" s="85"/>
      <c r="I57" s="91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2.75" customHeight="1" spans="1:26">
      <c r="A58" s="85"/>
      <c r="B58" s="85"/>
      <c r="C58" s="85"/>
      <c r="D58" s="85"/>
      <c r="E58" s="85"/>
      <c r="F58" s="85"/>
      <c r="G58" s="85"/>
      <c r="H58" s="85"/>
      <c r="I58" s="91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2.75" customHeight="1" spans="1:26">
      <c r="A59" s="85"/>
      <c r="B59" s="85"/>
      <c r="C59" s="85"/>
      <c r="D59" s="85"/>
      <c r="E59" s="85"/>
      <c r="F59" s="85"/>
      <c r="G59" s="85"/>
      <c r="H59" s="85"/>
      <c r="I59" s="91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2.75" customHeight="1" spans="1:26">
      <c r="A60" s="85"/>
      <c r="B60" s="85"/>
      <c r="C60" s="85"/>
      <c r="D60" s="85"/>
      <c r="E60" s="85"/>
      <c r="F60" s="85"/>
      <c r="G60" s="85"/>
      <c r="H60" s="85"/>
      <c r="I60" s="91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2.75" customHeight="1" spans="1:26">
      <c r="A61" s="85"/>
      <c r="B61" s="85"/>
      <c r="C61" s="85"/>
      <c r="D61" s="85"/>
      <c r="E61" s="85"/>
      <c r="F61" s="85"/>
      <c r="G61" s="85"/>
      <c r="H61" s="85"/>
      <c r="I61" s="91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2.75" customHeight="1" spans="1:26">
      <c r="A62" s="85"/>
      <c r="B62" s="85"/>
      <c r="C62" s="85"/>
      <c r="D62" s="85"/>
      <c r="E62" s="85"/>
      <c r="F62" s="85"/>
      <c r="G62" s="85"/>
      <c r="H62" s="85"/>
      <c r="I62" s="91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2.75" customHeight="1" spans="1:26">
      <c r="A63" s="85"/>
      <c r="B63" s="85"/>
      <c r="C63" s="85"/>
      <c r="D63" s="85"/>
      <c r="E63" s="85"/>
      <c r="F63" s="85"/>
      <c r="G63" s="85"/>
      <c r="H63" s="85"/>
      <c r="I63" s="91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2.75" customHeight="1" spans="1:26">
      <c r="A64" s="85"/>
      <c r="B64" s="85"/>
      <c r="C64" s="85"/>
      <c r="D64" s="85"/>
      <c r="E64" s="85"/>
      <c r="F64" s="85"/>
      <c r="G64" s="85"/>
      <c r="H64" s="85"/>
      <c r="I64" s="91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2.75" customHeight="1" spans="1:26">
      <c r="A65" s="85"/>
      <c r="B65" s="85"/>
      <c r="C65" s="85"/>
      <c r="D65" s="85"/>
      <c r="E65" s="85"/>
      <c r="F65" s="85"/>
      <c r="G65" s="85"/>
      <c r="H65" s="85"/>
      <c r="I65" s="91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2.75" customHeight="1" spans="1:26">
      <c r="A66" s="85"/>
      <c r="B66" s="85"/>
      <c r="C66" s="85"/>
      <c r="D66" s="85"/>
      <c r="E66" s="85"/>
      <c r="F66" s="85"/>
      <c r="G66" s="85"/>
      <c r="H66" s="85"/>
      <c r="I66" s="91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2.75" customHeight="1" spans="1:26">
      <c r="A67" s="85"/>
      <c r="B67" s="85"/>
      <c r="C67" s="85"/>
      <c r="D67" s="85"/>
      <c r="E67" s="85"/>
      <c r="F67" s="85"/>
      <c r="G67" s="85"/>
      <c r="H67" s="85"/>
      <c r="I67" s="91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2.75" customHeight="1" spans="1:26">
      <c r="A68" s="85"/>
      <c r="B68" s="85"/>
      <c r="C68" s="85"/>
      <c r="D68" s="85"/>
      <c r="E68" s="85"/>
      <c r="F68" s="85"/>
      <c r="G68" s="85"/>
      <c r="H68" s="85"/>
      <c r="I68" s="91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2.75" customHeight="1" spans="1:26">
      <c r="A69" s="85"/>
      <c r="B69" s="85"/>
      <c r="C69" s="85"/>
      <c r="D69" s="85"/>
      <c r="E69" s="85"/>
      <c r="F69" s="85"/>
      <c r="G69" s="85"/>
      <c r="H69" s="85"/>
      <c r="I69" s="91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2.75" customHeight="1" spans="1:26">
      <c r="A70" s="85"/>
      <c r="B70" s="85"/>
      <c r="C70" s="85"/>
      <c r="D70" s="85"/>
      <c r="E70" s="85"/>
      <c r="F70" s="85"/>
      <c r="G70" s="85"/>
      <c r="H70" s="85"/>
      <c r="I70" s="91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2.75" customHeight="1" spans="1:26">
      <c r="A71" s="85"/>
      <c r="B71" s="85"/>
      <c r="C71" s="85"/>
      <c r="D71" s="85"/>
      <c r="E71" s="85"/>
      <c r="F71" s="85"/>
      <c r="G71" s="85"/>
      <c r="H71" s="85"/>
      <c r="I71" s="91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2.75" customHeight="1" spans="1:26">
      <c r="A72" s="85"/>
      <c r="B72" s="85"/>
      <c r="C72" s="85"/>
      <c r="D72" s="85"/>
      <c r="E72" s="85"/>
      <c r="F72" s="85"/>
      <c r="G72" s="85"/>
      <c r="H72" s="85"/>
      <c r="I72" s="91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2.75" customHeight="1" spans="1:26">
      <c r="A73" s="85"/>
      <c r="B73" s="85"/>
      <c r="C73" s="85"/>
      <c r="D73" s="85"/>
      <c r="E73" s="85"/>
      <c r="F73" s="85"/>
      <c r="G73" s="85"/>
      <c r="H73" s="85"/>
      <c r="I73" s="91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2.75" customHeight="1" spans="1:26">
      <c r="A74" s="85"/>
      <c r="B74" s="85"/>
      <c r="C74" s="85"/>
      <c r="D74" s="85"/>
      <c r="E74" s="85"/>
      <c r="F74" s="85"/>
      <c r="G74" s="85"/>
      <c r="H74" s="85"/>
      <c r="I74" s="91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2.75" customHeight="1" spans="1:26">
      <c r="A75" s="85"/>
      <c r="B75" s="85"/>
      <c r="C75" s="85"/>
      <c r="D75" s="85"/>
      <c r="E75" s="85"/>
      <c r="F75" s="85"/>
      <c r="G75" s="85"/>
      <c r="H75" s="85"/>
      <c r="I75" s="91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2.75" customHeight="1" spans="1:26">
      <c r="A76" s="85"/>
      <c r="B76" s="85"/>
      <c r="C76" s="85"/>
      <c r="D76" s="85"/>
      <c r="E76" s="85"/>
      <c r="F76" s="85"/>
      <c r="G76" s="85"/>
      <c r="H76" s="85"/>
      <c r="I76" s="91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2.75" customHeight="1" spans="1:26">
      <c r="A77" s="85"/>
      <c r="B77" s="85"/>
      <c r="C77" s="85"/>
      <c r="D77" s="85"/>
      <c r="E77" s="85"/>
      <c r="F77" s="85"/>
      <c r="G77" s="85"/>
      <c r="H77" s="85"/>
      <c r="I77" s="91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2.75" customHeight="1" spans="1:26">
      <c r="A78" s="85"/>
      <c r="B78" s="85"/>
      <c r="C78" s="85"/>
      <c r="D78" s="85"/>
      <c r="E78" s="85"/>
      <c r="F78" s="85"/>
      <c r="G78" s="85"/>
      <c r="H78" s="85"/>
      <c r="I78" s="91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2.75" customHeight="1" spans="1:26">
      <c r="A79" s="85"/>
      <c r="B79" s="85"/>
      <c r="C79" s="85"/>
      <c r="D79" s="85"/>
      <c r="E79" s="85"/>
      <c r="F79" s="85"/>
      <c r="G79" s="85"/>
      <c r="H79" s="85"/>
      <c r="I79" s="91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2.75" customHeight="1" spans="1:26">
      <c r="A80" s="85"/>
      <c r="B80" s="85"/>
      <c r="C80" s="85"/>
      <c r="D80" s="85"/>
      <c r="E80" s="85"/>
      <c r="F80" s="85"/>
      <c r="G80" s="85"/>
      <c r="H80" s="85"/>
      <c r="I80" s="91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2.75" customHeight="1" spans="1:26">
      <c r="A81" s="85"/>
      <c r="B81" s="85"/>
      <c r="C81" s="85"/>
      <c r="D81" s="85"/>
      <c r="E81" s="85"/>
      <c r="F81" s="85"/>
      <c r="G81" s="85"/>
      <c r="H81" s="85"/>
      <c r="I81" s="91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2.75" customHeight="1" spans="1:26">
      <c r="A82" s="85"/>
      <c r="B82" s="85"/>
      <c r="C82" s="85"/>
      <c r="D82" s="85"/>
      <c r="E82" s="85"/>
      <c r="F82" s="85"/>
      <c r="G82" s="85"/>
      <c r="H82" s="85"/>
      <c r="I82" s="91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2.75" customHeight="1" spans="1:26">
      <c r="A83" s="85"/>
      <c r="B83" s="85"/>
      <c r="C83" s="85"/>
      <c r="D83" s="85"/>
      <c r="E83" s="85"/>
      <c r="F83" s="85"/>
      <c r="G83" s="85"/>
      <c r="H83" s="85"/>
      <c r="I83" s="91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2.75" customHeight="1" spans="1:26">
      <c r="A84" s="85"/>
      <c r="B84" s="85"/>
      <c r="C84" s="85"/>
      <c r="D84" s="85"/>
      <c r="E84" s="85"/>
      <c r="F84" s="85"/>
      <c r="G84" s="85"/>
      <c r="H84" s="85"/>
      <c r="I84" s="91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2.75" customHeight="1" spans="1:26">
      <c r="A85" s="85"/>
      <c r="B85" s="85"/>
      <c r="C85" s="85"/>
      <c r="D85" s="85"/>
      <c r="E85" s="85"/>
      <c r="F85" s="85"/>
      <c r="G85" s="85"/>
      <c r="H85" s="85"/>
      <c r="I85" s="91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2.75" customHeight="1" spans="1:26">
      <c r="A86" s="85"/>
      <c r="B86" s="85"/>
      <c r="C86" s="85"/>
      <c r="D86" s="85"/>
      <c r="E86" s="85"/>
      <c r="F86" s="85"/>
      <c r="G86" s="85"/>
      <c r="H86" s="85"/>
      <c r="I86" s="91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2.75" customHeight="1" spans="1:26">
      <c r="A87" s="85"/>
      <c r="B87" s="85"/>
      <c r="C87" s="85"/>
      <c r="D87" s="85"/>
      <c r="E87" s="85"/>
      <c r="F87" s="85"/>
      <c r="G87" s="85"/>
      <c r="H87" s="85"/>
      <c r="I87" s="91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2.75" customHeight="1" spans="1:26">
      <c r="A88" s="85"/>
      <c r="B88" s="85"/>
      <c r="C88" s="85"/>
      <c r="D88" s="85"/>
      <c r="E88" s="85"/>
      <c r="F88" s="85"/>
      <c r="G88" s="85"/>
      <c r="H88" s="85"/>
      <c r="I88" s="91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2.75" customHeight="1" spans="1:26">
      <c r="A89" s="85"/>
      <c r="B89" s="85"/>
      <c r="C89" s="85"/>
      <c r="D89" s="85"/>
      <c r="E89" s="85"/>
      <c r="F89" s="85"/>
      <c r="G89" s="85"/>
      <c r="H89" s="85"/>
      <c r="I89" s="91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2.75" customHeight="1" spans="1:26">
      <c r="A90" s="85"/>
      <c r="B90" s="85"/>
      <c r="C90" s="85"/>
      <c r="D90" s="85"/>
      <c r="E90" s="85"/>
      <c r="F90" s="85"/>
      <c r="G90" s="85"/>
      <c r="H90" s="85"/>
      <c r="I90" s="91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2.75" customHeight="1" spans="1:26">
      <c r="A91" s="85"/>
      <c r="B91" s="85"/>
      <c r="C91" s="85"/>
      <c r="D91" s="85"/>
      <c r="E91" s="85"/>
      <c r="F91" s="85"/>
      <c r="G91" s="85"/>
      <c r="H91" s="85"/>
      <c r="I91" s="91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2.75" customHeight="1" spans="1:26">
      <c r="A92" s="85"/>
      <c r="B92" s="85"/>
      <c r="C92" s="85"/>
      <c r="D92" s="85"/>
      <c r="E92" s="85"/>
      <c r="F92" s="85"/>
      <c r="G92" s="85"/>
      <c r="H92" s="85"/>
      <c r="I92" s="91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2.75" customHeight="1" spans="1:26">
      <c r="A93" s="85"/>
      <c r="B93" s="85"/>
      <c r="C93" s="85"/>
      <c r="D93" s="85"/>
      <c r="E93" s="85"/>
      <c r="F93" s="85"/>
      <c r="G93" s="85"/>
      <c r="H93" s="85"/>
      <c r="I93" s="91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2.75" customHeight="1" spans="1:26">
      <c r="A94" s="85"/>
      <c r="B94" s="85"/>
      <c r="C94" s="85"/>
      <c r="D94" s="85"/>
      <c r="E94" s="85"/>
      <c r="F94" s="85"/>
      <c r="G94" s="85"/>
      <c r="H94" s="85"/>
      <c r="I94" s="91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2.75" customHeight="1" spans="1:26">
      <c r="A95" s="85"/>
      <c r="B95" s="85"/>
      <c r="C95" s="85"/>
      <c r="D95" s="85"/>
      <c r="E95" s="85"/>
      <c r="F95" s="85"/>
      <c r="G95" s="85"/>
      <c r="H95" s="85"/>
      <c r="I95" s="91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2.75" customHeight="1" spans="1:26">
      <c r="A96" s="85"/>
      <c r="B96" s="85"/>
      <c r="C96" s="85"/>
      <c r="D96" s="85"/>
      <c r="E96" s="85"/>
      <c r="F96" s="85"/>
      <c r="G96" s="85"/>
      <c r="H96" s="85"/>
      <c r="I96" s="91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2.75" customHeight="1" spans="1:26">
      <c r="A97" s="85"/>
      <c r="B97" s="85"/>
      <c r="C97" s="85"/>
      <c r="D97" s="85"/>
      <c r="E97" s="85"/>
      <c r="F97" s="85"/>
      <c r="G97" s="85"/>
      <c r="H97" s="85"/>
      <c r="I97" s="91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2.75" customHeight="1" spans="1:26">
      <c r="A98" s="85"/>
      <c r="B98" s="85"/>
      <c r="C98" s="85"/>
      <c r="D98" s="85"/>
      <c r="E98" s="85"/>
      <c r="F98" s="85"/>
      <c r="G98" s="85"/>
      <c r="H98" s="85"/>
      <c r="I98" s="91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2.75" customHeight="1" spans="1:26">
      <c r="A99" s="85"/>
      <c r="B99" s="85"/>
      <c r="C99" s="85"/>
      <c r="D99" s="85"/>
      <c r="E99" s="85"/>
      <c r="F99" s="85"/>
      <c r="G99" s="85"/>
      <c r="H99" s="85"/>
      <c r="I99" s="91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2.75" customHeight="1" spans="1:26">
      <c r="A100" s="85"/>
      <c r="B100" s="85"/>
      <c r="C100" s="85"/>
      <c r="D100" s="85"/>
      <c r="E100" s="85"/>
      <c r="F100" s="85"/>
      <c r="G100" s="85"/>
      <c r="H100" s="85"/>
      <c r="I100" s="91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2.75" customHeight="1" spans="1:26">
      <c r="A101" s="85"/>
      <c r="B101" s="85"/>
      <c r="C101" s="85"/>
      <c r="D101" s="85"/>
      <c r="E101" s="85"/>
      <c r="F101" s="85"/>
      <c r="G101" s="85"/>
      <c r="H101" s="85"/>
      <c r="I101" s="91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2.75" customHeight="1" spans="1:26">
      <c r="A102" s="85"/>
      <c r="B102" s="85"/>
      <c r="C102" s="85"/>
      <c r="D102" s="85"/>
      <c r="E102" s="85"/>
      <c r="F102" s="85"/>
      <c r="G102" s="85"/>
      <c r="H102" s="85"/>
      <c r="I102" s="91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2.75" customHeight="1" spans="1:26">
      <c r="A103" s="85"/>
      <c r="B103" s="85"/>
      <c r="C103" s="85"/>
      <c r="D103" s="85"/>
      <c r="E103" s="85"/>
      <c r="F103" s="85"/>
      <c r="G103" s="85"/>
      <c r="H103" s="85"/>
      <c r="I103" s="91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2.75" customHeight="1" spans="1:26">
      <c r="A104" s="85"/>
      <c r="B104" s="85"/>
      <c r="C104" s="85"/>
      <c r="D104" s="85"/>
      <c r="E104" s="85"/>
      <c r="F104" s="85"/>
      <c r="G104" s="85"/>
      <c r="H104" s="85"/>
      <c r="I104" s="91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2.75" customHeight="1" spans="1:26">
      <c r="A105" s="85"/>
      <c r="B105" s="85"/>
      <c r="C105" s="85"/>
      <c r="D105" s="85"/>
      <c r="E105" s="85"/>
      <c r="F105" s="85"/>
      <c r="G105" s="85"/>
      <c r="H105" s="85"/>
      <c r="I105" s="91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2.75" customHeight="1" spans="1:26">
      <c r="A106" s="85"/>
      <c r="B106" s="85"/>
      <c r="C106" s="85"/>
      <c r="D106" s="85"/>
      <c r="E106" s="85"/>
      <c r="F106" s="85"/>
      <c r="G106" s="85"/>
      <c r="H106" s="85"/>
      <c r="I106" s="91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2.75" customHeight="1" spans="1:26">
      <c r="A107" s="85"/>
      <c r="B107" s="85"/>
      <c r="C107" s="85"/>
      <c r="D107" s="85"/>
      <c r="E107" s="85"/>
      <c r="F107" s="85"/>
      <c r="G107" s="85"/>
      <c r="H107" s="85"/>
      <c r="I107" s="91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2.75" customHeight="1" spans="1:26">
      <c r="A108" s="85"/>
      <c r="B108" s="85"/>
      <c r="C108" s="85"/>
      <c r="D108" s="85"/>
      <c r="E108" s="85"/>
      <c r="F108" s="85"/>
      <c r="G108" s="85"/>
      <c r="H108" s="85"/>
      <c r="I108" s="91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2.75" customHeight="1" spans="1:26">
      <c r="A109" s="85"/>
      <c r="B109" s="85"/>
      <c r="C109" s="85"/>
      <c r="D109" s="85"/>
      <c r="E109" s="85"/>
      <c r="F109" s="85"/>
      <c r="G109" s="85"/>
      <c r="H109" s="85"/>
      <c r="I109" s="91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2.75" customHeight="1" spans="1:26">
      <c r="A110" s="85"/>
      <c r="B110" s="85"/>
      <c r="C110" s="85"/>
      <c r="D110" s="85"/>
      <c r="E110" s="85"/>
      <c r="F110" s="85"/>
      <c r="G110" s="85"/>
      <c r="H110" s="85"/>
      <c r="I110" s="91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2.75" customHeight="1" spans="1:26">
      <c r="A111" s="85"/>
      <c r="B111" s="85"/>
      <c r="C111" s="85"/>
      <c r="D111" s="85"/>
      <c r="E111" s="85"/>
      <c r="F111" s="85"/>
      <c r="G111" s="85"/>
      <c r="H111" s="85"/>
      <c r="I111" s="91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2.75" customHeight="1" spans="1:26">
      <c r="A112" s="85"/>
      <c r="B112" s="85"/>
      <c r="C112" s="85"/>
      <c r="D112" s="85"/>
      <c r="E112" s="85"/>
      <c r="F112" s="85"/>
      <c r="G112" s="85"/>
      <c r="H112" s="85"/>
      <c r="I112" s="91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2.75" customHeight="1" spans="1:26">
      <c r="A113" s="85"/>
      <c r="B113" s="85"/>
      <c r="C113" s="85"/>
      <c r="D113" s="85"/>
      <c r="E113" s="85"/>
      <c r="F113" s="85"/>
      <c r="G113" s="85"/>
      <c r="H113" s="85"/>
      <c r="I113" s="91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2.75" customHeight="1" spans="1:26">
      <c r="A114" s="85"/>
      <c r="B114" s="85"/>
      <c r="C114" s="85"/>
      <c r="D114" s="85"/>
      <c r="E114" s="85"/>
      <c r="F114" s="85"/>
      <c r="G114" s="85"/>
      <c r="H114" s="85"/>
      <c r="I114" s="91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2.75" customHeight="1" spans="1:26">
      <c r="A115" s="85"/>
      <c r="B115" s="85"/>
      <c r="C115" s="85"/>
      <c r="D115" s="85"/>
      <c r="E115" s="85"/>
      <c r="F115" s="85"/>
      <c r="G115" s="85"/>
      <c r="H115" s="85"/>
      <c r="I115" s="91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2.75" customHeight="1" spans="1:26">
      <c r="A116" s="85"/>
      <c r="B116" s="85"/>
      <c r="C116" s="85"/>
      <c r="D116" s="85"/>
      <c r="E116" s="85"/>
      <c r="F116" s="85"/>
      <c r="G116" s="85"/>
      <c r="H116" s="85"/>
      <c r="I116" s="91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2.75" customHeight="1" spans="1:26">
      <c r="A117" s="85"/>
      <c r="B117" s="85"/>
      <c r="C117" s="85"/>
      <c r="D117" s="85"/>
      <c r="E117" s="85"/>
      <c r="F117" s="85"/>
      <c r="G117" s="85"/>
      <c r="H117" s="85"/>
      <c r="I117" s="91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2.75" customHeight="1" spans="1:26">
      <c r="A118" s="85"/>
      <c r="B118" s="85"/>
      <c r="C118" s="85"/>
      <c r="D118" s="85"/>
      <c r="E118" s="85"/>
      <c r="F118" s="85"/>
      <c r="G118" s="85"/>
      <c r="H118" s="85"/>
      <c r="I118" s="91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2.75" customHeight="1" spans="1:26">
      <c r="A119" s="85"/>
      <c r="B119" s="85"/>
      <c r="C119" s="85"/>
      <c r="D119" s="85"/>
      <c r="E119" s="85"/>
      <c r="F119" s="85"/>
      <c r="G119" s="85"/>
      <c r="H119" s="85"/>
      <c r="I119" s="91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2.75" customHeight="1" spans="1:26">
      <c r="A120" s="85"/>
      <c r="B120" s="85"/>
      <c r="C120" s="85"/>
      <c r="D120" s="85"/>
      <c r="E120" s="85"/>
      <c r="F120" s="85"/>
      <c r="G120" s="85"/>
      <c r="H120" s="85"/>
      <c r="I120" s="91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2.75" customHeight="1" spans="1:26">
      <c r="A121" s="85"/>
      <c r="B121" s="85"/>
      <c r="C121" s="85"/>
      <c r="D121" s="85"/>
      <c r="E121" s="85"/>
      <c r="F121" s="85"/>
      <c r="G121" s="85"/>
      <c r="H121" s="85"/>
      <c r="I121" s="91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2.75" customHeight="1" spans="1:26">
      <c r="A122" s="85"/>
      <c r="B122" s="85"/>
      <c r="C122" s="85"/>
      <c r="D122" s="85"/>
      <c r="E122" s="85"/>
      <c r="F122" s="85"/>
      <c r="G122" s="85"/>
      <c r="H122" s="85"/>
      <c r="I122" s="91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2.75" customHeight="1" spans="1:26">
      <c r="A123" s="85"/>
      <c r="B123" s="85"/>
      <c r="C123" s="85"/>
      <c r="D123" s="85"/>
      <c r="E123" s="85"/>
      <c r="F123" s="85"/>
      <c r="G123" s="85"/>
      <c r="H123" s="85"/>
      <c r="I123" s="91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2.75" customHeight="1" spans="1:26">
      <c r="A124" s="85"/>
      <c r="B124" s="85"/>
      <c r="C124" s="85"/>
      <c r="D124" s="85"/>
      <c r="E124" s="85"/>
      <c r="F124" s="85"/>
      <c r="G124" s="85"/>
      <c r="H124" s="85"/>
      <c r="I124" s="91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2.75" customHeight="1" spans="1:26">
      <c r="A125" s="85"/>
      <c r="B125" s="85"/>
      <c r="C125" s="85"/>
      <c r="D125" s="85"/>
      <c r="E125" s="85"/>
      <c r="F125" s="85"/>
      <c r="G125" s="85"/>
      <c r="H125" s="85"/>
      <c r="I125" s="91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2.75" customHeight="1" spans="1:26">
      <c r="A126" s="85"/>
      <c r="B126" s="85"/>
      <c r="C126" s="85"/>
      <c r="D126" s="85"/>
      <c r="E126" s="85"/>
      <c r="F126" s="85"/>
      <c r="G126" s="85"/>
      <c r="H126" s="85"/>
      <c r="I126" s="91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2.75" customHeight="1" spans="1:26">
      <c r="A127" s="85"/>
      <c r="B127" s="85"/>
      <c r="C127" s="85"/>
      <c r="D127" s="85"/>
      <c r="E127" s="85"/>
      <c r="F127" s="85"/>
      <c r="G127" s="85"/>
      <c r="H127" s="85"/>
      <c r="I127" s="91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2.75" customHeight="1" spans="1:26">
      <c r="A128" s="85"/>
      <c r="B128" s="85"/>
      <c r="C128" s="85"/>
      <c r="D128" s="85"/>
      <c r="E128" s="85"/>
      <c r="F128" s="85"/>
      <c r="G128" s="85"/>
      <c r="H128" s="85"/>
      <c r="I128" s="91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2.75" customHeight="1" spans="1:26">
      <c r="A129" s="85"/>
      <c r="B129" s="85"/>
      <c r="C129" s="85"/>
      <c r="D129" s="85"/>
      <c r="E129" s="85"/>
      <c r="F129" s="85"/>
      <c r="G129" s="85"/>
      <c r="H129" s="85"/>
      <c r="I129" s="91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2.75" customHeight="1" spans="1:26">
      <c r="A130" s="85"/>
      <c r="B130" s="85"/>
      <c r="C130" s="85"/>
      <c r="D130" s="85"/>
      <c r="E130" s="85"/>
      <c r="F130" s="85"/>
      <c r="G130" s="85"/>
      <c r="H130" s="85"/>
      <c r="I130" s="91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2.75" customHeight="1" spans="1:26">
      <c r="A131" s="85"/>
      <c r="B131" s="85"/>
      <c r="C131" s="85"/>
      <c r="D131" s="85"/>
      <c r="E131" s="85"/>
      <c r="F131" s="85"/>
      <c r="G131" s="85"/>
      <c r="H131" s="85"/>
      <c r="I131" s="91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2.75" customHeight="1" spans="1:26">
      <c r="A132" s="85"/>
      <c r="B132" s="85"/>
      <c r="C132" s="85"/>
      <c r="D132" s="85"/>
      <c r="E132" s="85"/>
      <c r="F132" s="85"/>
      <c r="G132" s="85"/>
      <c r="H132" s="85"/>
      <c r="I132" s="91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2.75" customHeight="1" spans="1:26">
      <c r="A133" s="85"/>
      <c r="B133" s="85"/>
      <c r="C133" s="85"/>
      <c r="D133" s="85"/>
      <c r="E133" s="85"/>
      <c r="F133" s="85"/>
      <c r="G133" s="85"/>
      <c r="H133" s="85"/>
      <c r="I133" s="91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2.75" customHeight="1" spans="1:26">
      <c r="A134" s="85"/>
      <c r="B134" s="85"/>
      <c r="C134" s="85"/>
      <c r="D134" s="85"/>
      <c r="E134" s="85"/>
      <c r="F134" s="85"/>
      <c r="G134" s="85"/>
      <c r="H134" s="85"/>
      <c r="I134" s="91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2.75" customHeight="1" spans="1:26">
      <c r="A135" s="85"/>
      <c r="B135" s="85"/>
      <c r="C135" s="85"/>
      <c r="D135" s="85"/>
      <c r="E135" s="85"/>
      <c r="F135" s="85"/>
      <c r="G135" s="85"/>
      <c r="H135" s="85"/>
      <c r="I135" s="91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2.75" customHeight="1" spans="1:26">
      <c r="A136" s="85"/>
      <c r="B136" s="85"/>
      <c r="C136" s="85"/>
      <c r="D136" s="85"/>
      <c r="E136" s="85"/>
      <c r="F136" s="85"/>
      <c r="G136" s="85"/>
      <c r="H136" s="85"/>
      <c r="I136" s="91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2.75" customHeight="1" spans="1:26">
      <c r="A137" s="85"/>
      <c r="B137" s="85"/>
      <c r="C137" s="85"/>
      <c r="D137" s="85"/>
      <c r="E137" s="85"/>
      <c r="F137" s="85"/>
      <c r="G137" s="85"/>
      <c r="H137" s="85"/>
      <c r="I137" s="91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2.75" customHeight="1" spans="1:26">
      <c r="A138" s="85"/>
      <c r="B138" s="85"/>
      <c r="C138" s="85"/>
      <c r="D138" s="85"/>
      <c r="E138" s="85"/>
      <c r="F138" s="85"/>
      <c r="G138" s="85"/>
      <c r="H138" s="85"/>
      <c r="I138" s="91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2.75" customHeight="1" spans="1:26">
      <c r="A139" s="85"/>
      <c r="B139" s="85"/>
      <c r="C139" s="85"/>
      <c r="D139" s="85"/>
      <c r="E139" s="85"/>
      <c r="F139" s="85"/>
      <c r="G139" s="85"/>
      <c r="H139" s="85"/>
      <c r="I139" s="91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2.75" customHeight="1" spans="1:26">
      <c r="A140" s="85"/>
      <c r="B140" s="85"/>
      <c r="C140" s="85"/>
      <c r="D140" s="85"/>
      <c r="E140" s="85"/>
      <c r="F140" s="85"/>
      <c r="G140" s="85"/>
      <c r="H140" s="85"/>
      <c r="I140" s="91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2.75" customHeight="1" spans="1:26">
      <c r="A141" s="85"/>
      <c r="B141" s="85"/>
      <c r="C141" s="85"/>
      <c r="D141" s="85"/>
      <c r="E141" s="85"/>
      <c r="F141" s="85"/>
      <c r="G141" s="85"/>
      <c r="H141" s="85"/>
      <c r="I141" s="91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2.75" customHeight="1" spans="1:26">
      <c r="A142" s="85"/>
      <c r="B142" s="85"/>
      <c r="C142" s="85"/>
      <c r="D142" s="85"/>
      <c r="E142" s="85"/>
      <c r="F142" s="85"/>
      <c r="G142" s="85"/>
      <c r="H142" s="85"/>
      <c r="I142" s="91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2.75" customHeight="1" spans="1:26">
      <c r="A143" s="85"/>
      <c r="B143" s="85"/>
      <c r="C143" s="85"/>
      <c r="D143" s="85"/>
      <c r="E143" s="85"/>
      <c r="F143" s="85"/>
      <c r="G143" s="85"/>
      <c r="H143" s="85"/>
      <c r="I143" s="91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2.75" customHeight="1" spans="1:26">
      <c r="A144" s="85"/>
      <c r="B144" s="85"/>
      <c r="C144" s="85"/>
      <c r="D144" s="85"/>
      <c r="E144" s="85"/>
      <c r="F144" s="85"/>
      <c r="G144" s="85"/>
      <c r="H144" s="85"/>
      <c r="I144" s="91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2.75" customHeight="1" spans="1:26">
      <c r="A145" s="85"/>
      <c r="B145" s="85"/>
      <c r="C145" s="85"/>
      <c r="D145" s="85"/>
      <c r="E145" s="85"/>
      <c r="F145" s="85"/>
      <c r="G145" s="85"/>
      <c r="H145" s="85"/>
      <c r="I145" s="91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2.75" customHeight="1" spans="1:26">
      <c r="A146" s="85"/>
      <c r="B146" s="85"/>
      <c r="C146" s="85"/>
      <c r="D146" s="85"/>
      <c r="E146" s="85"/>
      <c r="F146" s="85"/>
      <c r="G146" s="85"/>
      <c r="H146" s="85"/>
      <c r="I146" s="91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2.75" customHeight="1" spans="1:26">
      <c r="A147" s="85"/>
      <c r="B147" s="85"/>
      <c r="C147" s="85"/>
      <c r="D147" s="85"/>
      <c r="E147" s="85"/>
      <c r="F147" s="85"/>
      <c r="G147" s="85"/>
      <c r="H147" s="85"/>
      <c r="I147" s="91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2.75" customHeight="1" spans="1:26">
      <c r="A148" s="85"/>
      <c r="B148" s="85"/>
      <c r="C148" s="85"/>
      <c r="D148" s="85"/>
      <c r="E148" s="85"/>
      <c r="F148" s="85"/>
      <c r="G148" s="85"/>
      <c r="H148" s="85"/>
      <c r="I148" s="91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2.75" customHeight="1" spans="1:26">
      <c r="A149" s="85"/>
      <c r="B149" s="85"/>
      <c r="C149" s="85"/>
      <c r="D149" s="85"/>
      <c r="E149" s="85"/>
      <c r="F149" s="85"/>
      <c r="G149" s="85"/>
      <c r="H149" s="85"/>
      <c r="I149" s="91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2.75" customHeight="1" spans="1:26">
      <c r="A150" s="85"/>
      <c r="B150" s="85"/>
      <c r="C150" s="85"/>
      <c r="D150" s="85"/>
      <c r="E150" s="85"/>
      <c r="F150" s="85"/>
      <c r="G150" s="85"/>
      <c r="H150" s="85"/>
      <c r="I150" s="91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2.75" customHeight="1" spans="1:26">
      <c r="A151" s="85"/>
      <c r="B151" s="85"/>
      <c r="C151" s="85"/>
      <c r="D151" s="85"/>
      <c r="E151" s="85"/>
      <c r="F151" s="85"/>
      <c r="G151" s="85"/>
      <c r="H151" s="85"/>
      <c r="I151" s="91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2.75" customHeight="1" spans="1:26">
      <c r="A152" s="85"/>
      <c r="B152" s="85"/>
      <c r="C152" s="85"/>
      <c r="D152" s="85"/>
      <c r="E152" s="85"/>
      <c r="F152" s="85"/>
      <c r="G152" s="85"/>
      <c r="H152" s="85"/>
      <c r="I152" s="91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2.75" customHeight="1" spans="1:26">
      <c r="A153" s="85"/>
      <c r="B153" s="85"/>
      <c r="C153" s="85"/>
      <c r="D153" s="85"/>
      <c r="E153" s="85"/>
      <c r="F153" s="85"/>
      <c r="G153" s="85"/>
      <c r="H153" s="85"/>
      <c r="I153" s="91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2.75" customHeight="1" spans="1:26">
      <c r="A154" s="85"/>
      <c r="B154" s="85"/>
      <c r="C154" s="85"/>
      <c r="D154" s="85"/>
      <c r="E154" s="85"/>
      <c r="F154" s="85"/>
      <c r="G154" s="85"/>
      <c r="H154" s="85"/>
      <c r="I154" s="91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2.75" customHeight="1" spans="1:26">
      <c r="A155" s="85"/>
      <c r="B155" s="85"/>
      <c r="C155" s="85"/>
      <c r="D155" s="85"/>
      <c r="E155" s="85"/>
      <c r="F155" s="85"/>
      <c r="G155" s="85"/>
      <c r="H155" s="85"/>
      <c r="I155" s="91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2.75" customHeight="1" spans="1:26">
      <c r="A156" s="85"/>
      <c r="B156" s="85"/>
      <c r="C156" s="85"/>
      <c r="D156" s="85"/>
      <c r="E156" s="85"/>
      <c r="F156" s="85"/>
      <c r="G156" s="85"/>
      <c r="H156" s="85"/>
      <c r="I156" s="91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2.75" customHeight="1" spans="1:26">
      <c r="A157" s="85"/>
      <c r="B157" s="85"/>
      <c r="C157" s="85"/>
      <c r="D157" s="85"/>
      <c r="E157" s="85"/>
      <c r="F157" s="85"/>
      <c r="G157" s="85"/>
      <c r="H157" s="85"/>
      <c r="I157" s="91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2.75" customHeight="1" spans="1:26">
      <c r="A158" s="85"/>
      <c r="B158" s="85"/>
      <c r="C158" s="85"/>
      <c r="D158" s="85"/>
      <c r="E158" s="85"/>
      <c r="F158" s="85"/>
      <c r="G158" s="85"/>
      <c r="H158" s="85"/>
      <c r="I158" s="91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2.75" customHeight="1" spans="1:26">
      <c r="A159" s="85"/>
      <c r="B159" s="85"/>
      <c r="C159" s="85"/>
      <c r="D159" s="85"/>
      <c r="E159" s="85"/>
      <c r="F159" s="85"/>
      <c r="G159" s="85"/>
      <c r="H159" s="85"/>
      <c r="I159" s="91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2.75" customHeight="1" spans="1:26">
      <c r="A160" s="85"/>
      <c r="B160" s="85"/>
      <c r="C160" s="85"/>
      <c r="D160" s="85"/>
      <c r="E160" s="85"/>
      <c r="F160" s="85"/>
      <c r="G160" s="85"/>
      <c r="H160" s="85"/>
      <c r="I160" s="91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2.75" customHeight="1" spans="1:26">
      <c r="A161" s="85"/>
      <c r="B161" s="85"/>
      <c r="C161" s="85"/>
      <c r="D161" s="85"/>
      <c r="E161" s="85"/>
      <c r="F161" s="85"/>
      <c r="G161" s="85"/>
      <c r="H161" s="85"/>
      <c r="I161" s="91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2.75" customHeight="1" spans="1:26">
      <c r="A162" s="85"/>
      <c r="B162" s="85"/>
      <c r="C162" s="85"/>
      <c r="D162" s="85"/>
      <c r="E162" s="85"/>
      <c r="F162" s="85"/>
      <c r="G162" s="85"/>
      <c r="H162" s="85"/>
      <c r="I162" s="91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2.75" customHeight="1" spans="1:26">
      <c r="A163" s="85"/>
      <c r="B163" s="85"/>
      <c r="C163" s="85"/>
      <c r="D163" s="85"/>
      <c r="E163" s="85"/>
      <c r="F163" s="85"/>
      <c r="G163" s="85"/>
      <c r="H163" s="85"/>
      <c r="I163" s="91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2.75" customHeight="1" spans="1:26">
      <c r="A164" s="85"/>
      <c r="B164" s="85"/>
      <c r="C164" s="85"/>
      <c r="D164" s="85"/>
      <c r="E164" s="85"/>
      <c r="F164" s="85"/>
      <c r="G164" s="85"/>
      <c r="H164" s="85"/>
      <c r="I164" s="91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2.75" customHeight="1" spans="1:26">
      <c r="A165" s="85"/>
      <c r="B165" s="85"/>
      <c r="C165" s="85"/>
      <c r="D165" s="85"/>
      <c r="E165" s="85"/>
      <c r="F165" s="85"/>
      <c r="G165" s="85"/>
      <c r="H165" s="85"/>
      <c r="I165" s="91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2.75" customHeight="1" spans="1:26">
      <c r="A166" s="85"/>
      <c r="B166" s="85"/>
      <c r="C166" s="85"/>
      <c r="D166" s="85"/>
      <c r="E166" s="85"/>
      <c r="F166" s="85"/>
      <c r="G166" s="85"/>
      <c r="H166" s="85"/>
      <c r="I166" s="91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2.75" customHeight="1" spans="1:26">
      <c r="A167" s="85"/>
      <c r="B167" s="85"/>
      <c r="C167" s="85"/>
      <c r="D167" s="85"/>
      <c r="E167" s="85"/>
      <c r="F167" s="85"/>
      <c r="G167" s="85"/>
      <c r="H167" s="85"/>
      <c r="I167" s="91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2.75" customHeight="1" spans="1:26">
      <c r="A168" s="85"/>
      <c r="B168" s="85"/>
      <c r="C168" s="85"/>
      <c r="D168" s="85"/>
      <c r="E168" s="85"/>
      <c r="F168" s="85"/>
      <c r="G168" s="85"/>
      <c r="H168" s="85"/>
      <c r="I168" s="91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2.75" customHeight="1" spans="1:26">
      <c r="A169" s="85"/>
      <c r="B169" s="85"/>
      <c r="C169" s="85"/>
      <c r="D169" s="85"/>
      <c r="E169" s="85"/>
      <c r="F169" s="85"/>
      <c r="G169" s="85"/>
      <c r="H169" s="85"/>
      <c r="I169" s="91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2.75" customHeight="1" spans="1:26">
      <c r="A170" s="85"/>
      <c r="B170" s="85"/>
      <c r="C170" s="85"/>
      <c r="D170" s="85"/>
      <c r="E170" s="85"/>
      <c r="F170" s="85"/>
      <c r="G170" s="85"/>
      <c r="H170" s="85"/>
      <c r="I170" s="91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2.75" customHeight="1" spans="1:26">
      <c r="A171" s="85"/>
      <c r="B171" s="85"/>
      <c r="C171" s="85"/>
      <c r="D171" s="85"/>
      <c r="E171" s="85"/>
      <c r="F171" s="85"/>
      <c r="G171" s="85"/>
      <c r="H171" s="85"/>
      <c r="I171" s="91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2.75" customHeight="1" spans="1:26">
      <c r="A172" s="85"/>
      <c r="B172" s="85"/>
      <c r="C172" s="85"/>
      <c r="D172" s="85"/>
      <c r="E172" s="85"/>
      <c r="F172" s="85"/>
      <c r="G172" s="85"/>
      <c r="H172" s="85"/>
      <c r="I172" s="91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2.75" customHeight="1" spans="1:26">
      <c r="A173" s="85"/>
      <c r="B173" s="85"/>
      <c r="C173" s="85"/>
      <c r="D173" s="85"/>
      <c r="E173" s="85"/>
      <c r="F173" s="85"/>
      <c r="G173" s="85"/>
      <c r="H173" s="85"/>
      <c r="I173" s="91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2.75" customHeight="1" spans="1:26">
      <c r="A174" s="85"/>
      <c r="B174" s="85"/>
      <c r="C174" s="85"/>
      <c r="D174" s="85"/>
      <c r="E174" s="85"/>
      <c r="F174" s="85"/>
      <c r="G174" s="85"/>
      <c r="H174" s="85"/>
      <c r="I174" s="91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2.75" customHeight="1" spans="1:26">
      <c r="A175" s="85"/>
      <c r="B175" s="85"/>
      <c r="C175" s="85"/>
      <c r="D175" s="85"/>
      <c r="E175" s="85"/>
      <c r="F175" s="85"/>
      <c r="G175" s="85"/>
      <c r="H175" s="85"/>
      <c r="I175" s="91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2.75" customHeight="1" spans="1:26">
      <c r="A176" s="85"/>
      <c r="B176" s="85"/>
      <c r="C176" s="85"/>
      <c r="D176" s="85"/>
      <c r="E176" s="85"/>
      <c r="F176" s="85"/>
      <c r="G176" s="85"/>
      <c r="H176" s="85"/>
      <c r="I176" s="91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2.75" customHeight="1" spans="1:26">
      <c r="A177" s="85"/>
      <c r="B177" s="85"/>
      <c r="C177" s="85"/>
      <c r="D177" s="85"/>
      <c r="E177" s="85"/>
      <c r="F177" s="85"/>
      <c r="G177" s="85"/>
      <c r="H177" s="85"/>
      <c r="I177" s="91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2.75" customHeight="1" spans="1:26">
      <c r="A178" s="85"/>
      <c r="B178" s="85"/>
      <c r="C178" s="85"/>
      <c r="D178" s="85"/>
      <c r="E178" s="85"/>
      <c r="F178" s="85"/>
      <c r="G178" s="85"/>
      <c r="H178" s="85"/>
      <c r="I178" s="91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2.75" customHeight="1" spans="1:26">
      <c r="A179" s="85"/>
      <c r="B179" s="85"/>
      <c r="C179" s="85"/>
      <c r="D179" s="85"/>
      <c r="E179" s="85"/>
      <c r="F179" s="85"/>
      <c r="G179" s="85"/>
      <c r="H179" s="85"/>
      <c r="I179" s="91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2.75" customHeight="1" spans="1:26">
      <c r="A180" s="85"/>
      <c r="B180" s="85"/>
      <c r="C180" s="85"/>
      <c r="D180" s="85"/>
      <c r="E180" s="85"/>
      <c r="F180" s="85"/>
      <c r="G180" s="85"/>
      <c r="H180" s="85"/>
      <c r="I180" s="91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2.75" customHeight="1" spans="1:26">
      <c r="A181" s="85"/>
      <c r="B181" s="85"/>
      <c r="C181" s="85"/>
      <c r="D181" s="85"/>
      <c r="E181" s="85"/>
      <c r="F181" s="85"/>
      <c r="G181" s="85"/>
      <c r="H181" s="85"/>
      <c r="I181" s="91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2.75" customHeight="1" spans="1:26">
      <c r="A182" s="85"/>
      <c r="B182" s="85"/>
      <c r="C182" s="85"/>
      <c r="D182" s="85"/>
      <c r="E182" s="85"/>
      <c r="F182" s="85"/>
      <c r="G182" s="85"/>
      <c r="H182" s="85"/>
      <c r="I182" s="91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2.75" customHeight="1" spans="1:26">
      <c r="A183" s="85"/>
      <c r="B183" s="85"/>
      <c r="C183" s="85"/>
      <c r="D183" s="85"/>
      <c r="E183" s="85"/>
      <c r="F183" s="85"/>
      <c r="G183" s="85"/>
      <c r="H183" s="85"/>
      <c r="I183" s="91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2.75" customHeight="1" spans="1:26">
      <c r="A184" s="85"/>
      <c r="B184" s="85"/>
      <c r="C184" s="85"/>
      <c r="D184" s="85"/>
      <c r="E184" s="85"/>
      <c r="F184" s="85"/>
      <c r="G184" s="85"/>
      <c r="H184" s="85"/>
      <c r="I184" s="91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2.75" customHeight="1" spans="1:26">
      <c r="A185" s="85"/>
      <c r="B185" s="85"/>
      <c r="C185" s="85"/>
      <c r="D185" s="85"/>
      <c r="E185" s="85"/>
      <c r="F185" s="85"/>
      <c r="G185" s="85"/>
      <c r="H185" s="85"/>
      <c r="I185" s="91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2.75" customHeight="1" spans="1:26">
      <c r="A186" s="85"/>
      <c r="B186" s="85"/>
      <c r="C186" s="85"/>
      <c r="D186" s="85"/>
      <c r="E186" s="85"/>
      <c r="F186" s="85"/>
      <c r="G186" s="85"/>
      <c r="H186" s="85"/>
      <c r="I186" s="91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2.75" customHeight="1" spans="1:26">
      <c r="A187" s="85"/>
      <c r="B187" s="85"/>
      <c r="C187" s="85"/>
      <c r="D187" s="85"/>
      <c r="E187" s="85"/>
      <c r="F187" s="85"/>
      <c r="G187" s="85"/>
      <c r="H187" s="85"/>
      <c r="I187" s="91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2.75" customHeight="1" spans="1:26">
      <c r="A188" s="85"/>
      <c r="B188" s="85"/>
      <c r="C188" s="85"/>
      <c r="D188" s="85"/>
      <c r="E188" s="85"/>
      <c r="F188" s="85"/>
      <c r="G188" s="85"/>
      <c r="H188" s="85"/>
      <c r="I188" s="91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2.75" customHeight="1" spans="1:26">
      <c r="A189" s="85"/>
      <c r="B189" s="85"/>
      <c r="C189" s="85"/>
      <c r="D189" s="85"/>
      <c r="E189" s="85"/>
      <c r="F189" s="85"/>
      <c r="G189" s="85"/>
      <c r="H189" s="85"/>
      <c r="I189" s="91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2.75" customHeight="1" spans="1:26">
      <c r="A190" s="85"/>
      <c r="B190" s="85"/>
      <c r="C190" s="85"/>
      <c r="D190" s="85"/>
      <c r="E190" s="85"/>
      <c r="F190" s="85"/>
      <c r="G190" s="85"/>
      <c r="H190" s="85"/>
      <c r="I190" s="91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2.75" customHeight="1" spans="1:26">
      <c r="A191" s="85"/>
      <c r="B191" s="85"/>
      <c r="C191" s="85"/>
      <c r="D191" s="85"/>
      <c r="E191" s="85"/>
      <c r="F191" s="85"/>
      <c r="G191" s="85"/>
      <c r="H191" s="85"/>
      <c r="I191" s="91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2.75" customHeight="1" spans="1:26">
      <c r="A192" s="85"/>
      <c r="B192" s="85"/>
      <c r="C192" s="85"/>
      <c r="D192" s="85"/>
      <c r="E192" s="85"/>
      <c r="F192" s="85"/>
      <c r="G192" s="85"/>
      <c r="H192" s="85"/>
      <c r="I192" s="91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2.75" customHeight="1" spans="1:26">
      <c r="A193" s="85"/>
      <c r="B193" s="85"/>
      <c r="C193" s="85"/>
      <c r="D193" s="85"/>
      <c r="E193" s="85"/>
      <c r="F193" s="85"/>
      <c r="G193" s="85"/>
      <c r="H193" s="85"/>
      <c r="I193" s="91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2.75" customHeight="1" spans="1:26">
      <c r="A194" s="85"/>
      <c r="B194" s="85"/>
      <c r="C194" s="85"/>
      <c r="D194" s="85"/>
      <c r="E194" s="85"/>
      <c r="F194" s="85"/>
      <c r="G194" s="85"/>
      <c r="H194" s="85"/>
      <c r="I194" s="91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2.75" customHeight="1" spans="1:26">
      <c r="A195" s="85"/>
      <c r="B195" s="85"/>
      <c r="C195" s="85"/>
      <c r="D195" s="85"/>
      <c r="E195" s="85"/>
      <c r="F195" s="85"/>
      <c r="G195" s="85"/>
      <c r="H195" s="85"/>
      <c r="I195" s="91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2.75" customHeight="1" spans="1:26">
      <c r="A196" s="85"/>
      <c r="B196" s="85"/>
      <c r="C196" s="85"/>
      <c r="D196" s="85"/>
      <c r="E196" s="85"/>
      <c r="F196" s="85"/>
      <c r="G196" s="85"/>
      <c r="H196" s="85"/>
      <c r="I196" s="91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2.75" customHeight="1" spans="1:26">
      <c r="A197" s="85"/>
      <c r="B197" s="85"/>
      <c r="C197" s="85"/>
      <c r="D197" s="85"/>
      <c r="E197" s="85"/>
      <c r="F197" s="85"/>
      <c r="G197" s="85"/>
      <c r="H197" s="85"/>
      <c r="I197" s="91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2.75" customHeight="1" spans="1:26">
      <c r="A198" s="85"/>
      <c r="B198" s="85"/>
      <c r="C198" s="85"/>
      <c r="D198" s="85"/>
      <c r="E198" s="85"/>
      <c r="F198" s="85"/>
      <c r="G198" s="85"/>
      <c r="H198" s="85"/>
      <c r="I198" s="91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2.75" customHeight="1" spans="1:26">
      <c r="A199" s="85"/>
      <c r="B199" s="85"/>
      <c r="C199" s="85"/>
      <c r="D199" s="85"/>
      <c r="E199" s="85"/>
      <c r="F199" s="85"/>
      <c r="G199" s="85"/>
      <c r="H199" s="85"/>
      <c r="I199" s="91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2.75" customHeight="1" spans="1:26">
      <c r="A200" s="85"/>
      <c r="B200" s="85"/>
      <c r="C200" s="85"/>
      <c r="D200" s="85"/>
      <c r="E200" s="85"/>
      <c r="F200" s="85"/>
      <c r="G200" s="85"/>
      <c r="H200" s="85"/>
      <c r="I200" s="91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2.75" customHeight="1" spans="1:26">
      <c r="A201" s="85"/>
      <c r="B201" s="85"/>
      <c r="C201" s="85"/>
      <c r="D201" s="85"/>
      <c r="E201" s="85"/>
      <c r="F201" s="85"/>
      <c r="G201" s="85"/>
      <c r="H201" s="85"/>
      <c r="I201" s="91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2.75" customHeight="1" spans="1:26">
      <c r="A202" s="85"/>
      <c r="B202" s="85"/>
      <c r="C202" s="85"/>
      <c r="D202" s="85"/>
      <c r="E202" s="85"/>
      <c r="F202" s="85"/>
      <c r="G202" s="85"/>
      <c r="H202" s="85"/>
      <c r="I202" s="91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2.75" customHeight="1" spans="1:26">
      <c r="A203" s="85"/>
      <c r="B203" s="85"/>
      <c r="C203" s="85"/>
      <c r="D203" s="85"/>
      <c r="E203" s="85"/>
      <c r="F203" s="85"/>
      <c r="G203" s="85"/>
      <c r="H203" s="85"/>
      <c r="I203" s="91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2.75" customHeight="1" spans="1:26">
      <c r="A204" s="85"/>
      <c r="B204" s="85"/>
      <c r="C204" s="85"/>
      <c r="D204" s="85"/>
      <c r="E204" s="85"/>
      <c r="F204" s="85"/>
      <c r="G204" s="85"/>
      <c r="H204" s="85"/>
      <c r="I204" s="91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2.75" customHeight="1" spans="1:26">
      <c r="A205" s="85"/>
      <c r="B205" s="85"/>
      <c r="C205" s="85"/>
      <c r="D205" s="85"/>
      <c r="E205" s="85"/>
      <c r="F205" s="85"/>
      <c r="G205" s="85"/>
      <c r="H205" s="85"/>
      <c r="I205" s="91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2.75" customHeight="1" spans="1:26">
      <c r="A206" s="85"/>
      <c r="B206" s="85"/>
      <c r="C206" s="85"/>
      <c r="D206" s="85"/>
      <c r="E206" s="85"/>
      <c r="F206" s="85"/>
      <c r="G206" s="85"/>
      <c r="H206" s="85"/>
      <c r="I206" s="91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2.75" customHeight="1" spans="1:26">
      <c r="A207" s="85"/>
      <c r="B207" s="85"/>
      <c r="C207" s="85"/>
      <c r="D207" s="85"/>
      <c r="E207" s="85"/>
      <c r="F207" s="85"/>
      <c r="G207" s="85"/>
      <c r="H207" s="85"/>
      <c r="I207" s="91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2.75" customHeight="1" spans="1:26">
      <c r="A208" s="85"/>
      <c r="B208" s="85"/>
      <c r="C208" s="85"/>
      <c r="D208" s="85"/>
      <c r="E208" s="85"/>
      <c r="F208" s="85"/>
      <c r="G208" s="85"/>
      <c r="H208" s="85"/>
      <c r="I208" s="91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2.75" customHeight="1" spans="1:26">
      <c r="A209" s="85"/>
      <c r="B209" s="85"/>
      <c r="C209" s="85"/>
      <c r="D209" s="85"/>
      <c r="E209" s="85"/>
      <c r="F209" s="85"/>
      <c r="G209" s="85"/>
      <c r="H209" s="85"/>
      <c r="I209" s="91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2.75" customHeight="1" spans="1:26">
      <c r="A210" s="85"/>
      <c r="B210" s="85"/>
      <c r="C210" s="85"/>
      <c r="D210" s="85"/>
      <c r="E210" s="85"/>
      <c r="F210" s="85"/>
      <c r="G210" s="85"/>
      <c r="H210" s="85"/>
      <c r="I210" s="91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2.75" customHeight="1" spans="1:26">
      <c r="A211" s="85"/>
      <c r="B211" s="85"/>
      <c r="C211" s="85"/>
      <c r="D211" s="85"/>
      <c r="E211" s="85"/>
      <c r="F211" s="85"/>
      <c r="G211" s="85"/>
      <c r="H211" s="85"/>
      <c r="I211" s="91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2.75" customHeight="1" spans="1:26">
      <c r="A212" s="85"/>
      <c r="B212" s="85"/>
      <c r="C212" s="85"/>
      <c r="D212" s="85"/>
      <c r="E212" s="85"/>
      <c r="F212" s="85"/>
      <c r="G212" s="85"/>
      <c r="H212" s="85"/>
      <c r="I212" s="91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2.75" customHeight="1" spans="1:26">
      <c r="A213" s="85"/>
      <c r="B213" s="85"/>
      <c r="C213" s="85"/>
      <c r="D213" s="85"/>
      <c r="E213" s="85"/>
      <c r="F213" s="85"/>
      <c r="G213" s="85"/>
      <c r="H213" s="85"/>
      <c r="I213" s="91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2.75" customHeight="1" spans="1:26">
      <c r="A214" s="85"/>
      <c r="B214" s="85"/>
      <c r="C214" s="85"/>
      <c r="D214" s="85"/>
      <c r="E214" s="85"/>
      <c r="F214" s="85"/>
      <c r="G214" s="85"/>
      <c r="H214" s="85"/>
      <c r="I214" s="91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2.75" customHeight="1" spans="1:26">
      <c r="A215" s="85"/>
      <c r="B215" s="85"/>
      <c r="C215" s="85"/>
      <c r="D215" s="85"/>
      <c r="E215" s="85"/>
      <c r="F215" s="85"/>
      <c r="G215" s="85"/>
      <c r="H215" s="85"/>
      <c r="I215" s="91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2.75" customHeight="1" spans="1:26">
      <c r="A216" s="85"/>
      <c r="B216" s="85"/>
      <c r="C216" s="85"/>
      <c r="D216" s="85"/>
      <c r="E216" s="85"/>
      <c r="F216" s="85"/>
      <c r="G216" s="85"/>
      <c r="H216" s="85"/>
      <c r="I216" s="91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2.75" customHeight="1" spans="1:26">
      <c r="A217" s="85"/>
      <c r="B217" s="85"/>
      <c r="C217" s="85"/>
      <c r="D217" s="85"/>
      <c r="E217" s="85"/>
      <c r="F217" s="85"/>
      <c r="G217" s="85"/>
      <c r="H217" s="85"/>
      <c r="I217" s="91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2.75" customHeight="1" spans="1:26">
      <c r="A218" s="85"/>
      <c r="B218" s="85"/>
      <c r="C218" s="85"/>
      <c r="D218" s="85"/>
      <c r="E218" s="85"/>
      <c r="F218" s="85"/>
      <c r="G218" s="85"/>
      <c r="H218" s="85"/>
      <c r="I218" s="91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2.75" customHeight="1" spans="1:26">
      <c r="A219" s="85"/>
      <c r="B219" s="85"/>
      <c r="C219" s="85"/>
      <c r="D219" s="85"/>
      <c r="E219" s="85"/>
      <c r="F219" s="85"/>
      <c r="G219" s="85"/>
      <c r="H219" s="85"/>
      <c r="I219" s="91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2.75" customHeight="1" spans="1:26">
      <c r="A220" s="85"/>
      <c r="B220" s="85"/>
      <c r="C220" s="85"/>
      <c r="D220" s="85"/>
      <c r="E220" s="85"/>
      <c r="F220" s="85"/>
      <c r="G220" s="85"/>
      <c r="H220" s="85"/>
      <c r="I220" s="91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2.75" customHeight="1" spans="1:26">
      <c r="A221" s="85"/>
      <c r="B221" s="85"/>
      <c r="C221" s="85"/>
      <c r="D221" s="85"/>
      <c r="E221" s="85"/>
      <c r="F221" s="85"/>
      <c r="G221" s="85"/>
      <c r="H221" s="85"/>
      <c r="I221" s="91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2.75" customHeight="1" spans="1:26">
      <c r="A222" s="85"/>
      <c r="B222" s="85"/>
      <c r="C222" s="85"/>
      <c r="D222" s="85"/>
      <c r="E222" s="85"/>
      <c r="F222" s="85"/>
      <c r="G222" s="85"/>
      <c r="H222" s="85"/>
      <c r="I222" s="91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2.75" customHeight="1" spans="1:26">
      <c r="A223" s="85"/>
      <c r="B223" s="85"/>
      <c r="C223" s="85"/>
      <c r="D223" s="85"/>
      <c r="E223" s="85"/>
      <c r="F223" s="85"/>
      <c r="G223" s="85"/>
      <c r="H223" s="85"/>
      <c r="I223" s="91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2.75" customHeight="1" spans="1:26">
      <c r="A224" s="85"/>
      <c r="B224" s="85"/>
      <c r="C224" s="85"/>
      <c r="D224" s="85"/>
      <c r="E224" s="85"/>
      <c r="F224" s="85"/>
      <c r="G224" s="85"/>
      <c r="H224" s="85"/>
      <c r="I224" s="91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2.75" customHeight="1" spans="1:26">
      <c r="A225" s="85"/>
      <c r="B225" s="85"/>
      <c r="C225" s="85"/>
      <c r="D225" s="85"/>
      <c r="E225" s="85"/>
      <c r="F225" s="85"/>
      <c r="G225" s="85"/>
      <c r="H225" s="85"/>
      <c r="I225" s="91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2.75" customHeight="1" spans="1:26">
      <c r="A226" s="85"/>
      <c r="B226" s="85"/>
      <c r="C226" s="85"/>
      <c r="D226" s="85"/>
      <c r="E226" s="85"/>
      <c r="F226" s="85"/>
      <c r="G226" s="85"/>
      <c r="H226" s="85"/>
      <c r="I226" s="91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2.75" customHeight="1" spans="1:26">
      <c r="A227" s="85"/>
      <c r="B227" s="85"/>
      <c r="C227" s="85"/>
      <c r="D227" s="85"/>
      <c r="E227" s="85"/>
      <c r="F227" s="85"/>
      <c r="G227" s="85"/>
      <c r="H227" s="85"/>
      <c r="I227" s="91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2.75" customHeight="1" spans="1:26">
      <c r="A228" s="85"/>
      <c r="B228" s="85"/>
      <c r="C228" s="85"/>
      <c r="D228" s="85"/>
      <c r="E228" s="85"/>
      <c r="F228" s="85"/>
      <c r="G228" s="85"/>
      <c r="H228" s="85"/>
      <c r="I228" s="91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2.75" customHeight="1" spans="1:26">
      <c r="A229" s="85"/>
      <c r="B229" s="85"/>
      <c r="C229" s="85"/>
      <c r="D229" s="85"/>
      <c r="E229" s="85"/>
      <c r="F229" s="85"/>
      <c r="G229" s="85"/>
      <c r="H229" s="85"/>
      <c r="I229" s="91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2.75" customHeight="1" spans="1:26">
      <c r="A230" s="85"/>
      <c r="B230" s="85"/>
      <c r="C230" s="85"/>
      <c r="D230" s="85"/>
      <c r="E230" s="85"/>
      <c r="F230" s="85"/>
      <c r="G230" s="85"/>
      <c r="H230" s="85"/>
      <c r="I230" s="91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2.75" customHeight="1" spans="1:26">
      <c r="A231" s="85"/>
      <c r="B231" s="85"/>
      <c r="C231" s="85"/>
      <c r="D231" s="85"/>
      <c r="E231" s="85"/>
      <c r="F231" s="85"/>
      <c r="G231" s="85"/>
      <c r="H231" s="85"/>
      <c r="I231" s="91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2.75" customHeight="1" spans="1:26">
      <c r="A232" s="85"/>
      <c r="B232" s="85"/>
      <c r="C232" s="85"/>
      <c r="D232" s="85"/>
      <c r="E232" s="85"/>
      <c r="F232" s="85"/>
      <c r="G232" s="85"/>
      <c r="H232" s="85"/>
      <c r="I232" s="91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2.75" customHeight="1" spans="1:26">
      <c r="A233" s="85"/>
      <c r="B233" s="85"/>
      <c r="C233" s="85"/>
      <c r="D233" s="85"/>
      <c r="E233" s="85"/>
      <c r="F233" s="85"/>
      <c r="G233" s="85"/>
      <c r="H233" s="85"/>
      <c r="I233" s="91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2.75" customHeight="1" spans="1:26">
      <c r="A234" s="85"/>
      <c r="B234" s="85"/>
      <c r="C234" s="85"/>
      <c r="D234" s="85"/>
      <c r="E234" s="85"/>
      <c r="F234" s="85"/>
      <c r="G234" s="85"/>
      <c r="H234" s="85"/>
      <c r="I234" s="91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2.75" customHeight="1" spans="1:26">
      <c r="A235" s="85"/>
      <c r="B235" s="85"/>
      <c r="C235" s="85"/>
      <c r="D235" s="85"/>
      <c r="E235" s="85"/>
      <c r="F235" s="85"/>
      <c r="G235" s="85"/>
      <c r="H235" s="85"/>
      <c r="I235" s="91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2.75" customHeight="1" spans="1:26">
      <c r="A236" s="85"/>
      <c r="B236" s="85"/>
      <c r="C236" s="85"/>
      <c r="D236" s="85"/>
      <c r="E236" s="85"/>
      <c r="F236" s="85"/>
      <c r="G236" s="85"/>
      <c r="H236" s="85"/>
      <c r="I236" s="91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2.75" customHeight="1" spans="1:26">
      <c r="A237" s="85"/>
      <c r="B237" s="85"/>
      <c r="C237" s="85"/>
      <c r="D237" s="85"/>
      <c r="E237" s="85"/>
      <c r="F237" s="85"/>
      <c r="G237" s="85"/>
      <c r="H237" s="85"/>
      <c r="I237" s="91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2.75" customHeight="1" spans="1:26">
      <c r="A238" s="85"/>
      <c r="B238" s="85"/>
      <c r="C238" s="85"/>
      <c r="D238" s="85"/>
      <c r="E238" s="85"/>
      <c r="F238" s="85"/>
      <c r="G238" s="85"/>
      <c r="H238" s="85"/>
      <c r="I238" s="91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2.75" customHeight="1" spans="1:26">
      <c r="A239" s="85"/>
      <c r="B239" s="85"/>
      <c r="C239" s="85"/>
      <c r="D239" s="85"/>
      <c r="E239" s="85"/>
      <c r="F239" s="85"/>
      <c r="G239" s="85"/>
      <c r="H239" s="85"/>
      <c r="I239" s="91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2.75" customHeight="1" spans="1:26">
      <c r="A240" s="85"/>
      <c r="B240" s="85"/>
      <c r="C240" s="85"/>
      <c r="D240" s="85"/>
      <c r="E240" s="85"/>
      <c r="F240" s="85"/>
      <c r="G240" s="85"/>
      <c r="H240" s="85"/>
      <c r="I240" s="91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2.75" customHeight="1" spans="1:26">
      <c r="A241" s="85"/>
      <c r="B241" s="85"/>
      <c r="C241" s="85"/>
      <c r="D241" s="85"/>
      <c r="E241" s="85"/>
      <c r="F241" s="85"/>
      <c r="G241" s="85"/>
      <c r="H241" s="85"/>
      <c r="I241" s="91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2.75" customHeight="1" spans="1:26">
      <c r="A242" s="85"/>
      <c r="B242" s="85"/>
      <c r="C242" s="85"/>
      <c r="D242" s="85"/>
      <c r="E242" s="85"/>
      <c r="F242" s="85"/>
      <c r="G242" s="85"/>
      <c r="H242" s="85"/>
      <c r="I242" s="91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2.75" customHeight="1" spans="1:26">
      <c r="A243" s="85"/>
      <c r="B243" s="85"/>
      <c r="C243" s="85"/>
      <c r="D243" s="85"/>
      <c r="E243" s="85"/>
      <c r="F243" s="85"/>
      <c r="G243" s="85"/>
      <c r="H243" s="85"/>
      <c r="I243" s="91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2.75" customHeight="1" spans="1:26">
      <c r="A244" s="85"/>
      <c r="B244" s="85"/>
      <c r="C244" s="85"/>
      <c r="D244" s="85"/>
      <c r="E244" s="85"/>
      <c r="F244" s="85"/>
      <c r="G244" s="85"/>
      <c r="H244" s="85"/>
      <c r="I244" s="91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2.75" customHeight="1" spans="1:26">
      <c r="A245" s="85"/>
      <c r="B245" s="85"/>
      <c r="C245" s="85"/>
      <c r="D245" s="85"/>
      <c r="E245" s="85"/>
      <c r="F245" s="85"/>
      <c r="G245" s="85"/>
      <c r="H245" s="85"/>
      <c r="I245" s="91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2.75" customHeight="1" spans="1:26">
      <c r="A246" s="85"/>
      <c r="B246" s="85"/>
      <c r="C246" s="85"/>
      <c r="D246" s="85"/>
      <c r="E246" s="85"/>
      <c r="F246" s="85"/>
      <c r="G246" s="85"/>
      <c r="H246" s="85"/>
      <c r="I246" s="91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2.75" customHeight="1" spans="1:26">
      <c r="A247" s="85"/>
      <c r="B247" s="85"/>
      <c r="C247" s="85"/>
      <c r="D247" s="85"/>
      <c r="E247" s="85"/>
      <c r="F247" s="85"/>
      <c r="G247" s="85"/>
      <c r="H247" s="85"/>
      <c r="I247" s="91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2.75" customHeight="1" spans="1:26">
      <c r="A248" s="85"/>
      <c r="B248" s="85"/>
      <c r="C248" s="85"/>
      <c r="D248" s="85"/>
      <c r="E248" s="85"/>
      <c r="F248" s="85"/>
      <c r="G248" s="85"/>
      <c r="H248" s="85"/>
      <c r="I248" s="91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2.75" customHeight="1" spans="1:26">
      <c r="A249" s="85"/>
      <c r="B249" s="85"/>
      <c r="C249" s="85"/>
      <c r="D249" s="85"/>
      <c r="E249" s="85"/>
      <c r="F249" s="85"/>
      <c r="G249" s="85"/>
      <c r="H249" s="85"/>
      <c r="I249" s="91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2.75" customHeight="1" spans="1:26">
      <c r="A250" s="85"/>
      <c r="B250" s="85"/>
      <c r="C250" s="85"/>
      <c r="D250" s="85"/>
      <c r="E250" s="85"/>
      <c r="F250" s="85"/>
      <c r="G250" s="85"/>
      <c r="H250" s="85"/>
      <c r="I250" s="91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2.75" customHeight="1" spans="1:26">
      <c r="A251" s="85"/>
      <c r="B251" s="85"/>
      <c r="C251" s="85"/>
      <c r="D251" s="85"/>
      <c r="E251" s="85"/>
      <c r="F251" s="85"/>
      <c r="G251" s="85"/>
      <c r="H251" s="85"/>
      <c r="I251" s="91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2.75" customHeight="1" spans="1:26">
      <c r="A252" s="85"/>
      <c r="B252" s="85"/>
      <c r="C252" s="85"/>
      <c r="D252" s="85"/>
      <c r="E252" s="85"/>
      <c r="F252" s="85"/>
      <c r="G252" s="85"/>
      <c r="H252" s="85"/>
      <c r="I252" s="91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2.75" customHeight="1" spans="1:26">
      <c r="A253" s="85"/>
      <c r="B253" s="85"/>
      <c r="C253" s="85"/>
      <c r="D253" s="85"/>
      <c r="E253" s="85"/>
      <c r="F253" s="85"/>
      <c r="G253" s="85"/>
      <c r="H253" s="85"/>
      <c r="I253" s="91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2.75" customHeight="1" spans="1:26">
      <c r="A254" s="85"/>
      <c r="B254" s="85"/>
      <c r="C254" s="85"/>
      <c r="D254" s="85"/>
      <c r="E254" s="85"/>
      <c r="F254" s="85"/>
      <c r="G254" s="85"/>
      <c r="H254" s="85"/>
      <c r="I254" s="91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2.75" customHeight="1" spans="1:26">
      <c r="A255" s="85"/>
      <c r="B255" s="85"/>
      <c r="C255" s="85"/>
      <c r="D255" s="85"/>
      <c r="E255" s="85"/>
      <c r="F255" s="85"/>
      <c r="G255" s="85"/>
      <c r="H255" s="85"/>
      <c r="I255" s="91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2.75" customHeight="1" spans="1:26">
      <c r="A256" s="85"/>
      <c r="B256" s="85"/>
      <c r="C256" s="85"/>
      <c r="D256" s="85"/>
      <c r="E256" s="85"/>
      <c r="F256" s="85"/>
      <c r="G256" s="85"/>
      <c r="H256" s="85"/>
      <c r="I256" s="91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2.75" customHeight="1" spans="1:26">
      <c r="A257" s="85"/>
      <c r="B257" s="85"/>
      <c r="C257" s="85"/>
      <c r="D257" s="85"/>
      <c r="E257" s="85"/>
      <c r="F257" s="85"/>
      <c r="G257" s="85"/>
      <c r="H257" s="85"/>
      <c r="I257" s="91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2.75" customHeight="1" spans="1:26">
      <c r="A258" s="85"/>
      <c r="B258" s="85"/>
      <c r="C258" s="85"/>
      <c r="D258" s="85"/>
      <c r="E258" s="85"/>
      <c r="F258" s="85"/>
      <c r="G258" s="85"/>
      <c r="H258" s="85"/>
      <c r="I258" s="91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2.75" customHeight="1" spans="1:26">
      <c r="A259" s="85"/>
      <c r="B259" s="85"/>
      <c r="C259" s="85"/>
      <c r="D259" s="85"/>
      <c r="E259" s="85"/>
      <c r="F259" s="85"/>
      <c r="G259" s="85"/>
      <c r="H259" s="85"/>
      <c r="I259" s="91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2.75" customHeight="1" spans="1:26">
      <c r="A260" s="85"/>
      <c r="B260" s="85"/>
      <c r="C260" s="85"/>
      <c r="D260" s="85"/>
      <c r="E260" s="85"/>
      <c r="F260" s="85"/>
      <c r="G260" s="85"/>
      <c r="H260" s="85"/>
      <c r="I260" s="91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2.75" customHeight="1" spans="1:26">
      <c r="A261" s="85"/>
      <c r="B261" s="85"/>
      <c r="C261" s="85"/>
      <c r="D261" s="85"/>
      <c r="E261" s="85"/>
      <c r="F261" s="85"/>
      <c r="G261" s="85"/>
      <c r="H261" s="85"/>
      <c r="I261" s="91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2.75" customHeight="1" spans="1:26">
      <c r="A262" s="85"/>
      <c r="B262" s="85"/>
      <c r="C262" s="85"/>
      <c r="D262" s="85"/>
      <c r="E262" s="85"/>
      <c r="F262" s="85"/>
      <c r="G262" s="85"/>
      <c r="H262" s="85"/>
      <c r="I262" s="91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2.75" customHeight="1" spans="1:26">
      <c r="A263" s="85"/>
      <c r="B263" s="85"/>
      <c r="C263" s="85"/>
      <c r="D263" s="85"/>
      <c r="E263" s="85"/>
      <c r="F263" s="85"/>
      <c r="G263" s="85"/>
      <c r="H263" s="85"/>
      <c r="I263" s="91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2.75" customHeight="1" spans="1:26">
      <c r="A264" s="85"/>
      <c r="B264" s="85"/>
      <c r="C264" s="85"/>
      <c r="D264" s="85"/>
      <c r="E264" s="85"/>
      <c r="F264" s="85"/>
      <c r="G264" s="85"/>
      <c r="H264" s="85"/>
      <c r="I264" s="91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2.75" customHeight="1" spans="1:26">
      <c r="A265" s="85"/>
      <c r="B265" s="85"/>
      <c r="C265" s="85"/>
      <c r="D265" s="85"/>
      <c r="E265" s="85"/>
      <c r="F265" s="85"/>
      <c r="G265" s="85"/>
      <c r="H265" s="85"/>
      <c r="I265" s="91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2.75" customHeight="1" spans="1:26">
      <c r="A266" s="85"/>
      <c r="B266" s="85"/>
      <c r="C266" s="85"/>
      <c r="D266" s="85"/>
      <c r="E266" s="85"/>
      <c r="F266" s="85"/>
      <c r="G266" s="85"/>
      <c r="H266" s="85"/>
      <c r="I266" s="91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2.75" customHeight="1" spans="1:26">
      <c r="A267" s="85"/>
      <c r="B267" s="85"/>
      <c r="C267" s="85"/>
      <c r="D267" s="85"/>
      <c r="E267" s="85"/>
      <c r="F267" s="85"/>
      <c r="G267" s="85"/>
      <c r="H267" s="85"/>
      <c r="I267" s="91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2.75" customHeight="1" spans="1:26">
      <c r="A268" s="85"/>
      <c r="B268" s="85"/>
      <c r="C268" s="85"/>
      <c r="D268" s="85"/>
      <c r="E268" s="85"/>
      <c r="F268" s="85"/>
      <c r="G268" s="85"/>
      <c r="H268" s="85"/>
      <c r="I268" s="91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2.75" customHeight="1" spans="1:26">
      <c r="A269" s="85"/>
      <c r="B269" s="85"/>
      <c r="C269" s="85"/>
      <c r="D269" s="85"/>
      <c r="E269" s="85"/>
      <c r="F269" s="85"/>
      <c r="G269" s="85"/>
      <c r="H269" s="85"/>
      <c r="I269" s="91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2.75" customHeight="1" spans="1:26">
      <c r="A270" s="85"/>
      <c r="B270" s="85"/>
      <c r="C270" s="85"/>
      <c r="D270" s="85"/>
      <c r="E270" s="85"/>
      <c r="F270" s="85"/>
      <c r="G270" s="85"/>
      <c r="H270" s="85"/>
      <c r="I270" s="91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2.75" customHeight="1" spans="1:26">
      <c r="A271" s="85"/>
      <c r="B271" s="85"/>
      <c r="C271" s="85"/>
      <c r="D271" s="85"/>
      <c r="E271" s="85"/>
      <c r="F271" s="85"/>
      <c r="G271" s="85"/>
      <c r="H271" s="85"/>
      <c r="I271" s="91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2.75" customHeight="1" spans="1:26">
      <c r="A272" s="85"/>
      <c r="B272" s="85"/>
      <c r="C272" s="85"/>
      <c r="D272" s="85"/>
      <c r="E272" s="85"/>
      <c r="F272" s="85"/>
      <c r="G272" s="85"/>
      <c r="H272" s="85"/>
      <c r="I272" s="91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2.75" customHeight="1" spans="1:26">
      <c r="A273" s="85"/>
      <c r="B273" s="85"/>
      <c r="C273" s="85"/>
      <c r="D273" s="85"/>
      <c r="E273" s="85"/>
      <c r="F273" s="85"/>
      <c r="G273" s="85"/>
      <c r="H273" s="85"/>
      <c r="I273" s="91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2.75" customHeight="1" spans="1:26">
      <c r="A274" s="85"/>
      <c r="B274" s="85"/>
      <c r="C274" s="85"/>
      <c r="D274" s="85"/>
      <c r="E274" s="85"/>
      <c r="F274" s="85"/>
      <c r="G274" s="85"/>
      <c r="H274" s="85"/>
      <c r="I274" s="91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2.75" customHeight="1" spans="1:26">
      <c r="A275" s="85"/>
      <c r="B275" s="85"/>
      <c r="C275" s="85"/>
      <c r="D275" s="85"/>
      <c r="E275" s="85"/>
      <c r="F275" s="85"/>
      <c r="G275" s="85"/>
      <c r="H275" s="85"/>
      <c r="I275" s="91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2.75" customHeight="1" spans="1:26">
      <c r="A276" s="85"/>
      <c r="B276" s="85"/>
      <c r="C276" s="85"/>
      <c r="D276" s="85"/>
      <c r="E276" s="85"/>
      <c r="F276" s="85"/>
      <c r="G276" s="85"/>
      <c r="H276" s="85"/>
      <c r="I276" s="91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2.75" customHeight="1" spans="1:26">
      <c r="A277" s="85"/>
      <c r="B277" s="85"/>
      <c r="C277" s="85"/>
      <c r="D277" s="85"/>
      <c r="E277" s="85"/>
      <c r="F277" s="85"/>
      <c r="G277" s="85"/>
      <c r="H277" s="85"/>
      <c r="I277" s="91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2.75" customHeight="1" spans="1:26">
      <c r="A278" s="85"/>
      <c r="B278" s="85"/>
      <c r="C278" s="85"/>
      <c r="D278" s="85"/>
      <c r="E278" s="85"/>
      <c r="F278" s="85"/>
      <c r="G278" s="85"/>
      <c r="H278" s="85"/>
      <c r="I278" s="91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2.75" customHeight="1" spans="1:26">
      <c r="A279" s="85"/>
      <c r="B279" s="85"/>
      <c r="C279" s="85"/>
      <c r="D279" s="85"/>
      <c r="E279" s="85"/>
      <c r="F279" s="85"/>
      <c r="G279" s="85"/>
      <c r="H279" s="85"/>
      <c r="I279" s="91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2.75" customHeight="1" spans="1:26">
      <c r="A280" s="85"/>
      <c r="B280" s="85"/>
      <c r="C280" s="85"/>
      <c r="D280" s="85"/>
      <c r="E280" s="85"/>
      <c r="F280" s="85"/>
      <c r="G280" s="85"/>
      <c r="H280" s="85"/>
      <c r="I280" s="91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2.75" customHeight="1" spans="1:26">
      <c r="A281" s="85"/>
      <c r="B281" s="85"/>
      <c r="C281" s="85"/>
      <c r="D281" s="85"/>
      <c r="E281" s="85"/>
      <c r="F281" s="85"/>
      <c r="G281" s="85"/>
      <c r="H281" s="85"/>
      <c r="I281" s="91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2.75" customHeight="1" spans="1:26">
      <c r="A282" s="85"/>
      <c r="B282" s="85"/>
      <c r="C282" s="85"/>
      <c r="D282" s="85"/>
      <c r="E282" s="85"/>
      <c r="F282" s="85"/>
      <c r="G282" s="85"/>
      <c r="H282" s="85"/>
      <c r="I282" s="91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2.75" customHeight="1" spans="1:26">
      <c r="A283" s="85"/>
      <c r="B283" s="85"/>
      <c r="C283" s="85"/>
      <c r="D283" s="85"/>
      <c r="E283" s="85"/>
      <c r="F283" s="85"/>
      <c r="G283" s="85"/>
      <c r="H283" s="85"/>
      <c r="I283" s="91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2.75" customHeight="1" spans="1:26">
      <c r="A284" s="85"/>
      <c r="B284" s="85"/>
      <c r="C284" s="85"/>
      <c r="D284" s="85"/>
      <c r="E284" s="85"/>
      <c r="F284" s="85"/>
      <c r="G284" s="85"/>
      <c r="H284" s="85"/>
      <c r="I284" s="91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2.75" customHeight="1" spans="1:26">
      <c r="A285" s="85"/>
      <c r="B285" s="85"/>
      <c r="C285" s="85"/>
      <c r="D285" s="85"/>
      <c r="E285" s="85"/>
      <c r="F285" s="85"/>
      <c r="G285" s="85"/>
      <c r="H285" s="85"/>
      <c r="I285" s="91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2.75" customHeight="1" spans="1:26">
      <c r="A286" s="85"/>
      <c r="B286" s="85"/>
      <c r="C286" s="85"/>
      <c r="D286" s="85"/>
      <c r="E286" s="85"/>
      <c r="F286" s="85"/>
      <c r="G286" s="85"/>
      <c r="H286" s="85"/>
      <c r="I286" s="91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2.75" customHeight="1" spans="1:26">
      <c r="A287" s="85"/>
      <c r="B287" s="85"/>
      <c r="C287" s="85"/>
      <c r="D287" s="85"/>
      <c r="E287" s="85"/>
      <c r="F287" s="85"/>
      <c r="G287" s="85"/>
      <c r="H287" s="85"/>
      <c r="I287" s="91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2.75" customHeight="1" spans="1:26">
      <c r="A288" s="85"/>
      <c r="B288" s="85"/>
      <c r="C288" s="85"/>
      <c r="D288" s="85"/>
      <c r="E288" s="85"/>
      <c r="F288" s="85"/>
      <c r="G288" s="85"/>
      <c r="H288" s="85"/>
      <c r="I288" s="91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2.75" customHeight="1" spans="1:26">
      <c r="A289" s="85"/>
      <c r="B289" s="85"/>
      <c r="C289" s="85"/>
      <c r="D289" s="85"/>
      <c r="E289" s="85"/>
      <c r="F289" s="85"/>
      <c r="G289" s="85"/>
      <c r="H289" s="85"/>
      <c r="I289" s="91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2.75" customHeight="1" spans="1:26">
      <c r="A290" s="85"/>
      <c r="B290" s="85"/>
      <c r="C290" s="85"/>
      <c r="D290" s="85"/>
      <c r="E290" s="85"/>
      <c r="F290" s="85"/>
      <c r="G290" s="85"/>
      <c r="H290" s="85"/>
      <c r="I290" s="91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2.75" customHeight="1" spans="1:26">
      <c r="A291" s="85"/>
      <c r="B291" s="85"/>
      <c r="C291" s="85"/>
      <c r="D291" s="85"/>
      <c r="E291" s="85"/>
      <c r="F291" s="85"/>
      <c r="G291" s="85"/>
      <c r="H291" s="85"/>
      <c r="I291" s="91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2.75" customHeight="1" spans="1:26">
      <c r="A292" s="85"/>
      <c r="B292" s="85"/>
      <c r="C292" s="85"/>
      <c r="D292" s="85"/>
      <c r="E292" s="85"/>
      <c r="F292" s="85"/>
      <c r="G292" s="85"/>
      <c r="H292" s="85"/>
      <c r="I292" s="91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2.75" customHeight="1" spans="1:26">
      <c r="A293" s="85"/>
      <c r="B293" s="85"/>
      <c r="C293" s="85"/>
      <c r="D293" s="85"/>
      <c r="E293" s="85"/>
      <c r="F293" s="85"/>
      <c r="G293" s="85"/>
      <c r="H293" s="85"/>
      <c r="I293" s="91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2.75" customHeight="1" spans="1:26">
      <c r="A294" s="85"/>
      <c r="B294" s="85"/>
      <c r="C294" s="85"/>
      <c r="D294" s="85"/>
      <c r="E294" s="85"/>
      <c r="F294" s="85"/>
      <c r="G294" s="85"/>
      <c r="H294" s="85"/>
      <c r="I294" s="91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2.75" customHeight="1" spans="1:26">
      <c r="A295" s="85"/>
      <c r="B295" s="85"/>
      <c r="C295" s="85"/>
      <c r="D295" s="85"/>
      <c r="E295" s="85"/>
      <c r="F295" s="85"/>
      <c r="G295" s="85"/>
      <c r="H295" s="85"/>
      <c r="I295" s="91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2.75" customHeight="1" spans="1:26">
      <c r="A296" s="85"/>
      <c r="B296" s="85"/>
      <c r="C296" s="85"/>
      <c r="D296" s="85"/>
      <c r="E296" s="85"/>
      <c r="F296" s="85"/>
      <c r="G296" s="85"/>
      <c r="H296" s="85"/>
      <c r="I296" s="91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2.75" customHeight="1" spans="1:26">
      <c r="A297" s="85"/>
      <c r="B297" s="85"/>
      <c r="C297" s="85"/>
      <c r="D297" s="85"/>
      <c r="E297" s="85"/>
      <c r="F297" s="85"/>
      <c r="G297" s="85"/>
      <c r="H297" s="85"/>
      <c r="I297" s="91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2.75" customHeight="1" spans="1:26">
      <c r="A298" s="85"/>
      <c r="B298" s="85"/>
      <c r="C298" s="85"/>
      <c r="D298" s="85"/>
      <c r="E298" s="85"/>
      <c r="F298" s="85"/>
      <c r="G298" s="85"/>
      <c r="H298" s="85"/>
      <c r="I298" s="91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2.75" customHeight="1" spans="1:26">
      <c r="A299" s="85"/>
      <c r="B299" s="85"/>
      <c r="C299" s="85"/>
      <c r="D299" s="85"/>
      <c r="E299" s="85"/>
      <c r="F299" s="85"/>
      <c r="G299" s="85"/>
      <c r="H299" s="85"/>
      <c r="I299" s="91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2.75" customHeight="1" spans="1:26">
      <c r="A300" s="85"/>
      <c r="B300" s="85"/>
      <c r="C300" s="85"/>
      <c r="D300" s="85"/>
      <c r="E300" s="85"/>
      <c r="F300" s="85"/>
      <c r="G300" s="85"/>
      <c r="H300" s="85"/>
      <c r="I300" s="91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2.75" customHeight="1" spans="1:26">
      <c r="A301" s="85"/>
      <c r="B301" s="85"/>
      <c r="C301" s="85"/>
      <c r="D301" s="85"/>
      <c r="E301" s="85"/>
      <c r="F301" s="85"/>
      <c r="G301" s="85"/>
      <c r="H301" s="85"/>
      <c r="I301" s="91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2.75" customHeight="1" spans="1:26">
      <c r="A302" s="85"/>
      <c r="B302" s="85"/>
      <c r="C302" s="85"/>
      <c r="D302" s="85"/>
      <c r="E302" s="85"/>
      <c r="F302" s="85"/>
      <c r="G302" s="85"/>
      <c r="H302" s="85"/>
      <c r="I302" s="91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2.75" customHeight="1" spans="1:26">
      <c r="A303" s="85"/>
      <c r="B303" s="85"/>
      <c r="C303" s="85"/>
      <c r="D303" s="85"/>
      <c r="E303" s="85"/>
      <c r="F303" s="85"/>
      <c r="G303" s="85"/>
      <c r="H303" s="85"/>
      <c r="I303" s="91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2.75" customHeight="1" spans="1:26">
      <c r="A304" s="85"/>
      <c r="B304" s="85"/>
      <c r="C304" s="85"/>
      <c r="D304" s="85"/>
      <c r="E304" s="85"/>
      <c r="F304" s="85"/>
      <c r="G304" s="85"/>
      <c r="H304" s="85"/>
      <c r="I304" s="91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2.75" customHeight="1" spans="1:26">
      <c r="A305" s="85"/>
      <c r="B305" s="85"/>
      <c r="C305" s="85"/>
      <c r="D305" s="85"/>
      <c r="E305" s="85"/>
      <c r="F305" s="85"/>
      <c r="G305" s="85"/>
      <c r="H305" s="85"/>
      <c r="I305" s="91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2.75" customHeight="1" spans="1:26">
      <c r="A306" s="85"/>
      <c r="B306" s="85"/>
      <c r="C306" s="85"/>
      <c r="D306" s="85"/>
      <c r="E306" s="85"/>
      <c r="F306" s="85"/>
      <c r="G306" s="85"/>
      <c r="H306" s="85"/>
      <c r="I306" s="91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2.75" customHeight="1" spans="1:26">
      <c r="A307" s="85"/>
      <c r="B307" s="85"/>
      <c r="C307" s="85"/>
      <c r="D307" s="85"/>
      <c r="E307" s="85"/>
      <c r="F307" s="85"/>
      <c r="G307" s="85"/>
      <c r="H307" s="85"/>
      <c r="I307" s="91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2.75" customHeight="1" spans="1:26">
      <c r="A308" s="85"/>
      <c r="B308" s="85"/>
      <c r="C308" s="85"/>
      <c r="D308" s="85"/>
      <c r="E308" s="85"/>
      <c r="F308" s="85"/>
      <c r="G308" s="85"/>
      <c r="H308" s="85"/>
      <c r="I308" s="91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2.75" customHeight="1" spans="1:26">
      <c r="A309" s="85"/>
      <c r="B309" s="85"/>
      <c r="C309" s="85"/>
      <c r="D309" s="85"/>
      <c r="E309" s="85"/>
      <c r="F309" s="85"/>
      <c r="G309" s="85"/>
      <c r="H309" s="85"/>
      <c r="I309" s="91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2.75" customHeight="1" spans="1:26">
      <c r="A310" s="85"/>
      <c r="B310" s="85"/>
      <c r="C310" s="85"/>
      <c r="D310" s="85"/>
      <c r="E310" s="85"/>
      <c r="F310" s="85"/>
      <c r="G310" s="85"/>
      <c r="H310" s="85"/>
      <c r="I310" s="91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2.75" customHeight="1" spans="1:26">
      <c r="A311" s="85"/>
      <c r="B311" s="85"/>
      <c r="C311" s="85"/>
      <c r="D311" s="85"/>
      <c r="E311" s="85"/>
      <c r="F311" s="85"/>
      <c r="G311" s="85"/>
      <c r="H311" s="85"/>
      <c r="I311" s="91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2.75" customHeight="1" spans="1:26">
      <c r="A312" s="85"/>
      <c r="B312" s="85"/>
      <c r="C312" s="85"/>
      <c r="D312" s="85"/>
      <c r="E312" s="85"/>
      <c r="F312" s="85"/>
      <c r="G312" s="85"/>
      <c r="H312" s="85"/>
      <c r="I312" s="91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2.75" customHeight="1" spans="1:26">
      <c r="A313" s="85"/>
      <c r="B313" s="85"/>
      <c r="C313" s="85"/>
      <c r="D313" s="85"/>
      <c r="E313" s="85"/>
      <c r="F313" s="85"/>
      <c r="G313" s="85"/>
      <c r="H313" s="85"/>
      <c r="I313" s="91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2.75" customHeight="1" spans="1:26">
      <c r="A314" s="85"/>
      <c r="B314" s="85"/>
      <c r="C314" s="85"/>
      <c r="D314" s="85"/>
      <c r="E314" s="85"/>
      <c r="F314" s="85"/>
      <c r="G314" s="85"/>
      <c r="H314" s="85"/>
      <c r="I314" s="91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2.75" customHeight="1" spans="1:26">
      <c r="A315" s="85"/>
      <c r="B315" s="85"/>
      <c r="C315" s="85"/>
      <c r="D315" s="85"/>
      <c r="E315" s="85"/>
      <c r="F315" s="85"/>
      <c r="G315" s="85"/>
      <c r="H315" s="85"/>
      <c r="I315" s="91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2.75" customHeight="1" spans="1:26">
      <c r="A316" s="85"/>
      <c r="B316" s="85"/>
      <c r="C316" s="85"/>
      <c r="D316" s="85"/>
      <c r="E316" s="85"/>
      <c r="F316" s="85"/>
      <c r="G316" s="85"/>
      <c r="H316" s="85"/>
      <c r="I316" s="91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2.75" customHeight="1" spans="1:26">
      <c r="A317" s="85"/>
      <c r="B317" s="85"/>
      <c r="C317" s="85"/>
      <c r="D317" s="85"/>
      <c r="E317" s="85"/>
      <c r="F317" s="85"/>
      <c r="G317" s="85"/>
      <c r="H317" s="85"/>
      <c r="I317" s="91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2.75" customHeight="1" spans="1:26">
      <c r="A318" s="85"/>
      <c r="B318" s="85"/>
      <c r="C318" s="85"/>
      <c r="D318" s="85"/>
      <c r="E318" s="85"/>
      <c r="F318" s="85"/>
      <c r="G318" s="85"/>
      <c r="H318" s="85"/>
      <c r="I318" s="91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2.75" customHeight="1" spans="1:26">
      <c r="A319" s="85"/>
      <c r="B319" s="85"/>
      <c r="C319" s="85"/>
      <c r="D319" s="85"/>
      <c r="E319" s="85"/>
      <c r="F319" s="85"/>
      <c r="G319" s="85"/>
      <c r="H319" s="85"/>
      <c r="I319" s="91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2.75" customHeight="1" spans="1:26">
      <c r="A320" s="85"/>
      <c r="B320" s="85"/>
      <c r="C320" s="85"/>
      <c r="D320" s="85"/>
      <c r="E320" s="85"/>
      <c r="F320" s="85"/>
      <c r="G320" s="85"/>
      <c r="H320" s="85"/>
      <c r="I320" s="91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2.75" customHeight="1" spans="1:26">
      <c r="A321" s="85"/>
      <c r="B321" s="85"/>
      <c r="C321" s="85"/>
      <c r="D321" s="85"/>
      <c r="E321" s="85"/>
      <c r="F321" s="85"/>
      <c r="G321" s="85"/>
      <c r="H321" s="85"/>
      <c r="I321" s="91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2.75" customHeight="1" spans="1:26">
      <c r="A322" s="85"/>
      <c r="B322" s="85"/>
      <c r="C322" s="85"/>
      <c r="D322" s="85"/>
      <c r="E322" s="85"/>
      <c r="F322" s="85"/>
      <c r="G322" s="85"/>
      <c r="H322" s="85"/>
      <c r="I322" s="91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2.75" customHeight="1" spans="1:26">
      <c r="A323" s="85"/>
      <c r="B323" s="85"/>
      <c r="C323" s="85"/>
      <c r="D323" s="85"/>
      <c r="E323" s="85"/>
      <c r="F323" s="85"/>
      <c r="G323" s="85"/>
      <c r="H323" s="85"/>
      <c r="I323" s="91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2.75" customHeight="1" spans="1:26">
      <c r="A324" s="85"/>
      <c r="B324" s="85"/>
      <c r="C324" s="85"/>
      <c r="D324" s="85"/>
      <c r="E324" s="85"/>
      <c r="F324" s="85"/>
      <c r="G324" s="85"/>
      <c r="H324" s="85"/>
      <c r="I324" s="91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2.75" customHeight="1" spans="1:26">
      <c r="A325" s="85"/>
      <c r="B325" s="85"/>
      <c r="C325" s="85"/>
      <c r="D325" s="85"/>
      <c r="E325" s="85"/>
      <c r="F325" s="85"/>
      <c r="G325" s="85"/>
      <c r="H325" s="85"/>
      <c r="I325" s="91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2.75" customHeight="1" spans="1:26">
      <c r="A326" s="85"/>
      <c r="B326" s="85"/>
      <c r="C326" s="85"/>
      <c r="D326" s="85"/>
      <c r="E326" s="85"/>
      <c r="F326" s="85"/>
      <c r="G326" s="85"/>
      <c r="H326" s="85"/>
      <c r="I326" s="91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2.75" customHeight="1" spans="1:26">
      <c r="A327" s="85"/>
      <c r="B327" s="85"/>
      <c r="C327" s="85"/>
      <c r="D327" s="85"/>
      <c r="E327" s="85"/>
      <c r="F327" s="85"/>
      <c r="G327" s="85"/>
      <c r="H327" s="85"/>
      <c r="I327" s="91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2.75" customHeight="1" spans="1:26">
      <c r="A328" s="85"/>
      <c r="B328" s="85"/>
      <c r="C328" s="85"/>
      <c r="D328" s="85"/>
      <c r="E328" s="85"/>
      <c r="F328" s="85"/>
      <c r="G328" s="85"/>
      <c r="H328" s="85"/>
      <c r="I328" s="91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2.75" customHeight="1" spans="1:26">
      <c r="A329" s="85"/>
      <c r="B329" s="85"/>
      <c r="C329" s="85"/>
      <c r="D329" s="85"/>
      <c r="E329" s="85"/>
      <c r="F329" s="85"/>
      <c r="G329" s="85"/>
      <c r="H329" s="85"/>
      <c r="I329" s="91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2.75" customHeight="1" spans="1:26">
      <c r="A330" s="85"/>
      <c r="B330" s="85"/>
      <c r="C330" s="85"/>
      <c r="D330" s="85"/>
      <c r="E330" s="85"/>
      <c r="F330" s="85"/>
      <c r="G330" s="85"/>
      <c r="H330" s="85"/>
      <c r="I330" s="91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2.75" customHeight="1" spans="1:26">
      <c r="A331" s="85"/>
      <c r="B331" s="85"/>
      <c r="C331" s="85"/>
      <c r="D331" s="85"/>
      <c r="E331" s="85"/>
      <c r="F331" s="85"/>
      <c r="G331" s="85"/>
      <c r="H331" s="85"/>
      <c r="I331" s="91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2.75" customHeight="1" spans="1:26">
      <c r="A332" s="85"/>
      <c r="B332" s="85"/>
      <c r="C332" s="85"/>
      <c r="D332" s="85"/>
      <c r="E332" s="85"/>
      <c r="F332" s="85"/>
      <c r="G332" s="85"/>
      <c r="H332" s="85"/>
      <c r="I332" s="91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2.75" customHeight="1" spans="1:26">
      <c r="A333" s="85"/>
      <c r="B333" s="85"/>
      <c r="C333" s="85"/>
      <c r="D333" s="85"/>
      <c r="E333" s="85"/>
      <c r="F333" s="85"/>
      <c r="G333" s="85"/>
      <c r="H333" s="85"/>
      <c r="I333" s="91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2.75" customHeight="1" spans="1:26">
      <c r="A334" s="85"/>
      <c r="B334" s="85"/>
      <c r="C334" s="85"/>
      <c r="D334" s="85"/>
      <c r="E334" s="85"/>
      <c r="F334" s="85"/>
      <c r="G334" s="85"/>
      <c r="H334" s="85"/>
      <c r="I334" s="91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2.75" customHeight="1" spans="1:26">
      <c r="A335" s="85"/>
      <c r="B335" s="85"/>
      <c r="C335" s="85"/>
      <c r="D335" s="85"/>
      <c r="E335" s="85"/>
      <c r="F335" s="85"/>
      <c r="G335" s="85"/>
      <c r="H335" s="85"/>
      <c r="I335" s="91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2.75" customHeight="1" spans="1:26">
      <c r="A336" s="85"/>
      <c r="B336" s="85"/>
      <c r="C336" s="85"/>
      <c r="D336" s="85"/>
      <c r="E336" s="85"/>
      <c r="F336" s="85"/>
      <c r="G336" s="85"/>
      <c r="H336" s="85"/>
      <c r="I336" s="91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2.75" customHeight="1" spans="1:26">
      <c r="A337" s="85"/>
      <c r="B337" s="85"/>
      <c r="C337" s="85"/>
      <c r="D337" s="85"/>
      <c r="E337" s="85"/>
      <c r="F337" s="85"/>
      <c r="G337" s="85"/>
      <c r="H337" s="85"/>
      <c r="I337" s="91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2.75" customHeight="1" spans="1:26">
      <c r="A338" s="85"/>
      <c r="B338" s="85"/>
      <c r="C338" s="85"/>
      <c r="D338" s="85"/>
      <c r="E338" s="85"/>
      <c r="F338" s="85"/>
      <c r="G338" s="85"/>
      <c r="H338" s="85"/>
      <c r="I338" s="91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2.75" customHeight="1" spans="1:26">
      <c r="A339" s="85"/>
      <c r="B339" s="85"/>
      <c r="C339" s="85"/>
      <c r="D339" s="85"/>
      <c r="E339" s="85"/>
      <c r="F339" s="85"/>
      <c r="G339" s="85"/>
      <c r="H339" s="85"/>
      <c r="I339" s="91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2.75" customHeight="1" spans="1:26">
      <c r="A340" s="85"/>
      <c r="B340" s="85"/>
      <c r="C340" s="85"/>
      <c r="D340" s="85"/>
      <c r="E340" s="85"/>
      <c r="F340" s="85"/>
      <c r="G340" s="85"/>
      <c r="H340" s="85"/>
      <c r="I340" s="91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2.75" customHeight="1" spans="1:26">
      <c r="A341" s="85"/>
      <c r="B341" s="85"/>
      <c r="C341" s="85"/>
      <c r="D341" s="85"/>
      <c r="E341" s="85"/>
      <c r="F341" s="85"/>
      <c r="G341" s="85"/>
      <c r="H341" s="85"/>
      <c r="I341" s="91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2.75" customHeight="1" spans="1:26">
      <c r="A342" s="85"/>
      <c r="B342" s="85"/>
      <c r="C342" s="85"/>
      <c r="D342" s="85"/>
      <c r="E342" s="85"/>
      <c r="F342" s="85"/>
      <c r="G342" s="85"/>
      <c r="H342" s="85"/>
      <c r="I342" s="91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2.75" customHeight="1" spans="1:26">
      <c r="A343" s="85"/>
      <c r="B343" s="85"/>
      <c r="C343" s="85"/>
      <c r="D343" s="85"/>
      <c r="E343" s="85"/>
      <c r="F343" s="85"/>
      <c r="G343" s="85"/>
      <c r="H343" s="85"/>
      <c r="I343" s="91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2.75" customHeight="1" spans="1:26">
      <c r="A344" s="85"/>
      <c r="B344" s="85"/>
      <c r="C344" s="85"/>
      <c r="D344" s="85"/>
      <c r="E344" s="85"/>
      <c r="F344" s="85"/>
      <c r="G344" s="85"/>
      <c r="H344" s="85"/>
      <c r="I344" s="91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2.75" customHeight="1" spans="1:26">
      <c r="A345" s="85"/>
      <c r="B345" s="85"/>
      <c r="C345" s="85"/>
      <c r="D345" s="85"/>
      <c r="E345" s="85"/>
      <c r="F345" s="85"/>
      <c r="G345" s="85"/>
      <c r="H345" s="85"/>
      <c r="I345" s="91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2.75" customHeight="1" spans="1:26">
      <c r="A346" s="85"/>
      <c r="B346" s="85"/>
      <c r="C346" s="85"/>
      <c r="D346" s="85"/>
      <c r="E346" s="85"/>
      <c r="F346" s="85"/>
      <c r="G346" s="85"/>
      <c r="H346" s="85"/>
      <c r="I346" s="91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2.75" customHeight="1" spans="1:26">
      <c r="A347" s="85"/>
      <c r="B347" s="85"/>
      <c r="C347" s="85"/>
      <c r="D347" s="85"/>
      <c r="E347" s="85"/>
      <c r="F347" s="85"/>
      <c r="G347" s="85"/>
      <c r="H347" s="85"/>
      <c r="I347" s="91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2.75" customHeight="1" spans="1:26">
      <c r="A348" s="85"/>
      <c r="B348" s="85"/>
      <c r="C348" s="85"/>
      <c r="D348" s="85"/>
      <c r="E348" s="85"/>
      <c r="F348" s="85"/>
      <c r="G348" s="85"/>
      <c r="H348" s="85"/>
      <c r="I348" s="91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2.75" customHeight="1" spans="1:26">
      <c r="A349" s="85"/>
      <c r="B349" s="85"/>
      <c r="C349" s="85"/>
      <c r="D349" s="85"/>
      <c r="E349" s="85"/>
      <c r="F349" s="85"/>
      <c r="G349" s="85"/>
      <c r="H349" s="85"/>
      <c r="I349" s="91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2.75" customHeight="1" spans="1:26">
      <c r="A350" s="85"/>
      <c r="B350" s="85"/>
      <c r="C350" s="85"/>
      <c r="D350" s="85"/>
      <c r="E350" s="85"/>
      <c r="F350" s="85"/>
      <c r="G350" s="85"/>
      <c r="H350" s="85"/>
      <c r="I350" s="91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2.75" customHeight="1" spans="1:26">
      <c r="A351" s="85"/>
      <c r="B351" s="85"/>
      <c r="C351" s="85"/>
      <c r="D351" s="85"/>
      <c r="E351" s="85"/>
      <c r="F351" s="85"/>
      <c r="G351" s="85"/>
      <c r="H351" s="85"/>
      <c r="I351" s="91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2.75" customHeight="1" spans="1:26">
      <c r="A352" s="85"/>
      <c r="B352" s="85"/>
      <c r="C352" s="85"/>
      <c r="D352" s="85"/>
      <c r="E352" s="85"/>
      <c r="F352" s="85"/>
      <c r="G352" s="85"/>
      <c r="H352" s="85"/>
      <c r="I352" s="91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2.75" customHeight="1" spans="1:26">
      <c r="A353" s="85"/>
      <c r="B353" s="85"/>
      <c r="C353" s="85"/>
      <c r="D353" s="85"/>
      <c r="E353" s="85"/>
      <c r="F353" s="85"/>
      <c r="G353" s="85"/>
      <c r="H353" s="85"/>
      <c r="I353" s="91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2.75" customHeight="1" spans="1:26">
      <c r="A354" s="85"/>
      <c r="B354" s="85"/>
      <c r="C354" s="85"/>
      <c r="D354" s="85"/>
      <c r="E354" s="85"/>
      <c r="F354" s="85"/>
      <c r="G354" s="85"/>
      <c r="H354" s="85"/>
      <c r="I354" s="91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2.75" customHeight="1" spans="1:26">
      <c r="A355" s="85"/>
      <c r="B355" s="85"/>
      <c r="C355" s="85"/>
      <c r="D355" s="85"/>
      <c r="E355" s="85"/>
      <c r="F355" s="85"/>
      <c r="G355" s="85"/>
      <c r="H355" s="85"/>
      <c r="I355" s="91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2.75" customHeight="1" spans="1:26">
      <c r="A356" s="85"/>
      <c r="B356" s="85"/>
      <c r="C356" s="85"/>
      <c r="D356" s="85"/>
      <c r="E356" s="85"/>
      <c r="F356" s="85"/>
      <c r="G356" s="85"/>
      <c r="H356" s="85"/>
      <c r="I356" s="91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2.75" customHeight="1" spans="1:26">
      <c r="A357" s="85"/>
      <c r="B357" s="85"/>
      <c r="C357" s="85"/>
      <c r="D357" s="85"/>
      <c r="E357" s="85"/>
      <c r="F357" s="85"/>
      <c r="G357" s="85"/>
      <c r="H357" s="85"/>
      <c r="I357" s="91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2.75" customHeight="1" spans="1:26">
      <c r="A358" s="85"/>
      <c r="B358" s="85"/>
      <c r="C358" s="85"/>
      <c r="D358" s="85"/>
      <c r="E358" s="85"/>
      <c r="F358" s="85"/>
      <c r="G358" s="85"/>
      <c r="H358" s="85"/>
      <c r="I358" s="91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2.75" customHeight="1" spans="1:26">
      <c r="A359" s="85"/>
      <c r="B359" s="85"/>
      <c r="C359" s="85"/>
      <c r="D359" s="85"/>
      <c r="E359" s="85"/>
      <c r="F359" s="85"/>
      <c r="G359" s="85"/>
      <c r="H359" s="85"/>
      <c r="I359" s="91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2.75" customHeight="1" spans="1:26">
      <c r="A360" s="85"/>
      <c r="B360" s="85"/>
      <c r="C360" s="85"/>
      <c r="D360" s="85"/>
      <c r="E360" s="85"/>
      <c r="F360" s="85"/>
      <c r="G360" s="85"/>
      <c r="H360" s="85"/>
      <c r="I360" s="91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2.75" customHeight="1" spans="1:26">
      <c r="A361" s="85"/>
      <c r="B361" s="85"/>
      <c r="C361" s="85"/>
      <c r="D361" s="85"/>
      <c r="E361" s="85"/>
      <c r="F361" s="85"/>
      <c r="G361" s="85"/>
      <c r="H361" s="85"/>
      <c r="I361" s="91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2.75" customHeight="1" spans="1:26">
      <c r="A362" s="85"/>
      <c r="B362" s="85"/>
      <c r="C362" s="85"/>
      <c r="D362" s="85"/>
      <c r="E362" s="85"/>
      <c r="F362" s="85"/>
      <c r="G362" s="85"/>
      <c r="H362" s="85"/>
      <c r="I362" s="91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2.75" customHeight="1" spans="1:26">
      <c r="A363" s="85"/>
      <c r="B363" s="85"/>
      <c r="C363" s="85"/>
      <c r="D363" s="85"/>
      <c r="E363" s="85"/>
      <c r="F363" s="85"/>
      <c r="G363" s="85"/>
      <c r="H363" s="85"/>
      <c r="I363" s="91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2.75" customHeight="1" spans="1:26">
      <c r="A364" s="85"/>
      <c r="B364" s="85"/>
      <c r="C364" s="85"/>
      <c r="D364" s="85"/>
      <c r="E364" s="85"/>
      <c r="F364" s="85"/>
      <c r="G364" s="85"/>
      <c r="H364" s="85"/>
      <c r="I364" s="91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2.75" customHeight="1" spans="1:26">
      <c r="A365" s="85"/>
      <c r="B365" s="85"/>
      <c r="C365" s="85"/>
      <c r="D365" s="85"/>
      <c r="E365" s="85"/>
      <c r="F365" s="85"/>
      <c r="G365" s="85"/>
      <c r="H365" s="85"/>
      <c r="I365" s="91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2.75" customHeight="1" spans="1:26">
      <c r="A366" s="85"/>
      <c r="B366" s="85"/>
      <c r="C366" s="85"/>
      <c r="D366" s="85"/>
      <c r="E366" s="85"/>
      <c r="F366" s="85"/>
      <c r="G366" s="85"/>
      <c r="H366" s="85"/>
      <c r="I366" s="91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2.75" customHeight="1" spans="1:26">
      <c r="A367" s="85"/>
      <c r="B367" s="85"/>
      <c r="C367" s="85"/>
      <c r="D367" s="85"/>
      <c r="E367" s="85"/>
      <c r="F367" s="85"/>
      <c r="G367" s="85"/>
      <c r="H367" s="85"/>
      <c r="I367" s="91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2.75" customHeight="1" spans="1:26">
      <c r="A368" s="85"/>
      <c r="B368" s="85"/>
      <c r="C368" s="85"/>
      <c r="D368" s="85"/>
      <c r="E368" s="85"/>
      <c r="F368" s="85"/>
      <c r="G368" s="85"/>
      <c r="H368" s="85"/>
      <c r="I368" s="91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2.75" customHeight="1" spans="1:26">
      <c r="A369" s="85"/>
      <c r="B369" s="85"/>
      <c r="C369" s="85"/>
      <c r="D369" s="85"/>
      <c r="E369" s="85"/>
      <c r="F369" s="85"/>
      <c r="G369" s="85"/>
      <c r="H369" s="85"/>
      <c r="I369" s="91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2.75" customHeight="1" spans="1:26">
      <c r="A370" s="85"/>
      <c r="B370" s="85"/>
      <c r="C370" s="85"/>
      <c r="D370" s="85"/>
      <c r="E370" s="85"/>
      <c r="F370" s="85"/>
      <c r="G370" s="85"/>
      <c r="H370" s="85"/>
      <c r="I370" s="91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2.75" customHeight="1" spans="1:26">
      <c r="A371" s="85"/>
      <c r="B371" s="85"/>
      <c r="C371" s="85"/>
      <c r="D371" s="85"/>
      <c r="E371" s="85"/>
      <c r="F371" s="85"/>
      <c r="G371" s="85"/>
      <c r="H371" s="85"/>
      <c r="I371" s="91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2.75" customHeight="1" spans="1:26">
      <c r="A372" s="85"/>
      <c r="B372" s="85"/>
      <c r="C372" s="85"/>
      <c r="D372" s="85"/>
      <c r="E372" s="85"/>
      <c r="F372" s="85"/>
      <c r="G372" s="85"/>
      <c r="H372" s="85"/>
      <c r="I372" s="91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2.75" customHeight="1" spans="1:26">
      <c r="A373" s="85"/>
      <c r="B373" s="85"/>
      <c r="C373" s="85"/>
      <c r="D373" s="85"/>
      <c r="E373" s="85"/>
      <c r="F373" s="85"/>
      <c r="G373" s="85"/>
      <c r="H373" s="85"/>
      <c r="I373" s="91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2.75" customHeight="1" spans="1:26">
      <c r="A374" s="85"/>
      <c r="B374" s="85"/>
      <c r="C374" s="85"/>
      <c r="D374" s="85"/>
      <c r="E374" s="85"/>
      <c r="F374" s="85"/>
      <c r="G374" s="85"/>
      <c r="H374" s="85"/>
      <c r="I374" s="91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2.75" customHeight="1" spans="1:26">
      <c r="A375" s="85"/>
      <c r="B375" s="85"/>
      <c r="C375" s="85"/>
      <c r="D375" s="85"/>
      <c r="E375" s="85"/>
      <c r="F375" s="85"/>
      <c r="G375" s="85"/>
      <c r="H375" s="85"/>
      <c r="I375" s="91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2.75" customHeight="1" spans="1:26">
      <c r="A376" s="85"/>
      <c r="B376" s="85"/>
      <c r="C376" s="85"/>
      <c r="D376" s="85"/>
      <c r="E376" s="85"/>
      <c r="F376" s="85"/>
      <c r="G376" s="85"/>
      <c r="H376" s="85"/>
      <c r="I376" s="91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2.75" customHeight="1" spans="1:26">
      <c r="A377" s="85"/>
      <c r="B377" s="85"/>
      <c r="C377" s="85"/>
      <c r="D377" s="85"/>
      <c r="E377" s="85"/>
      <c r="F377" s="85"/>
      <c r="G377" s="85"/>
      <c r="H377" s="85"/>
      <c r="I377" s="91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2.75" customHeight="1" spans="1:26">
      <c r="A378" s="85"/>
      <c r="B378" s="85"/>
      <c r="C378" s="85"/>
      <c r="D378" s="85"/>
      <c r="E378" s="85"/>
      <c r="F378" s="85"/>
      <c r="G378" s="85"/>
      <c r="H378" s="85"/>
      <c r="I378" s="91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2.75" customHeight="1" spans="1:26">
      <c r="A379" s="85"/>
      <c r="B379" s="85"/>
      <c r="C379" s="85"/>
      <c r="D379" s="85"/>
      <c r="E379" s="85"/>
      <c r="F379" s="85"/>
      <c r="G379" s="85"/>
      <c r="H379" s="85"/>
      <c r="I379" s="91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2.75" customHeight="1" spans="1:26">
      <c r="A380" s="85"/>
      <c r="B380" s="85"/>
      <c r="C380" s="85"/>
      <c r="D380" s="85"/>
      <c r="E380" s="85"/>
      <c r="F380" s="85"/>
      <c r="G380" s="85"/>
      <c r="H380" s="85"/>
      <c r="I380" s="91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2.75" customHeight="1" spans="1:26">
      <c r="A381" s="85"/>
      <c r="B381" s="85"/>
      <c r="C381" s="85"/>
      <c r="D381" s="85"/>
      <c r="E381" s="85"/>
      <c r="F381" s="85"/>
      <c r="G381" s="85"/>
      <c r="H381" s="85"/>
      <c r="I381" s="91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2.75" customHeight="1" spans="1:26">
      <c r="A382" s="85"/>
      <c r="B382" s="85"/>
      <c r="C382" s="85"/>
      <c r="D382" s="85"/>
      <c r="E382" s="85"/>
      <c r="F382" s="85"/>
      <c r="G382" s="85"/>
      <c r="H382" s="85"/>
      <c r="I382" s="91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2.75" customHeight="1" spans="1:26">
      <c r="A383" s="85"/>
      <c r="B383" s="85"/>
      <c r="C383" s="85"/>
      <c r="D383" s="85"/>
      <c r="E383" s="85"/>
      <c r="F383" s="85"/>
      <c r="G383" s="85"/>
      <c r="H383" s="85"/>
      <c r="I383" s="91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2.75" customHeight="1" spans="1:26">
      <c r="A384" s="85"/>
      <c r="B384" s="85"/>
      <c r="C384" s="85"/>
      <c r="D384" s="85"/>
      <c r="E384" s="85"/>
      <c r="F384" s="85"/>
      <c r="G384" s="85"/>
      <c r="H384" s="85"/>
      <c r="I384" s="91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2.75" customHeight="1" spans="1:26">
      <c r="A385" s="85"/>
      <c r="B385" s="85"/>
      <c r="C385" s="85"/>
      <c r="D385" s="85"/>
      <c r="E385" s="85"/>
      <c r="F385" s="85"/>
      <c r="G385" s="85"/>
      <c r="H385" s="85"/>
      <c r="I385" s="91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2.75" customHeight="1" spans="1:26">
      <c r="A386" s="85"/>
      <c r="B386" s="85"/>
      <c r="C386" s="85"/>
      <c r="D386" s="85"/>
      <c r="E386" s="85"/>
      <c r="F386" s="85"/>
      <c r="G386" s="85"/>
      <c r="H386" s="85"/>
      <c r="I386" s="91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2.75" customHeight="1" spans="1:26">
      <c r="A387" s="85"/>
      <c r="B387" s="85"/>
      <c r="C387" s="85"/>
      <c r="D387" s="85"/>
      <c r="E387" s="85"/>
      <c r="F387" s="85"/>
      <c r="G387" s="85"/>
      <c r="H387" s="85"/>
      <c r="I387" s="91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2.75" customHeight="1" spans="1:26">
      <c r="A388" s="85"/>
      <c r="B388" s="85"/>
      <c r="C388" s="85"/>
      <c r="D388" s="85"/>
      <c r="E388" s="85"/>
      <c r="F388" s="85"/>
      <c r="G388" s="85"/>
      <c r="H388" s="85"/>
      <c r="I388" s="91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2.75" customHeight="1" spans="1:26">
      <c r="A389" s="85"/>
      <c r="B389" s="85"/>
      <c r="C389" s="85"/>
      <c r="D389" s="85"/>
      <c r="E389" s="85"/>
      <c r="F389" s="85"/>
      <c r="G389" s="85"/>
      <c r="H389" s="85"/>
      <c r="I389" s="91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2.75" customHeight="1" spans="1:26">
      <c r="A390" s="85"/>
      <c r="B390" s="85"/>
      <c r="C390" s="85"/>
      <c r="D390" s="85"/>
      <c r="E390" s="85"/>
      <c r="F390" s="85"/>
      <c r="G390" s="85"/>
      <c r="H390" s="85"/>
      <c r="I390" s="91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2.75" customHeight="1" spans="1:26">
      <c r="A391" s="85"/>
      <c r="B391" s="85"/>
      <c r="C391" s="85"/>
      <c r="D391" s="85"/>
      <c r="E391" s="85"/>
      <c r="F391" s="85"/>
      <c r="G391" s="85"/>
      <c r="H391" s="85"/>
      <c r="I391" s="91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2.75" customHeight="1" spans="1:26">
      <c r="A392" s="85"/>
      <c r="B392" s="85"/>
      <c r="C392" s="85"/>
      <c r="D392" s="85"/>
      <c r="E392" s="85"/>
      <c r="F392" s="85"/>
      <c r="G392" s="85"/>
      <c r="H392" s="85"/>
      <c r="I392" s="91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2.75" customHeight="1" spans="1:26">
      <c r="A393" s="85"/>
      <c r="B393" s="85"/>
      <c r="C393" s="85"/>
      <c r="D393" s="85"/>
      <c r="E393" s="85"/>
      <c r="F393" s="85"/>
      <c r="G393" s="85"/>
      <c r="H393" s="85"/>
      <c r="I393" s="91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2.75" customHeight="1" spans="1:26">
      <c r="A394" s="85"/>
      <c r="B394" s="85"/>
      <c r="C394" s="85"/>
      <c r="D394" s="85"/>
      <c r="E394" s="85"/>
      <c r="F394" s="85"/>
      <c r="G394" s="85"/>
      <c r="H394" s="85"/>
      <c r="I394" s="91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2.75" customHeight="1" spans="1:26">
      <c r="A395" s="85"/>
      <c r="B395" s="85"/>
      <c r="C395" s="85"/>
      <c r="D395" s="85"/>
      <c r="E395" s="85"/>
      <c r="F395" s="85"/>
      <c r="G395" s="85"/>
      <c r="H395" s="85"/>
      <c r="I395" s="91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2.75" customHeight="1" spans="1:26">
      <c r="A396" s="85"/>
      <c r="B396" s="85"/>
      <c r="C396" s="85"/>
      <c r="D396" s="85"/>
      <c r="E396" s="85"/>
      <c r="F396" s="85"/>
      <c r="G396" s="85"/>
      <c r="H396" s="85"/>
      <c r="I396" s="91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2.75" customHeight="1" spans="1:26">
      <c r="A397" s="85"/>
      <c r="B397" s="85"/>
      <c r="C397" s="85"/>
      <c r="D397" s="85"/>
      <c r="E397" s="85"/>
      <c r="F397" s="85"/>
      <c r="G397" s="85"/>
      <c r="H397" s="85"/>
      <c r="I397" s="91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2.75" customHeight="1" spans="1:26">
      <c r="A398" s="85"/>
      <c r="B398" s="85"/>
      <c r="C398" s="85"/>
      <c r="D398" s="85"/>
      <c r="E398" s="85"/>
      <c r="F398" s="85"/>
      <c r="G398" s="85"/>
      <c r="H398" s="85"/>
      <c r="I398" s="91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2.75" customHeight="1" spans="1:26">
      <c r="A399" s="85"/>
      <c r="B399" s="85"/>
      <c r="C399" s="85"/>
      <c r="D399" s="85"/>
      <c r="E399" s="85"/>
      <c r="F399" s="85"/>
      <c r="G399" s="85"/>
      <c r="H399" s="85"/>
      <c r="I399" s="91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2.75" customHeight="1" spans="1:26">
      <c r="A400" s="85"/>
      <c r="B400" s="85"/>
      <c r="C400" s="85"/>
      <c r="D400" s="85"/>
      <c r="E400" s="85"/>
      <c r="F400" s="85"/>
      <c r="G400" s="85"/>
      <c r="H400" s="85"/>
      <c r="I400" s="91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2.75" customHeight="1" spans="1:26">
      <c r="A401" s="85"/>
      <c r="B401" s="85"/>
      <c r="C401" s="85"/>
      <c r="D401" s="85"/>
      <c r="E401" s="85"/>
      <c r="F401" s="85"/>
      <c r="G401" s="85"/>
      <c r="H401" s="85"/>
      <c r="I401" s="91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2.75" customHeight="1" spans="1:26">
      <c r="A402" s="85"/>
      <c r="B402" s="85"/>
      <c r="C402" s="85"/>
      <c r="D402" s="85"/>
      <c r="E402" s="85"/>
      <c r="F402" s="85"/>
      <c r="G402" s="85"/>
      <c r="H402" s="85"/>
      <c r="I402" s="91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2.75" customHeight="1" spans="1:26">
      <c r="A403" s="85"/>
      <c r="B403" s="85"/>
      <c r="C403" s="85"/>
      <c r="D403" s="85"/>
      <c r="E403" s="85"/>
      <c r="F403" s="85"/>
      <c r="G403" s="85"/>
      <c r="H403" s="85"/>
      <c r="I403" s="91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2.75" customHeight="1" spans="1:26">
      <c r="A404" s="85"/>
      <c r="B404" s="85"/>
      <c r="C404" s="85"/>
      <c r="D404" s="85"/>
      <c r="E404" s="85"/>
      <c r="F404" s="85"/>
      <c r="G404" s="85"/>
      <c r="H404" s="85"/>
      <c r="I404" s="91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2.75" customHeight="1" spans="1:26">
      <c r="A405" s="85"/>
      <c r="B405" s="85"/>
      <c r="C405" s="85"/>
      <c r="D405" s="85"/>
      <c r="E405" s="85"/>
      <c r="F405" s="85"/>
      <c r="G405" s="85"/>
      <c r="H405" s="85"/>
      <c r="I405" s="91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2.75" customHeight="1" spans="1:26">
      <c r="A406" s="85"/>
      <c r="B406" s="85"/>
      <c r="C406" s="85"/>
      <c r="D406" s="85"/>
      <c r="E406" s="85"/>
      <c r="F406" s="85"/>
      <c r="G406" s="85"/>
      <c r="H406" s="85"/>
      <c r="I406" s="91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2.75" customHeight="1" spans="1:26">
      <c r="A407" s="85"/>
      <c r="B407" s="85"/>
      <c r="C407" s="85"/>
      <c r="D407" s="85"/>
      <c r="E407" s="85"/>
      <c r="F407" s="85"/>
      <c r="G407" s="85"/>
      <c r="H407" s="85"/>
      <c r="I407" s="91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2.75" customHeight="1" spans="1:26">
      <c r="A408" s="85"/>
      <c r="B408" s="85"/>
      <c r="C408" s="85"/>
      <c r="D408" s="85"/>
      <c r="E408" s="85"/>
      <c r="F408" s="85"/>
      <c r="G408" s="85"/>
      <c r="H408" s="85"/>
      <c r="I408" s="91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2.75" customHeight="1" spans="1:26">
      <c r="A409" s="85"/>
      <c r="B409" s="85"/>
      <c r="C409" s="85"/>
      <c r="D409" s="85"/>
      <c r="E409" s="85"/>
      <c r="F409" s="85"/>
      <c r="G409" s="85"/>
      <c r="H409" s="85"/>
      <c r="I409" s="91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2.75" customHeight="1" spans="1:26">
      <c r="A410" s="85"/>
      <c r="B410" s="85"/>
      <c r="C410" s="85"/>
      <c r="D410" s="85"/>
      <c r="E410" s="85"/>
      <c r="F410" s="85"/>
      <c r="G410" s="85"/>
      <c r="H410" s="85"/>
      <c r="I410" s="91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2.75" customHeight="1" spans="1:26">
      <c r="A411" s="85"/>
      <c r="B411" s="85"/>
      <c r="C411" s="85"/>
      <c r="D411" s="85"/>
      <c r="E411" s="85"/>
      <c r="F411" s="85"/>
      <c r="G411" s="85"/>
      <c r="H411" s="85"/>
      <c r="I411" s="91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2.75" customHeight="1" spans="1:26">
      <c r="A412" s="85"/>
      <c r="B412" s="85"/>
      <c r="C412" s="85"/>
      <c r="D412" s="85"/>
      <c r="E412" s="85"/>
      <c r="F412" s="85"/>
      <c r="G412" s="85"/>
      <c r="H412" s="85"/>
      <c r="I412" s="91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2.75" customHeight="1" spans="1:26">
      <c r="A413" s="85"/>
      <c r="B413" s="85"/>
      <c r="C413" s="85"/>
      <c r="D413" s="85"/>
      <c r="E413" s="85"/>
      <c r="F413" s="85"/>
      <c r="G413" s="85"/>
      <c r="H413" s="85"/>
      <c r="I413" s="91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2.75" customHeight="1" spans="1:26">
      <c r="A414" s="85"/>
      <c r="B414" s="85"/>
      <c r="C414" s="85"/>
      <c r="D414" s="85"/>
      <c r="E414" s="85"/>
      <c r="F414" s="85"/>
      <c r="G414" s="85"/>
      <c r="H414" s="85"/>
      <c r="I414" s="91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2.75" customHeight="1" spans="1:26">
      <c r="A415" s="85"/>
      <c r="B415" s="85"/>
      <c r="C415" s="85"/>
      <c r="D415" s="85"/>
      <c r="E415" s="85"/>
      <c r="F415" s="85"/>
      <c r="G415" s="85"/>
      <c r="H415" s="85"/>
      <c r="I415" s="91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2.75" customHeight="1" spans="1:26">
      <c r="A416" s="85"/>
      <c r="B416" s="85"/>
      <c r="C416" s="85"/>
      <c r="D416" s="85"/>
      <c r="E416" s="85"/>
      <c r="F416" s="85"/>
      <c r="G416" s="85"/>
      <c r="H416" s="85"/>
      <c r="I416" s="91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2.75" customHeight="1" spans="1:26">
      <c r="A417" s="85"/>
      <c r="B417" s="85"/>
      <c r="C417" s="85"/>
      <c r="D417" s="85"/>
      <c r="E417" s="85"/>
      <c r="F417" s="85"/>
      <c r="G417" s="85"/>
      <c r="H417" s="85"/>
      <c r="I417" s="91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2.75" customHeight="1" spans="1:26">
      <c r="A418" s="85"/>
      <c r="B418" s="85"/>
      <c r="C418" s="85"/>
      <c r="D418" s="85"/>
      <c r="E418" s="85"/>
      <c r="F418" s="85"/>
      <c r="G418" s="85"/>
      <c r="H418" s="85"/>
      <c r="I418" s="91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2.75" customHeight="1" spans="1:26">
      <c r="A419" s="85"/>
      <c r="B419" s="85"/>
      <c r="C419" s="85"/>
      <c r="D419" s="85"/>
      <c r="E419" s="85"/>
      <c r="F419" s="85"/>
      <c r="G419" s="85"/>
      <c r="H419" s="85"/>
      <c r="I419" s="91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2.75" customHeight="1" spans="1:26">
      <c r="A420" s="85"/>
      <c r="B420" s="85"/>
      <c r="C420" s="85"/>
      <c r="D420" s="85"/>
      <c r="E420" s="85"/>
      <c r="F420" s="85"/>
      <c r="G420" s="85"/>
      <c r="H420" s="85"/>
      <c r="I420" s="91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2.75" customHeight="1" spans="1:26">
      <c r="A421" s="85"/>
      <c r="B421" s="85"/>
      <c r="C421" s="85"/>
      <c r="D421" s="85"/>
      <c r="E421" s="85"/>
      <c r="F421" s="85"/>
      <c r="G421" s="85"/>
      <c r="H421" s="85"/>
      <c r="I421" s="91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2.75" customHeight="1" spans="1:26">
      <c r="A422" s="85"/>
      <c r="B422" s="85"/>
      <c r="C422" s="85"/>
      <c r="D422" s="85"/>
      <c r="E422" s="85"/>
      <c r="F422" s="85"/>
      <c r="G422" s="85"/>
      <c r="H422" s="85"/>
      <c r="I422" s="91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2.75" customHeight="1" spans="1:26">
      <c r="A423" s="85"/>
      <c r="B423" s="85"/>
      <c r="C423" s="85"/>
      <c r="D423" s="85"/>
      <c r="E423" s="85"/>
      <c r="F423" s="85"/>
      <c r="G423" s="85"/>
      <c r="H423" s="85"/>
      <c r="I423" s="91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2.75" customHeight="1" spans="1:26">
      <c r="A424" s="85"/>
      <c r="B424" s="85"/>
      <c r="C424" s="85"/>
      <c r="D424" s="85"/>
      <c r="E424" s="85"/>
      <c r="F424" s="85"/>
      <c r="G424" s="85"/>
      <c r="H424" s="85"/>
      <c r="I424" s="91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2.75" customHeight="1" spans="1:26">
      <c r="A425" s="85"/>
      <c r="B425" s="85"/>
      <c r="C425" s="85"/>
      <c r="D425" s="85"/>
      <c r="E425" s="85"/>
      <c r="F425" s="85"/>
      <c r="G425" s="85"/>
      <c r="H425" s="85"/>
      <c r="I425" s="91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2.75" customHeight="1" spans="1:26">
      <c r="A426" s="85"/>
      <c r="B426" s="85"/>
      <c r="C426" s="85"/>
      <c r="D426" s="85"/>
      <c r="E426" s="85"/>
      <c r="F426" s="85"/>
      <c r="G426" s="85"/>
      <c r="H426" s="85"/>
      <c r="I426" s="91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2.75" customHeight="1" spans="1:26">
      <c r="A427" s="85"/>
      <c r="B427" s="85"/>
      <c r="C427" s="85"/>
      <c r="D427" s="85"/>
      <c r="E427" s="85"/>
      <c r="F427" s="85"/>
      <c r="G427" s="85"/>
      <c r="H427" s="85"/>
      <c r="I427" s="91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2.75" customHeight="1" spans="1:26">
      <c r="A428" s="85"/>
      <c r="B428" s="85"/>
      <c r="C428" s="85"/>
      <c r="D428" s="85"/>
      <c r="E428" s="85"/>
      <c r="F428" s="85"/>
      <c r="G428" s="85"/>
      <c r="H428" s="85"/>
      <c r="I428" s="91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2.75" customHeight="1" spans="1:26">
      <c r="A429" s="85"/>
      <c r="B429" s="85"/>
      <c r="C429" s="85"/>
      <c r="D429" s="85"/>
      <c r="E429" s="85"/>
      <c r="F429" s="85"/>
      <c r="G429" s="85"/>
      <c r="H429" s="85"/>
      <c r="I429" s="91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2.75" customHeight="1" spans="1:26">
      <c r="A430" s="85"/>
      <c r="B430" s="85"/>
      <c r="C430" s="85"/>
      <c r="D430" s="85"/>
      <c r="E430" s="85"/>
      <c r="F430" s="85"/>
      <c r="G430" s="85"/>
      <c r="H430" s="85"/>
      <c r="I430" s="91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2.75" customHeight="1" spans="1:26">
      <c r="A431" s="85"/>
      <c r="B431" s="85"/>
      <c r="C431" s="85"/>
      <c r="D431" s="85"/>
      <c r="E431" s="85"/>
      <c r="F431" s="85"/>
      <c r="G431" s="85"/>
      <c r="H431" s="85"/>
      <c r="I431" s="91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2.75" customHeight="1" spans="1:26">
      <c r="A432" s="85"/>
      <c r="B432" s="85"/>
      <c r="C432" s="85"/>
      <c r="D432" s="85"/>
      <c r="E432" s="85"/>
      <c r="F432" s="85"/>
      <c r="G432" s="85"/>
      <c r="H432" s="85"/>
      <c r="I432" s="91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2.75" customHeight="1" spans="1:26">
      <c r="A433" s="85"/>
      <c r="B433" s="85"/>
      <c r="C433" s="85"/>
      <c r="D433" s="85"/>
      <c r="E433" s="85"/>
      <c r="F433" s="85"/>
      <c r="G433" s="85"/>
      <c r="H433" s="85"/>
      <c r="I433" s="91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2.75" customHeight="1" spans="1:26">
      <c r="A434" s="85"/>
      <c r="B434" s="85"/>
      <c r="C434" s="85"/>
      <c r="D434" s="85"/>
      <c r="E434" s="85"/>
      <c r="F434" s="85"/>
      <c r="G434" s="85"/>
      <c r="H434" s="85"/>
      <c r="I434" s="91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2.75" customHeight="1" spans="1:26">
      <c r="A435" s="85"/>
      <c r="B435" s="85"/>
      <c r="C435" s="85"/>
      <c r="D435" s="85"/>
      <c r="E435" s="85"/>
      <c r="F435" s="85"/>
      <c r="G435" s="85"/>
      <c r="H435" s="85"/>
      <c r="I435" s="91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2.75" customHeight="1" spans="1:26">
      <c r="A436" s="85"/>
      <c r="B436" s="85"/>
      <c r="C436" s="85"/>
      <c r="D436" s="85"/>
      <c r="E436" s="85"/>
      <c r="F436" s="85"/>
      <c r="G436" s="85"/>
      <c r="H436" s="85"/>
      <c r="I436" s="91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2.75" customHeight="1" spans="1:26">
      <c r="A437" s="85"/>
      <c r="B437" s="85"/>
      <c r="C437" s="85"/>
      <c r="D437" s="85"/>
      <c r="E437" s="85"/>
      <c r="F437" s="85"/>
      <c r="G437" s="85"/>
      <c r="H437" s="85"/>
      <c r="I437" s="91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2.75" customHeight="1" spans="1:26">
      <c r="A438" s="85"/>
      <c r="B438" s="85"/>
      <c r="C438" s="85"/>
      <c r="D438" s="85"/>
      <c r="E438" s="85"/>
      <c r="F438" s="85"/>
      <c r="G438" s="85"/>
      <c r="H438" s="85"/>
      <c r="I438" s="91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2.75" customHeight="1" spans="1:26">
      <c r="A439" s="85"/>
      <c r="B439" s="85"/>
      <c r="C439" s="85"/>
      <c r="D439" s="85"/>
      <c r="E439" s="85"/>
      <c r="F439" s="85"/>
      <c r="G439" s="85"/>
      <c r="H439" s="85"/>
      <c r="I439" s="91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2.75" customHeight="1" spans="1:26">
      <c r="A440" s="85"/>
      <c r="B440" s="85"/>
      <c r="C440" s="85"/>
      <c r="D440" s="85"/>
      <c r="E440" s="85"/>
      <c r="F440" s="85"/>
      <c r="G440" s="85"/>
      <c r="H440" s="85"/>
      <c r="I440" s="91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2.75" customHeight="1" spans="1:26">
      <c r="A441" s="85"/>
      <c r="B441" s="85"/>
      <c r="C441" s="85"/>
      <c r="D441" s="85"/>
      <c r="E441" s="85"/>
      <c r="F441" s="85"/>
      <c r="G441" s="85"/>
      <c r="H441" s="85"/>
      <c r="I441" s="91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2.75" customHeight="1" spans="1:26">
      <c r="A442" s="85"/>
      <c r="B442" s="85"/>
      <c r="C442" s="85"/>
      <c r="D442" s="85"/>
      <c r="E442" s="85"/>
      <c r="F442" s="85"/>
      <c r="G442" s="85"/>
      <c r="H442" s="85"/>
      <c r="I442" s="91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2.75" customHeight="1" spans="1:26">
      <c r="A443" s="85"/>
      <c r="B443" s="85"/>
      <c r="C443" s="85"/>
      <c r="D443" s="85"/>
      <c r="E443" s="85"/>
      <c r="F443" s="85"/>
      <c r="G443" s="85"/>
      <c r="H443" s="85"/>
      <c r="I443" s="91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2.75" customHeight="1" spans="1:26">
      <c r="A444" s="85"/>
      <c r="B444" s="85"/>
      <c r="C444" s="85"/>
      <c r="D444" s="85"/>
      <c r="E444" s="85"/>
      <c r="F444" s="85"/>
      <c r="G444" s="85"/>
      <c r="H444" s="85"/>
      <c r="I444" s="91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2.75" customHeight="1" spans="1:26">
      <c r="A445" s="85"/>
      <c r="B445" s="85"/>
      <c r="C445" s="85"/>
      <c r="D445" s="85"/>
      <c r="E445" s="85"/>
      <c r="F445" s="85"/>
      <c r="G445" s="85"/>
      <c r="H445" s="85"/>
      <c r="I445" s="91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2.75" customHeight="1" spans="1:26">
      <c r="A446" s="85"/>
      <c r="B446" s="85"/>
      <c r="C446" s="85"/>
      <c r="D446" s="85"/>
      <c r="E446" s="85"/>
      <c r="F446" s="85"/>
      <c r="G446" s="85"/>
      <c r="H446" s="85"/>
      <c r="I446" s="91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2.75" customHeight="1" spans="1:26">
      <c r="A447" s="85"/>
      <c r="B447" s="85"/>
      <c r="C447" s="85"/>
      <c r="D447" s="85"/>
      <c r="E447" s="85"/>
      <c r="F447" s="85"/>
      <c r="G447" s="85"/>
      <c r="H447" s="85"/>
      <c r="I447" s="91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2.75" customHeight="1" spans="1:26">
      <c r="A448" s="85"/>
      <c r="B448" s="85"/>
      <c r="C448" s="85"/>
      <c r="D448" s="85"/>
      <c r="E448" s="85"/>
      <c r="F448" s="85"/>
      <c r="G448" s="85"/>
      <c r="H448" s="85"/>
      <c r="I448" s="91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2.75" customHeight="1" spans="1:26">
      <c r="A449" s="85"/>
      <c r="B449" s="85"/>
      <c r="C449" s="85"/>
      <c r="D449" s="85"/>
      <c r="E449" s="85"/>
      <c r="F449" s="85"/>
      <c r="G449" s="85"/>
      <c r="H449" s="85"/>
      <c r="I449" s="91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2.75" customHeight="1" spans="1:26">
      <c r="A450" s="85"/>
      <c r="B450" s="85"/>
      <c r="C450" s="85"/>
      <c r="D450" s="85"/>
      <c r="E450" s="85"/>
      <c r="F450" s="85"/>
      <c r="G450" s="85"/>
      <c r="H450" s="85"/>
      <c r="I450" s="91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2.75" customHeight="1" spans="1:26">
      <c r="A451" s="85"/>
      <c r="B451" s="85"/>
      <c r="C451" s="85"/>
      <c r="D451" s="85"/>
      <c r="E451" s="85"/>
      <c r="F451" s="85"/>
      <c r="G451" s="85"/>
      <c r="H451" s="85"/>
      <c r="I451" s="91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2.75" customHeight="1" spans="1:26">
      <c r="A452" s="85"/>
      <c r="B452" s="85"/>
      <c r="C452" s="85"/>
      <c r="D452" s="85"/>
      <c r="E452" s="85"/>
      <c r="F452" s="85"/>
      <c r="G452" s="85"/>
      <c r="H452" s="85"/>
      <c r="I452" s="91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2.75" customHeight="1" spans="1:26">
      <c r="A453" s="85"/>
      <c r="B453" s="85"/>
      <c r="C453" s="85"/>
      <c r="D453" s="85"/>
      <c r="E453" s="85"/>
      <c r="F453" s="85"/>
      <c r="G453" s="85"/>
      <c r="H453" s="85"/>
      <c r="I453" s="91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2.75" customHeight="1" spans="1:26">
      <c r="A454" s="85"/>
      <c r="B454" s="85"/>
      <c r="C454" s="85"/>
      <c r="D454" s="85"/>
      <c r="E454" s="85"/>
      <c r="F454" s="85"/>
      <c r="G454" s="85"/>
      <c r="H454" s="85"/>
      <c r="I454" s="91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2.75" customHeight="1" spans="1:26">
      <c r="A455" s="85"/>
      <c r="B455" s="85"/>
      <c r="C455" s="85"/>
      <c r="D455" s="85"/>
      <c r="E455" s="85"/>
      <c r="F455" s="85"/>
      <c r="G455" s="85"/>
      <c r="H455" s="85"/>
      <c r="I455" s="91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2.75" customHeight="1" spans="1:26">
      <c r="A456" s="85"/>
      <c r="B456" s="85"/>
      <c r="C456" s="85"/>
      <c r="D456" s="85"/>
      <c r="E456" s="85"/>
      <c r="F456" s="85"/>
      <c r="G456" s="85"/>
      <c r="H456" s="85"/>
      <c r="I456" s="91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2.75" customHeight="1" spans="1:26">
      <c r="A457" s="85"/>
      <c r="B457" s="85"/>
      <c r="C457" s="85"/>
      <c r="D457" s="85"/>
      <c r="E457" s="85"/>
      <c r="F457" s="85"/>
      <c r="G457" s="85"/>
      <c r="H457" s="85"/>
      <c r="I457" s="91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2.75" customHeight="1" spans="1:26">
      <c r="A458" s="85"/>
      <c r="B458" s="85"/>
      <c r="C458" s="85"/>
      <c r="D458" s="85"/>
      <c r="E458" s="85"/>
      <c r="F458" s="85"/>
      <c r="G458" s="85"/>
      <c r="H458" s="85"/>
      <c r="I458" s="91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2.75" customHeight="1" spans="1:26">
      <c r="A459" s="85"/>
      <c r="B459" s="85"/>
      <c r="C459" s="85"/>
      <c r="D459" s="85"/>
      <c r="E459" s="85"/>
      <c r="F459" s="85"/>
      <c r="G459" s="85"/>
      <c r="H459" s="85"/>
      <c r="I459" s="91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2.75" customHeight="1" spans="1:26">
      <c r="A460" s="85"/>
      <c r="B460" s="85"/>
      <c r="C460" s="85"/>
      <c r="D460" s="85"/>
      <c r="E460" s="85"/>
      <c r="F460" s="85"/>
      <c r="G460" s="85"/>
      <c r="H460" s="85"/>
      <c r="I460" s="91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2.75" customHeight="1" spans="1:26">
      <c r="A461" s="85"/>
      <c r="B461" s="85"/>
      <c r="C461" s="85"/>
      <c r="D461" s="85"/>
      <c r="E461" s="85"/>
      <c r="F461" s="85"/>
      <c r="G461" s="85"/>
      <c r="H461" s="85"/>
      <c r="I461" s="91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2.75" customHeight="1" spans="1:26">
      <c r="A462" s="85"/>
      <c r="B462" s="85"/>
      <c r="C462" s="85"/>
      <c r="D462" s="85"/>
      <c r="E462" s="85"/>
      <c r="F462" s="85"/>
      <c r="G462" s="85"/>
      <c r="H462" s="85"/>
      <c r="I462" s="91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2.75" customHeight="1" spans="1:26">
      <c r="A463" s="85"/>
      <c r="B463" s="85"/>
      <c r="C463" s="85"/>
      <c r="D463" s="85"/>
      <c r="E463" s="85"/>
      <c r="F463" s="85"/>
      <c r="G463" s="85"/>
      <c r="H463" s="85"/>
      <c r="I463" s="91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2.75" customHeight="1" spans="1:26">
      <c r="A464" s="85"/>
      <c r="B464" s="85"/>
      <c r="C464" s="85"/>
      <c r="D464" s="85"/>
      <c r="E464" s="85"/>
      <c r="F464" s="85"/>
      <c r="G464" s="85"/>
      <c r="H464" s="85"/>
      <c r="I464" s="91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2.75" customHeight="1" spans="1:26">
      <c r="A465" s="85"/>
      <c r="B465" s="85"/>
      <c r="C465" s="85"/>
      <c r="D465" s="85"/>
      <c r="E465" s="85"/>
      <c r="F465" s="85"/>
      <c r="G465" s="85"/>
      <c r="H465" s="85"/>
      <c r="I465" s="91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2.75" customHeight="1" spans="1:26">
      <c r="A466" s="85"/>
      <c r="B466" s="85"/>
      <c r="C466" s="85"/>
      <c r="D466" s="85"/>
      <c r="E466" s="85"/>
      <c r="F466" s="85"/>
      <c r="G466" s="85"/>
      <c r="H466" s="85"/>
      <c r="I466" s="91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2.75" customHeight="1" spans="1:26">
      <c r="A467" s="85"/>
      <c r="B467" s="85"/>
      <c r="C467" s="85"/>
      <c r="D467" s="85"/>
      <c r="E467" s="85"/>
      <c r="F467" s="85"/>
      <c r="G467" s="85"/>
      <c r="H467" s="85"/>
      <c r="I467" s="91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2.75" customHeight="1" spans="1:26">
      <c r="A468" s="85"/>
      <c r="B468" s="85"/>
      <c r="C468" s="85"/>
      <c r="D468" s="85"/>
      <c r="E468" s="85"/>
      <c r="F468" s="85"/>
      <c r="G468" s="85"/>
      <c r="H468" s="85"/>
      <c r="I468" s="91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2.75" customHeight="1" spans="1:26">
      <c r="A469" s="85"/>
      <c r="B469" s="85"/>
      <c r="C469" s="85"/>
      <c r="D469" s="85"/>
      <c r="E469" s="85"/>
      <c r="F469" s="85"/>
      <c r="G469" s="85"/>
      <c r="H469" s="85"/>
      <c r="I469" s="91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2.75" customHeight="1" spans="1:26">
      <c r="A470" s="85"/>
      <c r="B470" s="85"/>
      <c r="C470" s="85"/>
      <c r="D470" s="85"/>
      <c r="E470" s="85"/>
      <c r="F470" s="85"/>
      <c r="G470" s="85"/>
      <c r="H470" s="85"/>
      <c r="I470" s="91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2.75" customHeight="1" spans="1:26">
      <c r="A471" s="85"/>
      <c r="B471" s="85"/>
      <c r="C471" s="85"/>
      <c r="D471" s="85"/>
      <c r="E471" s="85"/>
      <c r="F471" s="85"/>
      <c r="G471" s="85"/>
      <c r="H471" s="85"/>
      <c r="I471" s="91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2.75" customHeight="1" spans="1:26">
      <c r="A472" s="85"/>
      <c r="B472" s="85"/>
      <c r="C472" s="85"/>
      <c r="D472" s="85"/>
      <c r="E472" s="85"/>
      <c r="F472" s="85"/>
      <c r="G472" s="85"/>
      <c r="H472" s="85"/>
      <c r="I472" s="91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2.75" customHeight="1" spans="1:26">
      <c r="A473" s="85"/>
      <c r="B473" s="85"/>
      <c r="C473" s="85"/>
      <c r="D473" s="85"/>
      <c r="E473" s="85"/>
      <c r="F473" s="85"/>
      <c r="G473" s="85"/>
      <c r="H473" s="85"/>
      <c r="I473" s="91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2.75" customHeight="1" spans="1:26">
      <c r="A474" s="85"/>
      <c r="B474" s="85"/>
      <c r="C474" s="85"/>
      <c r="D474" s="85"/>
      <c r="E474" s="85"/>
      <c r="F474" s="85"/>
      <c r="G474" s="85"/>
      <c r="H474" s="85"/>
      <c r="I474" s="91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2.75" customHeight="1" spans="1:26">
      <c r="A475" s="85"/>
      <c r="B475" s="85"/>
      <c r="C475" s="85"/>
      <c r="D475" s="85"/>
      <c r="E475" s="85"/>
      <c r="F475" s="85"/>
      <c r="G475" s="85"/>
      <c r="H475" s="85"/>
      <c r="I475" s="91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2.75" customHeight="1" spans="1:26">
      <c r="A476" s="85"/>
      <c r="B476" s="85"/>
      <c r="C476" s="85"/>
      <c r="D476" s="85"/>
      <c r="E476" s="85"/>
      <c r="F476" s="85"/>
      <c r="G476" s="85"/>
      <c r="H476" s="85"/>
      <c r="I476" s="91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2.75" customHeight="1" spans="1:26">
      <c r="A477" s="85"/>
      <c r="B477" s="85"/>
      <c r="C477" s="85"/>
      <c r="D477" s="85"/>
      <c r="E477" s="85"/>
      <c r="F477" s="85"/>
      <c r="G477" s="85"/>
      <c r="H477" s="85"/>
      <c r="I477" s="91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2.75" customHeight="1" spans="1:26">
      <c r="A478" s="85"/>
      <c r="B478" s="85"/>
      <c r="C478" s="85"/>
      <c r="D478" s="85"/>
      <c r="E478" s="85"/>
      <c r="F478" s="85"/>
      <c r="G478" s="85"/>
      <c r="H478" s="85"/>
      <c r="I478" s="91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2.75" customHeight="1" spans="1:26">
      <c r="A479" s="85"/>
      <c r="B479" s="85"/>
      <c r="C479" s="85"/>
      <c r="D479" s="85"/>
      <c r="E479" s="85"/>
      <c r="F479" s="85"/>
      <c r="G479" s="85"/>
      <c r="H479" s="85"/>
      <c r="I479" s="91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2.75" customHeight="1" spans="1:26">
      <c r="A480" s="85"/>
      <c r="B480" s="85"/>
      <c r="C480" s="85"/>
      <c r="D480" s="85"/>
      <c r="E480" s="85"/>
      <c r="F480" s="85"/>
      <c r="G480" s="85"/>
      <c r="H480" s="85"/>
      <c r="I480" s="91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2.75" customHeight="1" spans="1:26">
      <c r="A481" s="85"/>
      <c r="B481" s="85"/>
      <c r="C481" s="85"/>
      <c r="D481" s="85"/>
      <c r="E481" s="85"/>
      <c r="F481" s="85"/>
      <c r="G481" s="85"/>
      <c r="H481" s="85"/>
      <c r="I481" s="91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2.75" customHeight="1" spans="1:26">
      <c r="A482" s="85"/>
      <c r="B482" s="85"/>
      <c r="C482" s="85"/>
      <c r="D482" s="85"/>
      <c r="E482" s="85"/>
      <c r="F482" s="85"/>
      <c r="G482" s="85"/>
      <c r="H482" s="85"/>
      <c r="I482" s="91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2.75" customHeight="1" spans="1:26">
      <c r="A483" s="85"/>
      <c r="B483" s="85"/>
      <c r="C483" s="85"/>
      <c r="D483" s="85"/>
      <c r="E483" s="85"/>
      <c r="F483" s="85"/>
      <c r="G483" s="85"/>
      <c r="H483" s="85"/>
      <c r="I483" s="91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2.75" customHeight="1" spans="1:26">
      <c r="A484" s="85"/>
      <c r="B484" s="85"/>
      <c r="C484" s="85"/>
      <c r="D484" s="85"/>
      <c r="E484" s="85"/>
      <c r="F484" s="85"/>
      <c r="G484" s="85"/>
      <c r="H484" s="85"/>
      <c r="I484" s="91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2.75" customHeight="1" spans="1:26">
      <c r="A485" s="85"/>
      <c r="B485" s="85"/>
      <c r="C485" s="85"/>
      <c r="D485" s="85"/>
      <c r="E485" s="85"/>
      <c r="F485" s="85"/>
      <c r="G485" s="85"/>
      <c r="H485" s="85"/>
      <c r="I485" s="91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2.75" customHeight="1" spans="1:26">
      <c r="A486" s="85"/>
      <c r="B486" s="85"/>
      <c r="C486" s="85"/>
      <c r="D486" s="85"/>
      <c r="E486" s="85"/>
      <c r="F486" s="85"/>
      <c r="G486" s="85"/>
      <c r="H486" s="85"/>
      <c r="I486" s="91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2.75" customHeight="1" spans="1:26">
      <c r="A487" s="85"/>
      <c r="B487" s="85"/>
      <c r="C487" s="85"/>
      <c r="D487" s="85"/>
      <c r="E487" s="85"/>
      <c r="F487" s="85"/>
      <c r="G487" s="85"/>
      <c r="H487" s="85"/>
      <c r="I487" s="91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2.75" customHeight="1" spans="1:26">
      <c r="A488" s="85"/>
      <c r="B488" s="85"/>
      <c r="C488" s="85"/>
      <c r="D488" s="85"/>
      <c r="E488" s="85"/>
      <c r="F488" s="85"/>
      <c r="G488" s="85"/>
      <c r="H488" s="85"/>
      <c r="I488" s="91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2.75" customHeight="1" spans="1:26">
      <c r="A489" s="85"/>
      <c r="B489" s="85"/>
      <c r="C489" s="85"/>
      <c r="D489" s="85"/>
      <c r="E489" s="85"/>
      <c r="F489" s="85"/>
      <c r="G489" s="85"/>
      <c r="H489" s="85"/>
      <c r="I489" s="91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2.75" customHeight="1" spans="1:26">
      <c r="A490" s="85"/>
      <c r="B490" s="85"/>
      <c r="C490" s="85"/>
      <c r="D490" s="85"/>
      <c r="E490" s="85"/>
      <c r="F490" s="85"/>
      <c r="G490" s="85"/>
      <c r="H490" s="85"/>
      <c r="I490" s="91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2.75" customHeight="1" spans="1:26">
      <c r="A491" s="85"/>
      <c r="B491" s="85"/>
      <c r="C491" s="85"/>
      <c r="D491" s="85"/>
      <c r="E491" s="85"/>
      <c r="F491" s="85"/>
      <c r="G491" s="85"/>
      <c r="H491" s="85"/>
      <c r="I491" s="91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2.75" customHeight="1" spans="1:26">
      <c r="A492" s="85"/>
      <c r="B492" s="85"/>
      <c r="C492" s="85"/>
      <c r="D492" s="85"/>
      <c r="E492" s="85"/>
      <c r="F492" s="85"/>
      <c r="G492" s="85"/>
      <c r="H492" s="85"/>
      <c r="I492" s="91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2.75" customHeight="1" spans="1:26">
      <c r="A493" s="85"/>
      <c r="B493" s="85"/>
      <c r="C493" s="85"/>
      <c r="D493" s="85"/>
      <c r="E493" s="85"/>
      <c r="F493" s="85"/>
      <c r="G493" s="85"/>
      <c r="H493" s="85"/>
      <c r="I493" s="91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2.75" customHeight="1" spans="1:26">
      <c r="A494" s="85"/>
      <c r="B494" s="85"/>
      <c r="C494" s="85"/>
      <c r="D494" s="85"/>
      <c r="E494" s="85"/>
      <c r="F494" s="85"/>
      <c r="G494" s="85"/>
      <c r="H494" s="85"/>
      <c r="I494" s="91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2.75" customHeight="1" spans="1:26">
      <c r="A495" s="85"/>
      <c r="B495" s="85"/>
      <c r="C495" s="85"/>
      <c r="D495" s="85"/>
      <c r="E495" s="85"/>
      <c r="F495" s="85"/>
      <c r="G495" s="85"/>
      <c r="H495" s="85"/>
      <c r="I495" s="91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2.75" customHeight="1" spans="1:26">
      <c r="A496" s="85"/>
      <c r="B496" s="85"/>
      <c r="C496" s="85"/>
      <c r="D496" s="85"/>
      <c r="E496" s="85"/>
      <c r="F496" s="85"/>
      <c r="G496" s="85"/>
      <c r="H496" s="85"/>
      <c r="I496" s="91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2.75" customHeight="1" spans="1:26">
      <c r="A497" s="85"/>
      <c r="B497" s="85"/>
      <c r="C497" s="85"/>
      <c r="D497" s="85"/>
      <c r="E497" s="85"/>
      <c r="F497" s="85"/>
      <c r="G497" s="85"/>
      <c r="H497" s="85"/>
      <c r="I497" s="91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2.75" customHeight="1" spans="1:26">
      <c r="A498" s="85"/>
      <c r="B498" s="85"/>
      <c r="C498" s="85"/>
      <c r="D498" s="85"/>
      <c r="E498" s="85"/>
      <c r="F498" s="85"/>
      <c r="G498" s="85"/>
      <c r="H498" s="85"/>
      <c r="I498" s="91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2.75" customHeight="1" spans="1:26">
      <c r="A499" s="85"/>
      <c r="B499" s="85"/>
      <c r="C499" s="85"/>
      <c r="D499" s="85"/>
      <c r="E499" s="85"/>
      <c r="F499" s="85"/>
      <c r="G499" s="85"/>
      <c r="H499" s="85"/>
      <c r="I499" s="91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2.75" customHeight="1" spans="1:26">
      <c r="A500" s="85"/>
      <c r="B500" s="85"/>
      <c r="C500" s="85"/>
      <c r="D500" s="85"/>
      <c r="E500" s="85"/>
      <c r="F500" s="85"/>
      <c r="G500" s="85"/>
      <c r="H500" s="85"/>
      <c r="I500" s="91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2.75" customHeight="1" spans="1:26">
      <c r="A501" s="85"/>
      <c r="B501" s="85"/>
      <c r="C501" s="85"/>
      <c r="D501" s="85"/>
      <c r="E501" s="85"/>
      <c r="F501" s="85"/>
      <c r="G501" s="85"/>
      <c r="H501" s="85"/>
      <c r="I501" s="91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2.75" customHeight="1" spans="1:26">
      <c r="A502" s="85"/>
      <c r="B502" s="85"/>
      <c r="C502" s="85"/>
      <c r="D502" s="85"/>
      <c r="E502" s="85"/>
      <c r="F502" s="85"/>
      <c r="G502" s="85"/>
      <c r="H502" s="85"/>
      <c r="I502" s="91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2.75" customHeight="1" spans="1:26">
      <c r="A503" s="85"/>
      <c r="B503" s="85"/>
      <c r="C503" s="85"/>
      <c r="D503" s="85"/>
      <c r="E503" s="85"/>
      <c r="F503" s="85"/>
      <c r="G503" s="85"/>
      <c r="H503" s="85"/>
      <c r="I503" s="91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2.75" customHeight="1" spans="1:26">
      <c r="A504" s="85"/>
      <c r="B504" s="85"/>
      <c r="C504" s="85"/>
      <c r="D504" s="85"/>
      <c r="E504" s="85"/>
      <c r="F504" s="85"/>
      <c r="G504" s="85"/>
      <c r="H504" s="85"/>
      <c r="I504" s="91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2.75" customHeight="1" spans="1:26">
      <c r="A505" s="85"/>
      <c r="B505" s="85"/>
      <c r="C505" s="85"/>
      <c r="D505" s="85"/>
      <c r="E505" s="85"/>
      <c r="F505" s="85"/>
      <c r="G505" s="85"/>
      <c r="H505" s="85"/>
      <c r="I505" s="91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2.75" customHeight="1" spans="1:26">
      <c r="A506" s="85"/>
      <c r="B506" s="85"/>
      <c r="C506" s="85"/>
      <c r="D506" s="85"/>
      <c r="E506" s="85"/>
      <c r="F506" s="85"/>
      <c r="G506" s="85"/>
      <c r="H506" s="85"/>
      <c r="I506" s="91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2.75" customHeight="1" spans="1:26">
      <c r="A507" s="85"/>
      <c r="B507" s="85"/>
      <c r="C507" s="85"/>
      <c r="D507" s="85"/>
      <c r="E507" s="85"/>
      <c r="F507" s="85"/>
      <c r="G507" s="85"/>
      <c r="H507" s="85"/>
      <c r="I507" s="91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2.75" customHeight="1" spans="1:26">
      <c r="A508" s="85"/>
      <c r="B508" s="85"/>
      <c r="C508" s="85"/>
      <c r="D508" s="85"/>
      <c r="E508" s="85"/>
      <c r="F508" s="85"/>
      <c r="G508" s="85"/>
      <c r="H508" s="85"/>
      <c r="I508" s="91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2.75" customHeight="1" spans="1:26">
      <c r="A509" s="85"/>
      <c r="B509" s="85"/>
      <c r="C509" s="85"/>
      <c r="D509" s="85"/>
      <c r="E509" s="85"/>
      <c r="F509" s="85"/>
      <c r="G509" s="85"/>
      <c r="H509" s="85"/>
      <c r="I509" s="91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2.75" customHeight="1" spans="1:26">
      <c r="A510" s="85"/>
      <c r="B510" s="85"/>
      <c r="C510" s="85"/>
      <c r="D510" s="85"/>
      <c r="E510" s="85"/>
      <c r="F510" s="85"/>
      <c r="G510" s="85"/>
      <c r="H510" s="85"/>
      <c r="I510" s="91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2.75" customHeight="1" spans="1:26">
      <c r="A511" s="85"/>
      <c r="B511" s="85"/>
      <c r="C511" s="85"/>
      <c r="D511" s="85"/>
      <c r="E511" s="85"/>
      <c r="F511" s="85"/>
      <c r="G511" s="85"/>
      <c r="H511" s="85"/>
      <c r="I511" s="91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2.75" customHeight="1" spans="1:26">
      <c r="A512" s="85"/>
      <c r="B512" s="85"/>
      <c r="C512" s="85"/>
      <c r="D512" s="85"/>
      <c r="E512" s="85"/>
      <c r="F512" s="85"/>
      <c r="G512" s="85"/>
      <c r="H512" s="85"/>
      <c r="I512" s="91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2.75" customHeight="1" spans="1:26">
      <c r="A513" s="85"/>
      <c r="B513" s="85"/>
      <c r="C513" s="85"/>
      <c r="D513" s="85"/>
      <c r="E513" s="85"/>
      <c r="F513" s="85"/>
      <c r="G513" s="85"/>
      <c r="H513" s="85"/>
      <c r="I513" s="91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2.75" customHeight="1" spans="1:26">
      <c r="A514" s="85"/>
      <c r="B514" s="85"/>
      <c r="C514" s="85"/>
      <c r="D514" s="85"/>
      <c r="E514" s="85"/>
      <c r="F514" s="85"/>
      <c r="G514" s="85"/>
      <c r="H514" s="85"/>
      <c r="I514" s="91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2.75" customHeight="1" spans="1:26">
      <c r="A515" s="85"/>
      <c r="B515" s="85"/>
      <c r="C515" s="85"/>
      <c r="D515" s="85"/>
      <c r="E515" s="85"/>
      <c r="F515" s="85"/>
      <c r="G515" s="85"/>
      <c r="H515" s="85"/>
      <c r="I515" s="91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2.75" customHeight="1" spans="1:26">
      <c r="A516" s="85"/>
      <c r="B516" s="85"/>
      <c r="C516" s="85"/>
      <c r="D516" s="85"/>
      <c r="E516" s="85"/>
      <c r="F516" s="85"/>
      <c r="G516" s="85"/>
      <c r="H516" s="85"/>
      <c r="I516" s="91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2.75" customHeight="1" spans="1:26">
      <c r="A517" s="85"/>
      <c r="B517" s="85"/>
      <c r="C517" s="85"/>
      <c r="D517" s="85"/>
      <c r="E517" s="85"/>
      <c r="F517" s="85"/>
      <c r="G517" s="85"/>
      <c r="H517" s="85"/>
      <c r="I517" s="91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2.75" customHeight="1" spans="1:26">
      <c r="A518" s="85"/>
      <c r="B518" s="85"/>
      <c r="C518" s="85"/>
      <c r="D518" s="85"/>
      <c r="E518" s="85"/>
      <c r="F518" s="85"/>
      <c r="G518" s="85"/>
      <c r="H518" s="85"/>
      <c r="I518" s="91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2.75" customHeight="1" spans="1:26">
      <c r="A519" s="85"/>
      <c r="B519" s="85"/>
      <c r="C519" s="85"/>
      <c r="D519" s="85"/>
      <c r="E519" s="85"/>
      <c r="F519" s="85"/>
      <c r="G519" s="85"/>
      <c r="H519" s="85"/>
      <c r="I519" s="91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2.75" customHeight="1" spans="1:26">
      <c r="A520" s="85"/>
      <c r="B520" s="85"/>
      <c r="C520" s="85"/>
      <c r="D520" s="85"/>
      <c r="E520" s="85"/>
      <c r="F520" s="85"/>
      <c r="G520" s="85"/>
      <c r="H520" s="85"/>
      <c r="I520" s="91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2.75" customHeight="1" spans="1:26">
      <c r="A521" s="85"/>
      <c r="B521" s="85"/>
      <c r="C521" s="85"/>
      <c r="D521" s="85"/>
      <c r="E521" s="85"/>
      <c r="F521" s="85"/>
      <c r="G521" s="85"/>
      <c r="H521" s="85"/>
      <c r="I521" s="91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2.75" customHeight="1" spans="1:26">
      <c r="A522" s="85"/>
      <c r="B522" s="85"/>
      <c r="C522" s="85"/>
      <c r="D522" s="85"/>
      <c r="E522" s="85"/>
      <c r="F522" s="85"/>
      <c r="G522" s="85"/>
      <c r="H522" s="85"/>
      <c r="I522" s="91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2.75" customHeight="1" spans="1:26">
      <c r="A523" s="85"/>
      <c r="B523" s="85"/>
      <c r="C523" s="85"/>
      <c r="D523" s="85"/>
      <c r="E523" s="85"/>
      <c r="F523" s="85"/>
      <c r="G523" s="85"/>
      <c r="H523" s="85"/>
      <c r="I523" s="91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2.75" customHeight="1" spans="1:26">
      <c r="A524" s="85"/>
      <c r="B524" s="85"/>
      <c r="C524" s="85"/>
      <c r="D524" s="85"/>
      <c r="E524" s="85"/>
      <c r="F524" s="85"/>
      <c r="G524" s="85"/>
      <c r="H524" s="85"/>
      <c r="I524" s="91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2.75" customHeight="1" spans="1:26">
      <c r="A525" s="85"/>
      <c r="B525" s="85"/>
      <c r="C525" s="85"/>
      <c r="D525" s="85"/>
      <c r="E525" s="85"/>
      <c r="F525" s="85"/>
      <c r="G525" s="85"/>
      <c r="H525" s="85"/>
      <c r="I525" s="91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2.75" customHeight="1" spans="1:26">
      <c r="A526" s="85"/>
      <c r="B526" s="85"/>
      <c r="C526" s="85"/>
      <c r="D526" s="85"/>
      <c r="E526" s="85"/>
      <c r="F526" s="85"/>
      <c r="G526" s="85"/>
      <c r="H526" s="85"/>
      <c r="I526" s="91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2.75" customHeight="1" spans="1:26">
      <c r="A527" s="85"/>
      <c r="B527" s="85"/>
      <c r="C527" s="85"/>
      <c r="D527" s="85"/>
      <c r="E527" s="85"/>
      <c r="F527" s="85"/>
      <c r="G527" s="85"/>
      <c r="H527" s="85"/>
      <c r="I527" s="91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2.75" customHeight="1" spans="1:26">
      <c r="A528" s="85"/>
      <c r="B528" s="85"/>
      <c r="C528" s="85"/>
      <c r="D528" s="85"/>
      <c r="E528" s="85"/>
      <c r="F528" s="85"/>
      <c r="G528" s="85"/>
      <c r="H528" s="85"/>
      <c r="I528" s="91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2.75" customHeight="1" spans="1:26">
      <c r="A529" s="85"/>
      <c r="B529" s="85"/>
      <c r="C529" s="85"/>
      <c r="D529" s="85"/>
      <c r="E529" s="85"/>
      <c r="F529" s="85"/>
      <c r="G529" s="85"/>
      <c r="H529" s="85"/>
      <c r="I529" s="91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2.75" customHeight="1" spans="1:26">
      <c r="A530" s="85"/>
      <c r="B530" s="85"/>
      <c r="C530" s="85"/>
      <c r="D530" s="85"/>
      <c r="E530" s="85"/>
      <c r="F530" s="85"/>
      <c r="G530" s="85"/>
      <c r="H530" s="85"/>
      <c r="I530" s="91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2.75" customHeight="1" spans="1:26">
      <c r="A531" s="85"/>
      <c r="B531" s="85"/>
      <c r="C531" s="85"/>
      <c r="D531" s="85"/>
      <c r="E531" s="85"/>
      <c r="F531" s="85"/>
      <c r="G531" s="85"/>
      <c r="H531" s="85"/>
      <c r="I531" s="91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2.75" customHeight="1" spans="1:26">
      <c r="A532" s="85"/>
      <c r="B532" s="85"/>
      <c r="C532" s="85"/>
      <c r="D532" s="85"/>
      <c r="E532" s="85"/>
      <c r="F532" s="85"/>
      <c r="G532" s="85"/>
      <c r="H532" s="85"/>
      <c r="I532" s="91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2.75" customHeight="1" spans="1:26">
      <c r="A533" s="85"/>
      <c r="B533" s="85"/>
      <c r="C533" s="85"/>
      <c r="D533" s="85"/>
      <c r="E533" s="85"/>
      <c r="F533" s="85"/>
      <c r="G533" s="85"/>
      <c r="H533" s="85"/>
      <c r="I533" s="91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2.75" customHeight="1" spans="1:26">
      <c r="A534" s="85"/>
      <c r="B534" s="85"/>
      <c r="C534" s="85"/>
      <c r="D534" s="85"/>
      <c r="E534" s="85"/>
      <c r="F534" s="85"/>
      <c r="G534" s="85"/>
      <c r="H534" s="85"/>
      <c r="I534" s="91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2.75" customHeight="1" spans="1:26">
      <c r="A535" s="85"/>
      <c r="B535" s="85"/>
      <c r="C535" s="85"/>
      <c r="D535" s="85"/>
      <c r="E535" s="85"/>
      <c r="F535" s="85"/>
      <c r="G535" s="85"/>
      <c r="H535" s="85"/>
      <c r="I535" s="91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2.75" customHeight="1" spans="1:26">
      <c r="A536" s="85"/>
      <c r="B536" s="85"/>
      <c r="C536" s="85"/>
      <c r="D536" s="85"/>
      <c r="E536" s="85"/>
      <c r="F536" s="85"/>
      <c r="G536" s="85"/>
      <c r="H536" s="85"/>
      <c r="I536" s="91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2.75" customHeight="1" spans="1:26">
      <c r="A537" s="85"/>
      <c r="B537" s="85"/>
      <c r="C537" s="85"/>
      <c r="D537" s="85"/>
      <c r="E537" s="85"/>
      <c r="F537" s="85"/>
      <c r="G537" s="85"/>
      <c r="H537" s="85"/>
      <c r="I537" s="91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2.75" customHeight="1" spans="1:26">
      <c r="A538" s="85"/>
      <c r="B538" s="85"/>
      <c r="C538" s="85"/>
      <c r="D538" s="85"/>
      <c r="E538" s="85"/>
      <c r="F538" s="85"/>
      <c r="G538" s="85"/>
      <c r="H538" s="85"/>
      <c r="I538" s="91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2.75" customHeight="1" spans="1:26">
      <c r="A539" s="85"/>
      <c r="B539" s="85"/>
      <c r="C539" s="85"/>
      <c r="D539" s="85"/>
      <c r="E539" s="85"/>
      <c r="F539" s="85"/>
      <c r="G539" s="85"/>
      <c r="H539" s="85"/>
      <c r="I539" s="91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2.75" customHeight="1" spans="1:26">
      <c r="A540" s="85"/>
      <c r="B540" s="85"/>
      <c r="C540" s="85"/>
      <c r="D540" s="85"/>
      <c r="E540" s="85"/>
      <c r="F540" s="85"/>
      <c r="G540" s="85"/>
      <c r="H540" s="85"/>
      <c r="I540" s="91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2.75" customHeight="1" spans="1:26">
      <c r="A541" s="85"/>
      <c r="B541" s="85"/>
      <c r="C541" s="85"/>
      <c r="D541" s="85"/>
      <c r="E541" s="85"/>
      <c r="F541" s="85"/>
      <c r="G541" s="85"/>
      <c r="H541" s="85"/>
      <c r="I541" s="91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2.75" customHeight="1" spans="1:26">
      <c r="A542" s="85"/>
      <c r="B542" s="85"/>
      <c r="C542" s="85"/>
      <c r="D542" s="85"/>
      <c r="E542" s="85"/>
      <c r="F542" s="85"/>
      <c r="G542" s="85"/>
      <c r="H542" s="85"/>
      <c r="I542" s="91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2.75" customHeight="1" spans="1:26">
      <c r="A543" s="85"/>
      <c r="B543" s="85"/>
      <c r="C543" s="85"/>
      <c r="D543" s="85"/>
      <c r="E543" s="85"/>
      <c r="F543" s="85"/>
      <c r="G543" s="85"/>
      <c r="H543" s="85"/>
      <c r="I543" s="91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2.75" customHeight="1" spans="1:26">
      <c r="A544" s="85"/>
      <c r="B544" s="85"/>
      <c r="C544" s="85"/>
      <c r="D544" s="85"/>
      <c r="E544" s="85"/>
      <c r="F544" s="85"/>
      <c r="G544" s="85"/>
      <c r="H544" s="85"/>
      <c r="I544" s="91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2.75" customHeight="1" spans="1:26">
      <c r="A545" s="85"/>
      <c r="B545" s="85"/>
      <c r="C545" s="85"/>
      <c r="D545" s="85"/>
      <c r="E545" s="85"/>
      <c r="F545" s="85"/>
      <c r="G545" s="85"/>
      <c r="H545" s="85"/>
      <c r="I545" s="91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2.75" customHeight="1" spans="1:26">
      <c r="A546" s="85"/>
      <c r="B546" s="85"/>
      <c r="C546" s="85"/>
      <c r="D546" s="85"/>
      <c r="E546" s="85"/>
      <c r="F546" s="85"/>
      <c r="G546" s="85"/>
      <c r="H546" s="85"/>
      <c r="I546" s="91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2.75" customHeight="1" spans="1:26">
      <c r="A547" s="85"/>
      <c r="B547" s="85"/>
      <c r="C547" s="85"/>
      <c r="D547" s="85"/>
      <c r="E547" s="85"/>
      <c r="F547" s="85"/>
      <c r="G547" s="85"/>
      <c r="H547" s="85"/>
      <c r="I547" s="91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2.75" customHeight="1" spans="1:26">
      <c r="A548" s="85"/>
      <c r="B548" s="85"/>
      <c r="C548" s="85"/>
      <c r="D548" s="85"/>
      <c r="E548" s="85"/>
      <c r="F548" s="85"/>
      <c r="G548" s="85"/>
      <c r="H548" s="85"/>
      <c r="I548" s="91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2.75" customHeight="1" spans="1:26">
      <c r="A549" s="85"/>
      <c r="B549" s="85"/>
      <c r="C549" s="85"/>
      <c r="D549" s="85"/>
      <c r="E549" s="85"/>
      <c r="F549" s="85"/>
      <c r="G549" s="85"/>
      <c r="H549" s="85"/>
      <c r="I549" s="91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2.75" customHeight="1" spans="1:26">
      <c r="A550" s="85"/>
      <c r="B550" s="85"/>
      <c r="C550" s="85"/>
      <c r="D550" s="85"/>
      <c r="E550" s="85"/>
      <c r="F550" s="85"/>
      <c r="G550" s="85"/>
      <c r="H550" s="85"/>
      <c r="I550" s="91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2.75" customHeight="1" spans="1:26">
      <c r="A551" s="85"/>
      <c r="B551" s="85"/>
      <c r="C551" s="85"/>
      <c r="D551" s="85"/>
      <c r="E551" s="85"/>
      <c r="F551" s="85"/>
      <c r="G551" s="85"/>
      <c r="H551" s="85"/>
      <c r="I551" s="91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2.75" customHeight="1" spans="1:26">
      <c r="A552" s="85"/>
      <c r="B552" s="85"/>
      <c r="C552" s="85"/>
      <c r="D552" s="85"/>
      <c r="E552" s="85"/>
      <c r="F552" s="85"/>
      <c r="G552" s="85"/>
      <c r="H552" s="85"/>
      <c r="I552" s="91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2.75" customHeight="1" spans="1:26">
      <c r="A553" s="85"/>
      <c r="B553" s="85"/>
      <c r="C553" s="85"/>
      <c r="D553" s="85"/>
      <c r="E553" s="85"/>
      <c r="F553" s="85"/>
      <c r="G553" s="85"/>
      <c r="H553" s="85"/>
      <c r="I553" s="91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2.75" customHeight="1" spans="1:26">
      <c r="A554" s="85"/>
      <c r="B554" s="85"/>
      <c r="C554" s="85"/>
      <c r="D554" s="85"/>
      <c r="E554" s="85"/>
      <c r="F554" s="85"/>
      <c r="G554" s="85"/>
      <c r="H554" s="85"/>
      <c r="I554" s="91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2.75" customHeight="1" spans="1:26">
      <c r="A555" s="85"/>
      <c r="B555" s="85"/>
      <c r="C555" s="85"/>
      <c r="D555" s="85"/>
      <c r="E555" s="85"/>
      <c r="F555" s="85"/>
      <c r="G555" s="85"/>
      <c r="H555" s="85"/>
      <c r="I555" s="91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2.75" customHeight="1" spans="1:26">
      <c r="A556" s="85"/>
      <c r="B556" s="85"/>
      <c r="C556" s="85"/>
      <c r="D556" s="85"/>
      <c r="E556" s="85"/>
      <c r="F556" s="85"/>
      <c r="G556" s="85"/>
      <c r="H556" s="85"/>
      <c r="I556" s="91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2.75" customHeight="1" spans="1:26">
      <c r="A557" s="85"/>
      <c r="B557" s="85"/>
      <c r="C557" s="85"/>
      <c r="D557" s="85"/>
      <c r="E557" s="85"/>
      <c r="F557" s="85"/>
      <c r="G557" s="85"/>
      <c r="H557" s="85"/>
      <c r="I557" s="91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2.75" customHeight="1" spans="1:26">
      <c r="A558" s="85"/>
      <c r="B558" s="85"/>
      <c r="C558" s="85"/>
      <c r="D558" s="85"/>
      <c r="E558" s="85"/>
      <c r="F558" s="85"/>
      <c r="G558" s="85"/>
      <c r="H558" s="85"/>
      <c r="I558" s="91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2.75" customHeight="1" spans="1:26">
      <c r="A559" s="85"/>
      <c r="B559" s="85"/>
      <c r="C559" s="85"/>
      <c r="D559" s="85"/>
      <c r="E559" s="85"/>
      <c r="F559" s="85"/>
      <c r="G559" s="85"/>
      <c r="H559" s="85"/>
      <c r="I559" s="91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2.75" customHeight="1" spans="1:26">
      <c r="A560" s="85"/>
      <c r="B560" s="85"/>
      <c r="C560" s="85"/>
      <c r="D560" s="85"/>
      <c r="E560" s="85"/>
      <c r="F560" s="85"/>
      <c r="G560" s="85"/>
      <c r="H560" s="85"/>
      <c r="I560" s="91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2.75" customHeight="1" spans="1:26">
      <c r="A561" s="85"/>
      <c r="B561" s="85"/>
      <c r="C561" s="85"/>
      <c r="D561" s="85"/>
      <c r="E561" s="85"/>
      <c r="F561" s="85"/>
      <c r="G561" s="85"/>
      <c r="H561" s="85"/>
      <c r="I561" s="91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2.75" customHeight="1" spans="1:26">
      <c r="A562" s="85"/>
      <c r="B562" s="85"/>
      <c r="C562" s="85"/>
      <c r="D562" s="85"/>
      <c r="E562" s="85"/>
      <c r="F562" s="85"/>
      <c r="G562" s="85"/>
      <c r="H562" s="85"/>
      <c r="I562" s="91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2.75" customHeight="1" spans="1:26">
      <c r="A563" s="85"/>
      <c r="B563" s="85"/>
      <c r="C563" s="85"/>
      <c r="D563" s="85"/>
      <c r="E563" s="85"/>
      <c r="F563" s="85"/>
      <c r="G563" s="85"/>
      <c r="H563" s="85"/>
      <c r="I563" s="91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2.75" customHeight="1" spans="1:26">
      <c r="A564" s="85"/>
      <c r="B564" s="85"/>
      <c r="C564" s="85"/>
      <c r="D564" s="85"/>
      <c r="E564" s="85"/>
      <c r="F564" s="85"/>
      <c r="G564" s="85"/>
      <c r="H564" s="85"/>
      <c r="I564" s="91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2.75" customHeight="1" spans="1:26">
      <c r="A565" s="85"/>
      <c r="B565" s="85"/>
      <c r="C565" s="85"/>
      <c r="D565" s="85"/>
      <c r="E565" s="85"/>
      <c r="F565" s="85"/>
      <c r="G565" s="85"/>
      <c r="H565" s="85"/>
      <c r="I565" s="91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2.75" customHeight="1" spans="1:26">
      <c r="A566" s="85"/>
      <c r="B566" s="85"/>
      <c r="C566" s="85"/>
      <c r="D566" s="85"/>
      <c r="E566" s="85"/>
      <c r="F566" s="85"/>
      <c r="G566" s="85"/>
      <c r="H566" s="85"/>
      <c r="I566" s="91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2.75" customHeight="1" spans="1:26">
      <c r="A567" s="85"/>
      <c r="B567" s="85"/>
      <c r="C567" s="85"/>
      <c r="D567" s="85"/>
      <c r="E567" s="85"/>
      <c r="F567" s="85"/>
      <c r="G567" s="85"/>
      <c r="H567" s="85"/>
      <c r="I567" s="91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2.75" customHeight="1" spans="1:26">
      <c r="A568" s="85"/>
      <c r="B568" s="85"/>
      <c r="C568" s="85"/>
      <c r="D568" s="85"/>
      <c r="E568" s="85"/>
      <c r="F568" s="85"/>
      <c r="G568" s="85"/>
      <c r="H568" s="85"/>
      <c r="I568" s="91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2.75" customHeight="1" spans="1:26">
      <c r="A569" s="85"/>
      <c r="B569" s="85"/>
      <c r="C569" s="85"/>
      <c r="D569" s="85"/>
      <c r="E569" s="85"/>
      <c r="F569" s="85"/>
      <c r="G569" s="85"/>
      <c r="H569" s="85"/>
      <c r="I569" s="91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2.75" customHeight="1" spans="1:26">
      <c r="A570" s="85"/>
      <c r="B570" s="85"/>
      <c r="C570" s="85"/>
      <c r="D570" s="85"/>
      <c r="E570" s="85"/>
      <c r="F570" s="85"/>
      <c r="G570" s="85"/>
      <c r="H570" s="85"/>
      <c r="I570" s="91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2.75" customHeight="1" spans="1:26">
      <c r="A571" s="85"/>
      <c r="B571" s="85"/>
      <c r="C571" s="85"/>
      <c r="D571" s="85"/>
      <c r="E571" s="85"/>
      <c r="F571" s="85"/>
      <c r="G571" s="85"/>
      <c r="H571" s="85"/>
      <c r="I571" s="91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2.75" customHeight="1" spans="1:26">
      <c r="A572" s="85"/>
      <c r="B572" s="85"/>
      <c r="C572" s="85"/>
      <c r="D572" s="85"/>
      <c r="E572" s="85"/>
      <c r="F572" s="85"/>
      <c r="G572" s="85"/>
      <c r="H572" s="85"/>
      <c r="I572" s="91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2.75" customHeight="1" spans="1:26">
      <c r="A573" s="85"/>
      <c r="B573" s="85"/>
      <c r="C573" s="85"/>
      <c r="D573" s="85"/>
      <c r="E573" s="85"/>
      <c r="F573" s="85"/>
      <c r="G573" s="85"/>
      <c r="H573" s="85"/>
      <c r="I573" s="91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2.75" customHeight="1" spans="1:26">
      <c r="A574" s="85"/>
      <c r="B574" s="85"/>
      <c r="C574" s="85"/>
      <c r="D574" s="85"/>
      <c r="E574" s="85"/>
      <c r="F574" s="85"/>
      <c r="G574" s="85"/>
      <c r="H574" s="85"/>
      <c r="I574" s="91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2.75" customHeight="1" spans="1:26">
      <c r="A575" s="85"/>
      <c r="B575" s="85"/>
      <c r="C575" s="85"/>
      <c r="D575" s="85"/>
      <c r="E575" s="85"/>
      <c r="F575" s="85"/>
      <c r="G575" s="85"/>
      <c r="H575" s="85"/>
      <c r="I575" s="91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2.75" customHeight="1" spans="1:26">
      <c r="A576" s="85"/>
      <c r="B576" s="85"/>
      <c r="C576" s="85"/>
      <c r="D576" s="85"/>
      <c r="E576" s="85"/>
      <c r="F576" s="85"/>
      <c r="G576" s="85"/>
      <c r="H576" s="85"/>
      <c r="I576" s="91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2.75" customHeight="1" spans="1:26">
      <c r="A577" s="85"/>
      <c r="B577" s="85"/>
      <c r="C577" s="85"/>
      <c r="D577" s="85"/>
      <c r="E577" s="85"/>
      <c r="F577" s="85"/>
      <c r="G577" s="85"/>
      <c r="H577" s="85"/>
      <c r="I577" s="91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2.75" customHeight="1" spans="1:26">
      <c r="A578" s="85"/>
      <c r="B578" s="85"/>
      <c r="C578" s="85"/>
      <c r="D578" s="85"/>
      <c r="E578" s="85"/>
      <c r="F578" s="85"/>
      <c r="G578" s="85"/>
      <c r="H578" s="85"/>
      <c r="I578" s="91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2.75" customHeight="1" spans="1:26">
      <c r="A579" s="85"/>
      <c r="B579" s="85"/>
      <c r="C579" s="85"/>
      <c r="D579" s="85"/>
      <c r="E579" s="85"/>
      <c r="F579" s="85"/>
      <c r="G579" s="85"/>
      <c r="H579" s="85"/>
      <c r="I579" s="91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2.75" customHeight="1" spans="1:26">
      <c r="A580" s="85"/>
      <c r="B580" s="85"/>
      <c r="C580" s="85"/>
      <c r="D580" s="85"/>
      <c r="E580" s="85"/>
      <c r="F580" s="85"/>
      <c r="G580" s="85"/>
      <c r="H580" s="85"/>
      <c r="I580" s="91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2.75" customHeight="1" spans="1:26">
      <c r="A581" s="85"/>
      <c r="B581" s="85"/>
      <c r="C581" s="85"/>
      <c r="D581" s="85"/>
      <c r="E581" s="85"/>
      <c r="F581" s="85"/>
      <c r="G581" s="85"/>
      <c r="H581" s="85"/>
      <c r="I581" s="91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2.75" customHeight="1" spans="1:26">
      <c r="A582" s="85"/>
      <c r="B582" s="85"/>
      <c r="C582" s="85"/>
      <c r="D582" s="85"/>
      <c r="E582" s="85"/>
      <c r="F582" s="85"/>
      <c r="G582" s="85"/>
      <c r="H582" s="85"/>
      <c r="I582" s="91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2.75" customHeight="1" spans="1:26">
      <c r="A583" s="85"/>
      <c r="B583" s="85"/>
      <c r="C583" s="85"/>
      <c r="D583" s="85"/>
      <c r="E583" s="85"/>
      <c r="F583" s="85"/>
      <c r="G583" s="85"/>
      <c r="H583" s="85"/>
      <c r="I583" s="91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2.75" customHeight="1" spans="1:26">
      <c r="A584" s="85"/>
      <c r="B584" s="85"/>
      <c r="C584" s="85"/>
      <c r="D584" s="85"/>
      <c r="E584" s="85"/>
      <c r="F584" s="85"/>
      <c r="G584" s="85"/>
      <c r="H584" s="85"/>
      <c r="I584" s="91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2.75" customHeight="1" spans="1:26">
      <c r="A585" s="85"/>
      <c r="B585" s="85"/>
      <c r="C585" s="85"/>
      <c r="D585" s="85"/>
      <c r="E585" s="85"/>
      <c r="F585" s="85"/>
      <c r="G585" s="85"/>
      <c r="H585" s="85"/>
      <c r="I585" s="91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2.75" customHeight="1" spans="1:26">
      <c r="A586" s="85"/>
      <c r="B586" s="85"/>
      <c r="C586" s="85"/>
      <c r="D586" s="85"/>
      <c r="E586" s="85"/>
      <c r="F586" s="85"/>
      <c r="G586" s="85"/>
      <c r="H586" s="85"/>
      <c r="I586" s="91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2.75" customHeight="1" spans="1:26">
      <c r="A587" s="85"/>
      <c r="B587" s="85"/>
      <c r="C587" s="85"/>
      <c r="D587" s="85"/>
      <c r="E587" s="85"/>
      <c r="F587" s="85"/>
      <c r="G587" s="85"/>
      <c r="H587" s="85"/>
      <c r="I587" s="91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2.75" customHeight="1" spans="1:26">
      <c r="A588" s="85"/>
      <c r="B588" s="85"/>
      <c r="C588" s="85"/>
      <c r="D588" s="85"/>
      <c r="E588" s="85"/>
      <c r="F588" s="85"/>
      <c r="G588" s="85"/>
      <c r="H588" s="85"/>
      <c r="I588" s="91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2.75" customHeight="1" spans="1:26">
      <c r="A589" s="85"/>
      <c r="B589" s="85"/>
      <c r="C589" s="85"/>
      <c r="D589" s="85"/>
      <c r="E589" s="85"/>
      <c r="F589" s="85"/>
      <c r="G589" s="85"/>
      <c r="H589" s="85"/>
      <c r="I589" s="91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2.75" customHeight="1" spans="1:26">
      <c r="A590" s="85"/>
      <c r="B590" s="85"/>
      <c r="C590" s="85"/>
      <c r="D590" s="85"/>
      <c r="E590" s="85"/>
      <c r="F590" s="85"/>
      <c r="G590" s="85"/>
      <c r="H590" s="85"/>
      <c r="I590" s="91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2.75" customHeight="1" spans="1:26">
      <c r="A591" s="85"/>
      <c r="B591" s="85"/>
      <c r="C591" s="85"/>
      <c r="D591" s="85"/>
      <c r="E591" s="85"/>
      <c r="F591" s="85"/>
      <c r="G591" s="85"/>
      <c r="H591" s="85"/>
      <c r="I591" s="91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2.75" customHeight="1" spans="1:26">
      <c r="A592" s="85"/>
      <c r="B592" s="85"/>
      <c r="C592" s="85"/>
      <c r="D592" s="85"/>
      <c r="E592" s="85"/>
      <c r="F592" s="85"/>
      <c r="G592" s="85"/>
      <c r="H592" s="85"/>
      <c r="I592" s="91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2.75" customHeight="1" spans="1:26">
      <c r="A593" s="85"/>
      <c r="B593" s="85"/>
      <c r="C593" s="85"/>
      <c r="D593" s="85"/>
      <c r="E593" s="85"/>
      <c r="F593" s="85"/>
      <c r="G593" s="85"/>
      <c r="H593" s="85"/>
      <c r="I593" s="91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2.75" customHeight="1" spans="1:26">
      <c r="A594" s="85"/>
      <c r="B594" s="85"/>
      <c r="C594" s="85"/>
      <c r="D594" s="85"/>
      <c r="E594" s="85"/>
      <c r="F594" s="85"/>
      <c r="G594" s="85"/>
      <c r="H594" s="85"/>
      <c r="I594" s="91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2.75" customHeight="1" spans="1:26">
      <c r="A595" s="85"/>
      <c r="B595" s="85"/>
      <c r="C595" s="85"/>
      <c r="D595" s="85"/>
      <c r="E595" s="85"/>
      <c r="F595" s="85"/>
      <c r="G595" s="85"/>
      <c r="H595" s="85"/>
      <c r="I595" s="91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2.75" customHeight="1" spans="1:26">
      <c r="A596" s="85"/>
      <c r="B596" s="85"/>
      <c r="C596" s="85"/>
      <c r="D596" s="85"/>
      <c r="E596" s="85"/>
      <c r="F596" s="85"/>
      <c r="G596" s="85"/>
      <c r="H596" s="85"/>
      <c r="I596" s="91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2.75" customHeight="1" spans="1:26">
      <c r="A597" s="85"/>
      <c r="B597" s="85"/>
      <c r="C597" s="85"/>
      <c r="D597" s="85"/>
      <c r="E597" s="85"/>
      <c r="F597" s="85"/>
      <c r="G597" s="85"/>
      <c r="H597" s="85"/>
      <c r="I597" s="91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2.75" customHeight="1" spans="1:26">
      <c r="A598" s="85"/>
      <c r="B598" s="85"/>
      <c r="C598" s="85"/>
      <c r="D598" s="85"/>
      <c r="E598" s="85"/>
      <c r="F598" s="85"/>
      <c r="G598" s="85"/>
      <c r="H598" s="85"/>
      <c r="I598" s="91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2.75" customHeight="1" spans="1:26">
      <c r="A599" s="85"/>
      <c r="B599" s="85"/>
      <c r="C599" s="85"/>
      <c r="D599" s="85"/>
      <c r="E599" s="85"/>
      <c r="F599" s="85"/>
      <c r="G599" s="85"/>
      <c r="H599" s="85"/>
      <c r="I599" s="91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2.75" customHeight="1" spans="1:26">
      <c r="A600" s="85"/>
      <c r="B600" s="85"/>
      <c r="C600" s="85"/>
      <c r="D600" s="85"/>
      <c r="E600" s="85"/>
      <c r="F600" s="85"/>
      <c r="G600" s="85"/>
      <c r="H600" s="85"/>
      <c r="I600" s="91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2.75" customHeight="1" spans="1:26">
      <c r="A601" s="85"/>
      <c r="B601" s="85"/>
      <c r="C601" s="85"/>
      <c r="D601" s="85"/>
      <c r="E601" s="85"/>
      <c r="F601" s="85"/>
      <c r="G601" s="85"/>
      <c r="H601" s="85"/>
      <c r="I601" s="91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2.75" customHeight="1" spans="1:26">
      <c r="A602" s="85"/>
      <c r="B602" s="85"/>
      <c r="C602" s="85"/>
      <c r="D602" s="85"/>
      <c r="E602" s="85"/>
      <c r="F602" s="85"/>
      <c r="G602" s="85"/>
      <c r="H602" s="85"/>
      <c r="I602" s="91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2.75" customHeight="1" spans="1:26">
      <c r="A603" s="85"/>
      <c r="B603" s="85"/>
      <c r="C603" s="85"/>
      <c r="D603" s="85"/>
      <c r="E603" s="85"/>
      <c r="F603" s="85"/>
      <c r="G603" s="85"/>
      <c r="H603" s="85"/>
      <c r="I603" s="91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2.75" customHeight="1" spans="1:26">
      <c r="A604" s="85"/>
      <c r="B604" s="85"/>
      <c r="C604" s="85"/>
      <c r="D604" s="85"/>
      <c r="E604" s="85"/>
      <c r="F604" s="85"/>
      <c r="G604" s="85"/>
      <c r="H604" s="85"/>
      <c r="I604" s="91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2.75" customHeight="1" spans="1:26">
      <c r="A605" s="85"/>
      <c r="B605" s="85"/>
      <c r="C605" s="85"/>
      <c r="D605" s="85"/>
      <c r="E605" s="85"/>
      <c r="F605" s="85"/>
      <c r="G605" s="85"/>
      <c r="H605" s="85"/>
      <c r="I605" s="91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2.75" customHeight="1" spans="1:26">
      <c r="A606" s="85"/>
      <c r="B606" s="85"/>
      <c r="C606" s="85"/>
      <c r="D606" s="85"/>
      <c r="E606" s="85"/>
      <c r="F606" s="85"/>
      <c r="G606" s="85"/>
      <c r="H606" s="85"/>
      <c r="I606" s="91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2.75" customHeight="1" spans="1:26">
      <c r="A607" s="85"/>
      <c r="B607" s="85"/>
      <c r="C607" s="85"/>
      <c r="D607" s="85"/>
      <c r="E607" s="85"/>
      <c r="F607" s="85"/>
      <c r="G607" s="85"/>
      <c r="H607" s="85"/>
      <c r="I607" s="91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2.75" customHeight="1" spans="1:26">
      <c r="A608" s="85"/>
      <c r="B608" s="85"/>
      <c r="C608" s="85"/>
      <c r="D608" s="85"/>
      <c r="E608" s="85"/>
      <c r="F608" s="85"/>
      <c r="G608" s="85"/>
      <c r="H608" s="85"/>
      <c r="I608" s="91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2.75" customHeight="1" spans="1:26">
      <c r="A609" s="85"/>
      <c r="B609" s="85"/>
      <c r="C609" s="85"/>
      <c r="D609" s="85"/>
      <c r="E609" s="85"/>
      <c r="F609" s="85"/>
      <c r="G609" s="85"/>
      <c r="H609" s="85"/>
      <c r="I609" s="91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2.75" customHeight="1" spans="1:26">
      <c r="A610" s="85"/>
      <c r="B610" s="85"/>
      <c r="C610" s="85"/>
      <c r="D610" s="85"/>
      <c r="E610" s="85"/>
      <c r="F610" s="85"/>
      <c r="G610" s="85"/>
      <c r="H610" s="85"/>
      <c r="I610" s="91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2.75" customHeight="1" spans="1:26">
      <c r="A611" s="85"/>
      <c r="B611" s="85"/>
      <c r="C611" s="85"/>
      <c r="D611" s="85"/>
      <c r="E611" s="85"/>
      <c r="F611" s="85"/>
      <c r="G611" s="85"/>
      <c r="H611" s="85"/>
      <c r="I611" s="91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2.75" customHeight="1" spans="1:26">
      <c r="A612" s="85"/>
      <c r="B612" s="85"/>
      <c r="C612" s="85"/>
      <c r="D612" s="85"/>
      <c r="E612" s="85"/>
      <c r="F612" s="85"/>
      <c r="G612" s="85"/>
      <c r="H612" s="85"/>
      <c r="I612" s="91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2.75" customHeight="1" spans="1:26">
      <c r="A613" s="85"/>
      <c r="B613" s="85"/>
      <c r="C613" s="85"/>
      <c r="D613" s="85"/>
      <c r="E613" s="85"/>
      <c r="F613" s="85"/>
      <c r="G613" s="85"/>
      <c r="H613" s="85"/>
      <c r="I613" s="91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2.75" customHeight="1" spans="1:26">
      <c r="A614" s="85"/>
      <c r="B614" s="85"/>
      <c r="C614" s="85"/>
      <c r="D614" s="85"/>
      <c r="E614" s="85"/>
      <c r="F614" s="85"/>
      <c r="G614" s="85"/>
      <c r="H614" s="85"/>
      <c r="I614" s="91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2.75" customHeight="1" spans="1:26">
      <c r="A615" s="85"/>
      <c r="B615" s="85"/>
      <c r="C615" s="85"/>
      <c r="D615" s="85"/>
      <c r="E615" s="85"/>
      <c r="F615" s="85"/>
      <c r="G615" s="85"/>
      <c r="H615" s="85"/>
      <c r="I615" s="91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2.75" customHeight="1" spans="1:26">
      <c r="A616" s="85"/>
      <c r="B616" s="85"/>
      <c r="C616" s="85"/>
      <c r="D616" s="85"/>
      <c r="E616" s="85"/>
      <c r="F616" s="85"/>
      <c r="G616" s="85"/>
      <c r="H616" s="85"/>
      <c r="I616" s="91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2.75" customHeight="1" spans="1:26">
      <c r="A617" s="85"/>
      <c r="B617" s="85"/>
      <c r="C617" s="85"/>
      <c r="D617" s="85"/>
      <c r="E617" s="85"/>
      <c r="F617" s="85"/>
      <c r="G617" s="85"/>
      <c r="H617" s="85"/>
      <c r="I617" s="91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2.75" customHeight="1" spans="1:26">
      <c r="A618" s="85"/>
      <c r="B618" s="85"/>
      <c r="C618" s="85"/>
      <c r="D618" s="85"/>
      <c r="E618" s="85"/>
      <c r="F618" s="85"/>
      <c r="G618" s="85"/>
      <c r="H618" s="85"/>
      <c r="I618" s="91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2.75" customHeight="1" spans="1:26">
      <c r="A619" s="85"/>
      <c r="B619" s="85"/>
      <c r="C619" s="85"/>
      <c r="D619" s="85"/>
      <c r="E619" s="85"/>
      <c r="F619" s="85"/>
      <c r="G619" s="85"/>
      <c r="H619" s="85"/>
      <c r="I619" s="91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2.75" customHeight="1" spans="1:26">
      <c r="A620" s="85"/>
      <c r="B620" s="85"/>
      <c r="C620" s="85"/>
      <c r="D620" s="85"/>
      <c r="E620" s="85"/>
      <c r="F620" s="85"/>
      <c r="G620" s="85"/>
      <c r="H620" s="85"/>
      <c r="I620" s="91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2.75" customHeight="1" spans="1:26">
      <c r="A621" s="85"/>
      <c r="B621" s="85"/>
      <c r="C621" s="85"/>
      <c r="D621" s="85"/>
      <c r="E621" s="85"/>
      <c r="F621" s="85"/>
      <c r="G621" s="85"/>
      <c r="H621" s="85"/>
      <c r="I621" s="91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2.75" customHeight="1" spans="1:26">
      <c r="A622" s="85"/>
      <c r="B622" s="85"/>
      <c r="C622" s="85"/>
      <c r="D622" s="85"/>
      <c r="E622" s="85"/>
      <c r="F622" s="85"/>
      <c r="G622" s="85"/>
      <c r="H622" s="85"/>
      <c r="I622" s="91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2.75" customHeight="1" spans="1:26">
      <c r="A623" s="85"/>
      <c r="B623" s="85"/>
      <c r="C623" s="85"/>
      <c r="D623" s="85"/>
      <c r="E623" s="85"/>
      <c r="F623" s="85"/>
      <c r="G623" s="85"/>
      <c r="H623" s="85"/>
      <c r="I623" s="91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2.75" customHeight="1" spans="1:26">
      <c r="A624" s="85"/>
      <c r="B624" s="85"/>
      <c r="C624" s="85"/>
      <c r="D624" s="85"/>
      <c r="E624" s="85"/>
      <c r="F624" s="85"/>
      <c r="G624" s="85"/>
      <c r="H624" s="85"/>
      <c r="I624" s="91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2.75" customHeight="1" spans="1:26">
      <c r="A625" s="85"/>
      <c r="B625" s="85"/>
      <c r="C625" s="85"/>
      <c r="D625" s="85"/>
      <c r="E625" s="85"/>
      <c r="F625" s="85"/>
      <c r="G625" s="85"/>
      <c r="H625" s="85"/>
      <c r="I625" s="91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2.75" customHeight="1" spans="1:26">
      <c r="A626" s="85"/>
      <c r="B626" s="85"/>
      <c r="C626" s="85"/>
      <c r="D626" s="85"/>
      <c r="E626" s="85"/>
      <c r="F626" s="85"/>
      <c r="G626" s="85"/>
      <c r="H626" s="85"/>
      <c r="I626" s="91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2.75" customHeight="1" spans="1:26">
      <c r="A627" s="85"/>
      <c r="B627" s="85"/>
      <c r="C627" s="85"/>
      <c r="D627" s="85"/>
      <c r="E627" s="85"/>
      <c r="F627" s="85"/>
      <c r="G627" s="85"/>
      <c r="H627" s="85"/>
      <c r="I627" s="91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2.75" customHeight="1" spans="1:26">
      <c r="A628" s="85"/>
      <c r="B628" s="85"/>
      <c r="C628" s="85"/>
      <c r="D628" s="85"/>
      <c r="E628" s="85"/>
      <c r="F628" s="85"/>
      <c r="G628" s="85"/>
      <c r="H628" s="85"/>
      <c r="I628" s="91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2.75" customHeight="1" spans="1:26">
      <c r="A629" s="85"/>
      <c r="B629" s="85"/>
      <c r="C629" s="85"/>
      <c r="D629" s="85"/>
      <c r="E629" s="85"/>
      <c r="F629" s="85"/>
      <c r="G629" s="85"/>
      <c r="H629" s="85"/>
      <c r="I629" s="91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2.75" customHeight="1" spans="1:26">
      <c r="A630" s="85"/>
      <c r="B630" s="85"/>
      <c r="C630" s="85"/>
      <c r="D630" s="85"/>
      <c r="E630" s="85"/>
      <c r="F630" s="85"/>
      <c r="G630" s="85"/>
      <c r="H630" s="85"/>
      <c r="I630" s="91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2.75" customHeight="1" spans="1:26">
      <c r="A631" s="85"/>
      <c r="B631" s="85"/>
      <c r="C631" s="85"/>
      <c r="D631" s="85"/>
      <c r="E631" s="85"/>
      <c r="F631" s="85"/>
      <c r="G631" s="85"/>
      <c r="H631" s="85"/>
      <c r="I631" s="91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2.75" customHeight="1" spans="1:26">
      <c r="A632" s="85"/>
      <c r="B632" s="85"/>
      <c r="C632" s="85"/>
      <c r="D632" s="85"/>
      <c r="E632" s="85"/>
      <c r="F632" s="85"/>
      <c r="G632" s="85"/>
      <c r="H632" s="85"/>
      <c r="I632" s="91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2.75" customHeight="1" spans="1:26">
      <c r="A633" s="85"/>
      <c r="B633" s="85"/>
      <c r="C633" s="85"/>
      <c r="D633" s="85"/>
      <c r="E633" s="85"/>
      <c r="F633" s="85"/>
      <c r="G633" s="85"/>
      <c r="H633" s="85"/>
      <c r="I633" s="91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2.75" customHeight="1" spans="1:26">
      <c r="A634" s="85"/>
      <c r="B634" s="85"/>
      <c r="C634" s="85"/>
      <c r="D634" s="85"/>
      <c r="E634" s="85"/>
      <c r="F634" s="85"/>
      <c r="G634" s="85"/>
      <c r="H634" s="85"/>
      <c r="I634" s="91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2.75" customHeight="1" spans="1:26">
      <c r="A635" s="85"/>
      <c r="B635" s="85"/>
      <c r="C635" s="85"/>
      <c r="D635" s="85"/>
      <c r="E635" s="85"/>
      <c r="F635" s="85"/>
      <c r="G635" s="85"/>
      <c r="H635" s="85"/>
      <c r="I635" s="91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2.75" customHeight="1" spans="1:26">
      <c r="A636" s="85"/>
      <c r="B636" s="85"/>
      <c r="C636" s="85"/>
      <c r="D636" s="85"/>
      <c r="E636" s="85"/>
      <c r="F636" s="85"/>
      <c r="G636" s="85"/>
      <c r="H636" s="85"/>
      <c r="I636" s="91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2.75" customHeight="1" spans="1:26">
      <c r="A637" s="85"/>
      <c r="B637" s="85"/>
      <c r="C637" s="85"/>
      <c r="D637" s="85"/>
      <c r="E637" s="85"/>
      <c r="F637" s="85"/>
      <c r="G637" s="85"/>
      <c r="H637" s="85"/>
      <c r="I637" s="91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2.75" customHeight="1" spans="1:26">
      <c r="A638" s="85"/>
      <c r="B638" s="85"/>
      <c r="C638" s="85"/>
      <c r="D638" s="85"/>
      <c r="E638" s="85"/>
      <c r="F638" s="85"/>
      <c r="G638" s="85"/>
      <c r="H638" s="85"/>
      <c r="I638" s="91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2.75" customHeight="1" spans="1:26">
      <c r="A639" s="85"/>
      <c r="B639" s="85"/>
      <c r="C639" s="85"/>
      <c r="D639" s="85"/>
      <c r="E639" s="85"/>
      <c r="F639" s="85"/>
      <c r="G639" s="85"/>
      <c r="H639" s="85"/>
      <c r="I639" s="91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2.75" customHeight="1" spans="1:26">
      <c r="A640" s="85"/>
      <c r="B640" s="85"/>
      <c r="C640" s="85"/>
      <c r="D640" s="85"/>
      <c r="E640" s="85"/>
      <c r="F640" s="85"/>
      <c r="G640" s="85"/>
      <c r="H640" s="85"/>
      <c r="I640" s="91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2.75" customHeight="1" spans="1:26">
      <c r="A641" s="85"/>
      <c r="B641" s="85"/>
      <c r="C641" s="85"/>
      <c r="D641" s="85"/>
      <c r="E641" s="85"/>
      <c r="F641" s="85"/>
      <c r="G641" s="85"/>
      <c r="H641" s="85"/>
      <c r="I641" s="91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2.75" customHeight="1" spans="1:26">
      <c r="A642" s="85"/>
      <c r="B642" s="85"/>
      <c r="C642" s="85"/>
      <c r="D642" s="85"/>
      <c r="E642" s="85"/>
      <c r="F642" s="85"/>
      <c r="G642" s="85"/>
      <c r="H642" s="85"/>
      <c r="I642" s="91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2.75" customHeight="1" spans="1:26">
      <c r="A643" s="85"/>
      <c r="B643" s="85"/>
      <c r="C643" s="85"/>
      <c r="D643" s="85"/>
      <c r="E643" s="85"/>
      <c r="F643" s="85"/>
      <c r="G643" s="85"/>
      <c r="H643" s="85"/>
      <c r="I643" s="91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2.75" customHeight="1" spans="1:26">
      <c r="A644" s="85"/>
      <c r="B644" s="85"/>
      <c r="C644" s="85"/>
      <c r="D644" s="85"/>
      <c r="E644" s="85"/>
      <c r="F644" s="85"/>
      <c r="G644" s="85"/>
      <c r="H644" s="85"/>
      <c r="I644" s="91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2.75" customHeight="1" spans="1:26">
      <c r="A645" s="85"/>
      <c r="B645" s="85"/>
      <c r="C645" s="85"/>
      <c r="D645" s="85"/>
      <c r="E645" s="85"/>
      <c r="F645" s="85"/>
      <c r="G645" s="85"/>
      <c r="H645" s="85"/>
      <c r="I645" s="91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2.75" customHeight="1" spans="1:26">
      <c r="A646" s="85"/>
      <c r="B646" s="85"/>
      <c r="C646" s="85"/>
      <c r="D646" s="85"/>
      <c r="E646" s="85"/>
      <c r="F646" s="85"/>
      <c r="G646" s="85"/>
      <c r="H646" s="85"/>
      <c r="I646" s="91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2.75" customHeight="1" spans="1:26">
      <c r="A647" s="85"/>
      <c r="B647" s="85"/>
      <c r="C647" s="85"/>
      <c r="D647" s="85"/>
      <c r="E647" s="85"/>
      <c r="F647" s="85"/>
      <c r="G647" s="85"/>
      <c r="H647" s="85"/>
      <c r="I647" s="91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2.75" customHeight="1" spans="1:26">
      <c r="A648" s="85"/>
      <c r="B648" s="85"/>
      <c r="C648" s="85"/>
      <c r="D648" s="85"/>
      <c r="E648" s="85"/>
      <c r="F648" s="85"/>
      <c r="G648" s="85"/>
      <c r="H648" s="85"/>
      <c r="I648" s="91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2.75" customHeight="1" spans="1:26">
      <c r="A649" s="85"/>
      <c r="B649" s="85"/>
      <c r="C649" s="85"/>
      <c r="D649" s="85"/>
      <c r="E649" s="85"/>
      <c r="F649" s="85"/>
      <c r="G649" s="85"/>
      <c r="H649" s="85"/>
      <c r="I649" s="91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2.75" customHeight="1" spans="1:26">
      <c r="A650" s="85"/>
      <c r="B650" s="85"/>
      <c r="C650" s="85"/>
      <c r="D650" s="85"/>
      <c r="E650" s="85"/>
      <c r="F650" s="85"/>
      <c r="G650" s="85"/>
      <c r="H650" s="85"/>
      <c r="I650" s="91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2.75" customHeight="1" spans="1:26">
      <c r="A651" s="85"/>
      <c r="B651" s="85"/>
      <c r="C651" s="85"/>
      <c r="D651" s="85"/>
      <c r="E651" s="85"/>
      <c r="F651" s="85"/>
      <c r="G651" s="85"/>
      <c r="H651" s="85"/>
      <c r="I651" s="91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2.75" customHeight="1" spans="1:26">
      <c r="A652" s="85"/>
      <c r="B652" s="85"/>
      <c r="C652" s="85"/>
      <c r="D652" s="85"/>
      <c r="E652" s="85"/>
      <c r="F652" s="85"/>
      <c r="G652" s="85"/>
      <c r="H652" s="85"/>
      <c r="I652" s="91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2.75" customHeight="1" spans="1:26">
      <c r="A653" s="85"/>
      <c r="B653" s="85"/>
      <c r="C653" s="85"/>
      <c r="D653" s="85"/>
      <c r="E653" s="85"/>
      <c r="F653" s="85"/>
      <c r="G653" s="85"/>
      <c r="H653" s="85"/>
      <c r="I653" s="91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2.75" customHeight="1" spans="1:26">
      <c r="A654" s="85"/>
      <c r="B654" s="85"/>
      <c r="C654" s="85"/>
      <c r="D654" s="85"/>
      <c r="E654" s="85"/>
      <c r="F654" s="85"/>
      <c r="G654" s="85"/>
      <c r="H654" s="85"/>
      <c r="I654" s="91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2.75" customHeight="1" spans="1:26">
      <c r="A655" s="85"/>
      <c r="B655" s="85"/>
      <c r="C655" s="85"/>
      <c r="D655" s="85"/>
      <c r="E655" s="85"/>
      <c r="F655" s="85"/>
      <c r="G655" s="85"/>
      <c r="H655" s="85"/>
      <c r="I655" s="91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2.75" customHeight="1" spans="1:26">
      <c r="A656" s="85"/>
      <c r="B656" s="85"/>
      <c r="C656" s="85"/>
      <c r="D656" s="85"/>
      <c r="E656" s="85"/>
      <c r="F656" s="85"/>
      <c r="G656" s="85"/>
      <c r="H656" s="85"/>
      <c r="I656" s="91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2.75" customHeight="1" spans="1:26">
      <c r="A657" s="85"/>
      <c r="B657" s="85"/>
      <c r="C657" s="85"/>
      <c r="D657" s="85"/>
      <c r="E657" s="85"/>
      <c r="F657" s="85"/>
      <c r="G657" s="85"/>
      <c r="H657" s="85"/>
      <c r="I657" s="91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2.75" customHeight="1" spans="1:26">
      <c r="A658" s="85"/>
      <c r="B658" s="85"/>
      <c r="C658" s="85"/>
      <c r="D658" s="85"/>
      <c r="E658" s="85"/>
      <c r="F658" s="85"/>
      <c r="G658" s="85"/>
      <c r="H658" s="85"/>
      <c r="I658" s="91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2.75" customHeight="1" spans="1:26">
      <c r="A659" s="85"/>
      <c r="B659" s="85"/>
      <c r="C659" s="85"/>
      <c r="D659" s="85"/>
      <c r="E659" s="85"/>
      <c r="F659" s="85"/>
      <c r="G659" s="85"/>
      <c r="H659" s="85"/>
      <c r="I659" s="91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2.75" customHeight="1" spans="1:26">
      <c r="A660" s="85"/>
      <c r="B660" s="85"/>
      <c r="C660" s="85"/>
      <c r="D660" s="85"/>
      <c r="E660" s="85"/>
      <c r="F660" s="85"/>
      <c r="G660" s="85"/>
      <c r="H660" s="85"/>
      <c r="I660" s="91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2.75" customHeight="1" spans="1:26">
      <c r="A661" s="85"/>
      <c r="B661" s="85"/>
      <c r="C661" s="85"/>
      <c r="D661" s="85"/>
      <c r="E661" s="85"/>
      <c r="F661" s="85"/>
      <c r="G661" s="85"/>
      <c r="H661" s="85"/>
      <c r="I661" s="91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2.75" customHeight="1" spans="1:26">
      <c r="A662" s="85"/>
      <c r="B662" s="85"/>
      <c r="C662" s="85"/>
      <c r="D662" s="85"/>
      <c r="E662" s="85"/>
      <c r="F662" s="85"/>
      <c r="G662" s="85"/>
      <c r="H662" s="85"/>
      <c r="I662" s="91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2.75" customHeight="1" spans="1:26">
      <c r="A663" s="85"/>
      <c r="B663" s="85"/>
      <c r="C663" s="85"/>
      <c r="D663" s="85"/>
      <c r="E663" s="85"/>
      <c r="F663" s="85"/>
      <c r="G663" s="85"/>
      <c r="H663" s="85"/>
      <c r="I663" s="91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2.75" customHeight="1" spans="1:26">
      <c r="A664" s="85"/>
      <c r="B664" s="85"/>
      <c r="C664" s="85"/>
      <c r="D664" s="85"/>
      <c r="E664" s="85"/>
      <c r="F664" s="85"/>
      <c r="G664" s="85"/>
      <c r="H664" s="85"/>
      <c r="I664" s="91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2.75" customHeight="1" spans="1:26">
      <c r="A665" s="85"/>
      <c r="B665" s="85"/>
      <c r="C665" s="85"/>
      <c r="D665" s="85"/>
      <c r="E665" s="85"/>
      <c r="F665" s="85"/>
      <c r="G665" s="85"/>
      <c r="H665" s="85"/>
      <c r="I665" s="91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2.75" customHeight="1" spans="1:26">
      <c r="A666" s="85"/>
      <c r="B666" s="85"/>
      <c r="C666" s="85"/>
      <c r="D666" s="85"/>
      <c r="E666" s="85"/>
      <c r="F666" s="85"/>
      <c r="G666" s="85"/>
      <c r="H666" s="85"/>
      <c r="I666" s="91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2.75" customHeight="1" spans="1:26">
      <c r="A667" s="85"/>
      <c r="B667" s="85"/>
      <c r="C667" s="85"/>
      <c r="D667" s="85"/>
      <c r="E667" s="85"/>
      <c r="F667" s="85"/>
      <c r="G667" s="85"/>
      <c r="H667" s="85"/>
      <c r="I667" s="91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2.75" customHeight="1" spans="1:26">
      <c r="A668" s="85"/>
      <c r="B668" s="85"/>
      <c r="C668" s="85"/>
      <c r="D668" s="85"/>
      <c r="E668" s="85"/>
      <c r="F668" s="85"/>
      <c r="G668" s="85"/>
      <c r="H668" s="85"/>
      <c r="I668" s="91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2.75" customHeight="1" spans="1:26">
      <c r="A669" s="85"/>
      <c r="B669" s="85"/>
      <c r="C669" s="85"/>
      <c r="D669" s="85"/>
      <c r="E669" s="85"/>
      <c r="F669" s="85"/>
      <c r="G669" s="85"/>
      <c r="H669" s="85"/>
      <c r="I669" s="91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2.75" customHeight="1" spans="1:26">
      <c r="A670" s="85"/>
      <c r="B670" s="85"/>
      <c r="C670" s="85"/>
      <c r="D670" s="85"/>
      <c r="E670" s="85"/>
      <c r="F670" s="85"/>
      <c r="G670" s="85"/>
      <c r="H670" s="85"/>
      <c r="I670" s="91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2.75" customHeight="1" spans="1:26">
      <c r="A671" s="85"/>
      <c r="B671" s="85"/>
      <c r="C671" s="85"/>
      <c r="D671" s="85"/>
      <c r="E671" s="85"/>
      <c r="F671" s="85"/>
      <c r="G671" s="85"/>
      <c r="H671" s="85"/>
      <c r="I671" s="91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2.75" customHeight="1" spans="1:26">
      <c r="A672" s="85"/>
      <c r="B672" s="85"/>
      <c r="C672" s="85"/>
      <c r="D672" s="85"/>
      <c r="E672" s="85"/>
      <c r="F672" s="85"/>
      <c r="G672" s="85"/>
      <c r="H672" s="85"/>
      <c r="I672" s="91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2.75" customHeight="1" spans="1:26">
      <c r="A673" s="85"/>
      <c r="B673" s="85"/>
      <c r="C673" s="85"/>
      <c r="D673" s="85"/>
      <c r="E673" s="85"/>
      <c r="F673" s="85"/>
      <c r="G673" s="85"/>
      <c r="H673" s="85"/>
      <c r="I673" s="91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2.75" customHeight="1" spans="1:26">
      <c r="A674" s="85"/>
      <c r="B674" s="85"/>
      <c r="C674" s="85"/>
      <c r="D674" s="85"/>
      <c r="E674" s="85"/>
      <c r="F674" s="85"/>
      <c r="G674" s="85"/>
      <c r="H674" s="85"/>
      <c r="I674" s="91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2.75" customHeight="1" spans="1:26">
      <c r="A675" s="85"/>
      <c r="B675" s="85"/>
      <c r="C675" s="85"/>
      <c r="D675" s="85"/>
      <c r="E675" s="85"/>
      <c r="F675" s="85"/>
      <c r="G675" s="85"/>
      <c r="H675" s="85"/>
      <c r="I675" s="91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2.75" customHeight="1" spans="1:26">
      <c r="A676" s="85"/>
      <c r="B676" s="85"/>
      <c r="C676" s="85"/>
      <c r="D676" s="85"/>
      <c r="E676" s="85"/>
      <c r="F676" s="85"/>
      <c r="G676" s="85"/>
      <c r="H676" s="85"/>
      <c r="I676" s="91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2.75" customHeight="1" spans="1:26">
      <c r="A677" s="85"/>
      <c r="B677" s="85"/>
      <c r="C677" s="85"/>
      <c r="D677" s="85"/>
      <c r="E677" s="85"/>
      <c r="F677" s="85"/>
      <c r="G677" s="85"/>
      <c r="H677" s="85"/>
      <c r="I677" s="91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2.75" customHeight="1" spans="1:26">
      <c r="A678" s="85"/>
      <c r="B678" s="85"/>
      <c r="C678" s="85"/>
      <c r="D678" s="85"/>
      <c r="E678" s="85"/>
      <c r="F678" s="85"/>
      <c r="G678" s="85"/>
      <c r="H678" s="85"/>
      <c r="I678" s="91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2.75" customHeight="1" spans="1:26">
      <c r="A679" s="85"/>
      <c r="B679" s="85"/>
      <c r="C679" s="85"/>
      <c r="D679" s="85"/>
      <c r="E679" s="85"/>
      <c r="F679" s="85"/>
      <c r="G679" s="85"/>
      <c r="H679" s="85"/>
      <c r="I679" s="91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2.75" customHeight="1" spans="1:26">
      <c r="A680" s="85"/>
      <c r="B680" s="85"/>
      <c r="C680" s="85"/>
      <c r="D680" s="85"/>
      <c r="E680" s="85"/>
      <c r="F680" s="85"/>
      <c r="G680" s="85"/>
      <c r="H680" s="85"/>
      <c r="I680" s="91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2.75" customHeight="1" spans="1:26">
      <c r="A681" s="85"/>
      <c r="B681" s="85"/>
      <c r="C681" s="85"/>
      <c r="D681" s="85"/>
      <c r="E681" s="85"/>
      <c r="F681" s="85"/>
      <c r="G681" s="85"/>
      <c r="H681" s="85"/>
      <c r="I681" s="91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2.75" customHeight="1" spans="1:26">
      <c r="A682" s="85"/>
      <c r="B682" s="85"/>
      <c r="C682" s="85"/>
      <c r="D682" s="85"/>
      <c r="E682" s="85"/>
      <c r="F682" s="85"/>
      <c r="G682" s="85"/>
      <c r="H682" s="85"/>
      <c r="I682" s="91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2.75" customHeight="1" spans="1:26">
      <c r="A683" s="85"/>
      <c r="B683" s="85"/>
      <c r="C683" s="85"/>
      <c r="D683" s="85"/>
      <c r="E683" s="85"/>
      <c r="F683" s="85"/>
      <c r="G683" s="85"/>
      <c r="H683" s="85"/>
      <c r="I683" s="91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2.75" customHeight="1" spans="1:26">
      <c r="A684" s="85"/>
      <c r="B684" s="85"/>
      <c r="C684" s="85"/>
      <c r="D684" s="85"/>
      <c r="E684" s="85"/>
      <c r="F684" s="85"/>
      <c r="G684" s="85"/>
      <c r="H684" s="85"/>
      <c r="I684" s="91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2.75" customHeight="1" spans="1:26">
      <c r="A685" s="85"/>
      <c r="B685" s="85"/>
      <c r="C685" s="85"/>
      <c r="D685" s="85"/>
      <c r="E685" s="85"/>
      <c r="F685" s="85"/>
      <c r="G685" s="85"/>
      <c r="H685" s="85"/>
      <c r="I685" s="91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2.75" customHeight="1" spans="1:26">
      <c r="A686" s="85"/>
      <c r="B686" s="85"/>
      <c r="C686" s="85"/>
      <c r="D686" s="85"/>
      <c r="E686" s="85"/>
      <c r="F686" s="85"/>
      <c r="G686" s="85"/>
      <c r="H686" s="85"/>
      <c r="I686" s="91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2.75" customHeight="1" spans="1:26">
      <c r="A687" s="85"/>
      <c r="B687" s="85"/>
      <c r="C687" s="85"/>
      <c r="D687" s="85"/>
      <c r="E687" s="85"/>
      <c r="F687" s="85"/>
      <c r="G687" s="85"/>
      <c r="H687" s="85"/>
      <c r="I687" s="91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2.75" customHeight="1" spans="1:26">
      <c r="A688" s="85"/>
      <c r="B688" s="85"/>
      <c r="C688" s="85"/>
      <c r="D688" s="85"/>
      <c r="E688" s="85"/>
      <c r="F688" s="85"/>
      <c r="G688" s="85"/>
      <c r="H688" s="85"/>
      <c r="I688" s="91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2.75" customHeight="1" spans="1:26">
      <c r="A689" s="85"/>
      <c r="B689" s="85"/>
      <c r="C689" s="85"/>
      <c r="D689" s="85"/>
      <c r="E689" s="85"/>
      <c r="F689" s="85"/>
      <c r="G689" s="85"/>
      <c r="H689" s="85"/>
      <c r="I689" s="91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2.75" customHeight="1" spans="1:26">
      <c r="A690" s="85"/>
      <c r="B690" s="85"/>
      <c r="C690" s="85"/>
      <c r="D690" s="85"/>
      <c r="E690" s="85"/>
      <c r="F690" s="85"/>
      <c r="G690" s="85"/>
      <c r="H690" s="85"/>
      <c r="I690" s="91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2.75" customHeight="1" spans="1:26">
      <c r="A691" s="85"/>
      <c r="B691" s="85"/>
      <c r="C691" s="85"/>
      <c r="D691" s="85"/>
      <c r="E691" s="85"/>
      <c r="F691" s="85"/>
      <c r="G691" s="85"/>
      <c r="H691" s="85"/>
      <c r="I691" s="91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2.75" customHeight="1" spans="1:26">
      <c r="A692" s="85"/>
      <c r="B692" s="85"/>
      <c r="C692" s="85"/>
      <c r="D692" s="85"/>
      <c r="E692" s="85"/>
      <c r="F692" s="85"/>
      <c r="G692" s="85"/>
      <c r="H692" s="85"/>
      <c r="I692" s="91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2.75" customHeight="1" spans="1:26">
      <c r="A693" s="85"/>
      <c r="B693" s="85"/>
      <c r="C693" s="85"/>
      <c r="D693" s="85"/>
      <c r="E693" s="85"/>
      <c r="F693" s="85"/>
      <c r="G693" s="85"/>
      <c r="H693" s="85"/>
      <c r="I693" s="91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2.75" customHeight="1" spans="1:26">
      <c r="A694" s="85"/>
      <c r="B694" s="85"/>
      <c r="C694" s="85"/>
      <c r="D694" s="85"/>
      <c r="E694" s="85"/>
      <c r="F694" s="85"/>
      <c r="G694" s="85"/>
      <c r="H694" s="85"/>
      <c r="I694" s="91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2.75" customHeight="1" spans="1:26">
      <c r="A695" s="85"/>
      <c r="B695" s="85"/>
      <c r="C695" s="85"/>
      <c r="D695" s="85"/>
      <c r="E695" s="85"/>
      <c r="F695" s="85"/>
      <c r="G695" s="85"/>
      <c r="H695" s="85"/>
      <c r="I695" s="91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2.75" customHeight="1" spans="1:26">
      <c r="A696" s="85"/>
      <c r="B696" s="85"/>
      <c r="C696" s="85"/>
      <c r="D696" s="85"/>
      <c r="E696" s="85"/>
      <c r="F696" s="85"/>
      <c r="G696" s="85"/>
      <c r="H696" s="85"/>
      <c r="I696" s="91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2.75" customHeight="1" spans="1:26">
      <c r="A697" s="85"/>
      <c r="B697" s="85"/>
      <c r="C697" s="85"/>
      <c r="D697" s="85"/>
      <c r="E697" s="85"/>
      <c r="F697" s="85"/>
      <c r="G697" s="85"/>
      <c r="H697" s="85"/>
      <c r="I697" s="91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2.75" customHeight="1" spans="1:26">
      <c r="A698" s="85"/>
      <c r="B698" s="85"/>
      <c r="C698" s="85"/>
      <c r="D698" s="85"/>
      <c r="E698" s="85"/>
      <c r="F698" s="85"/>
      <c r="G698" s="85"/>
      <c r="H698" s="85"/>
      <c r="I698" s="91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2.75" customHeight="1" spans="1:26">
      <c r="A699" s="85"/>
      <c r="B699" s="85"/>
      <c r="C699" s="85"/>
      <c r="D699" s="85"/>
      <c r="E699" s="85"/>
      <c r="F699" s="85"/>
      <c r="G699" s="85"/>
      <c r="H699" s="85"/>
      <c r="I699" s="91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2.75" customHeight="1" spans="1:26">
      <c r="A700" s="85"/>
      <c r="B700" s="85"/>
      <c r="C700" s="85"/>
      <c r="D700" s="85"/>
      <c r="E700" s="85"/>
      <c r="F700" s="85"/>
      <c r="G700" s="85"/>
      <c r="H700" s="85"/>
      <c r="I700" s="91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2.75" customHeight="1" spans="1:26">
      <c r="A701" s="85"/>
      <c r="B701" s="85"/>
      <c r="C701" s="85"/>
      <c r="D701" s="85"/>
      <c r="E701" s="85"/>
      <c r="F701" s="85"/>
      <c r="G701" s="85"/>
      <c r="H701" s="85"/>
      <c r="I701" s="91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2.75" customHeight="1" spans="1:26">
      <c r="A702" s="85"/>
      <c r="B702" s="85"/>
      <c r="C702" s="85"/>
      <c r="D702" s="85"/>
      <c r="E702" s="85"/>
      <c r="F702" s="85"/>
      <c r="G702" s="85"/>
      <c r="H702" s="85"/>
      <c r="I702" s="91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2.75" customHeight="1" spans="1:26">
      <c r="A703" s="85"/>
      <c r="B703" s="85"/>
      <c r="C703" s="85"/>
      <c r="D703" s="85"/>
      <c r="E703" s="85"/>
      <c r="F703" s="85"/>
      <c r="G703" s="85"/>
      <c r="H703" s="85"/>
      <c r="I703" s="91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2.75" customHeight="1" spans="1:26">
      <c r="A704" s="85"/>
      <c r="B704" s="85"/>
      <c r="C704" s="85"/>
      <c r="D704" s="85"/>
      <c r="E704" s="85"/>
      <c r="F704" s="85"/>
      <c r="G704" s="85"/>
      <c r="H704" s="85"/>
      <c r="I704" s="91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2.75" customHeight="1" spans="1:26">
      <c r="A705" s="85"/>
      <c r="B705" s="85"/>
      <c r="C705" s="85"/>
      <c r="D705" s="85"/>
      <c r="E705" s="85"/>
      <c r="F705" s="85"/>
      <c r="G705" s="85"/>
      <c r="H705" s="85"/>
      <c r="I705" s="91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2.75" customHeight="1" spans="1:26">
      <c r="A706" s="85"/>
      <c r="B706" s="85"/>
      <c r="C706" s="85"/>
      <c r="D706" s="85"/>
      <c r="E706" s="85"/>
      <c r="F706" s="85"/>
      <c r="G706" s="85"/>
      <c r="H706" s="85"/>
      <c r="I706" s="91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2.75" customHeight="1" spans="1:26">
      <c r="A707" s="85"/>
      <c r="B707" s="85"/>
      <c r="C707" s="85"/>
      <c r="D707" s="85"/>
      <c r="E707" s="85"/>
      <c r="F707" s="85"/>
      <c r="G707" s="85"/>
      <c r="H707" s="85"/>
      <c r="I707" s="91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2.75" customHeight="1" spans="1:26">
      <c r="A708" s="85"/>
      <c r="B708" s="85"/>
      <c r="C708" s="85"/>
      <c r="D708" s="85"/>
      <c r="E708" s="85"/>
      <c r="F708" s="85"/>
      <c r="G708" s="85"/>
      <c r="H708" s="85"/>
      <c r="I708" s="91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2.75" customHeight="1" spans="1:26">
      <c r="A709" s="85"/>
      <c r="B709" s="85"/>
      <c r="C709" s="85"/>
      <c r="D709" s="85"/>
      <c r="E709" s="85"/>
      <c r="F709" s="85"/>
      <c r="G709" s="85"/>
      <c r="H709" s="85"/>
      <c r="I709" s="91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2.75" customHeight="1" spans="1:26">
      <c r="A710" s="85"/>
      <c r="B710" s="85"/>
      <c r="C710" s="85"/>
      <c r="D710" s="85"/>
      <c r="E710" s="85"/>
      <c r="F710" s="85"/>
      <c r="G710" s="85"/>
      <c r="H710" s="85"/>
      <c r="I710" s="91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2.75" customHeight="1" spans="1:26">
      <c r="A711" s="85"/>
      <c r="B711" s="85"/>
      <c r="C711" s="85"/>
      <c r="D711" s="85"/>
      <c r="E711" s="85"/>
      <c r="F711" s="85"/>
      <c r="G711" s="85"/>
      <c r="H711" s="85"/>
      <c r="I711" s="91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2.75" customHeight="1" spans="1:26">
      <c r="A712" s="85"/>
      <c r="B712" s="85"/>
      <c r="C712" s="85"/>
      <c r="D712" s="85"/>
      <c r="E712" s="85"/>
      <c r="F712" s="85"/>
      <c r="G712" s="85"/>
      <c r="H712" s="85"/>
      <c r="I712" s="91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2.75" customHeight="1" spans="1:26">
      <c r="A713" s="85"/>
      <c r="B713" s="85"/>
      <c r="C713" s="85"/>
      <c r="D713" s="85"/>
      <c r="E713" s="85"/>
      <c r="F713" s="85"/>
      <c r="G713" s="85"/>
      <c r="H713" s="85"/>
      <c r="I713" s="91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2.75" customHeight="1" spans="1:26">
      <c r="A714" s="85"/>
      <c r="B714" s="85"/>
      <c r="C714" s="85"/>
      <c r="D714" s="85"/>
      <c r="E714" s="85"/>
      <c r="F714" s="85"/>
      <c r="G714" s="85"/>
      <c r="H714" s="85"/>
      <c r="I714" s="91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2.75" customHeight="1" spans="1:26">
      <c r="A715" s="85"/>
      <c r="B715" s="85"/>
      <c r="C715" s="85"/>
      <c r="D715" s="85"/>
      <c r="E715" s="85"/>
      <c r="F715" s="85"/>
      <c r="G715" s="85"/>
      <c r="H715" s="85"/>
      <c r="I715" s="91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2.75" customHeight="1" spans="1:26">
      <c r="A716" s="85"/>
      <c r="B716" s="85"/>
      <c r="C716" s="85"/>
      <c r="D716" s="85"/>
      <c r="E716" s="85"/>
      <c r="F716" s="85"/>
      <c r="G716" s="85"/>
      <c r="H716" s="85"/>
      <c r="I716" s="91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2.75" customHeight="1" spans="1:26">
      <c r="A717" s="85"/>
      <c r="B717" s="85"/>
      <c r="C717" s="85"/>
      <c r="D717" s="85"/>
      <c r="E717" s="85"/>
      <c r="F717" s="85"/>
      <c r="G717" s="85"/>
      <c r="H717" s="85"/>
      <c r="I717" s="91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2.75" customHeight="1" spans="1:26">
      <c r="A718" s="85"/>
      <c r="B718" s="85"/>
      <c r="C718" s="85"/>
      <c r="D718" s="85"/>
      <c r="E718" s="85"/>
      <c r="F718" s="85"/>
      <c r="G718" s="85"/>
      <c r="H718" s="85"/>
      <c r="I718" s="91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2.75" customHeight="1" spans="1:26">
      <c r="A719" s="85"/>
      <c r="B719" s="85"/>
      <c r="C719" s="85"/>
      <c r="D719" s="85"/>
      <c r="E719" s="85"/>
      <c r="F719" s="85"/>
      <c r="G719" s="85"/>
      <c r="H719" s="85"/>
      <c r="I719" s="91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2.75" customHeight="1" spans="1:26">
      <c r="A720" s="85"/>
      <c r="B720" s="85"/>
      <c r="C720" s="85"/>
      <c r="D720" s="85"/>
      <c r="E720" s="85"/>
      <c r="F720" s="85"/>
      <c r="G720" s="85"/>
      <c r="H720" s="85"/>
      <c r="I720" s="91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2.75" customHeight="1" spans="1:26">
      <c r="A721" s="85"/>
      <c r="B721" s="85"/>
      <c r="C721" s="85"/>
      <c r="D721" s="85"/>
      <c r="E721" s="85"/>
      <c r="F721" s="85"/>
      <c r="G721" s="85"/>
      <c r="H721" s="85"/>
      <c r="I721" s="91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2.75" customHeight="1" spans="1:26">
      <c r="A722" s="85"/>
      <c r="B722" s="85"/>
      <c r="C722" s="85"/>
      <c r="D722" s="85"/>
      <c r="E722" s="85"/>
      <c r="F722" s="85"/>
      <c r="G722" s="85"/>
      <c r="H722" s="85"/>
      <c r="I722" s="91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2.75" customHeight="1" spans="1:26">
      <c r="A723" s="85"/>
      <c r="B723" s="85"/>
      <c r="C723" s="85"/>
      <c r="D723" s="85"/>
      <c r="E723" s="85"/>
      <c r="F723" s="85"/>
      <c r="G723" s="85"/>
      <c r="H723" s="85"/>
      <c r="I723" s="91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2.75" customHeight="1" spans="1:26">
      <c r="A724" s="85"/>
      <c r="B724" s="85"/>
      <c r="C724" s="85"/>
      <c r="D724" s="85"/>
      <c r="E724" s="85"/>
      <c r="F724" s="85"/>
      <c r="G724" s="85"/>
      <c r="H724" s="85"/>
      <c r="I724" s="91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2.75" customHeight="1" spans="1:26">
      <c r="A725" s="85"/>
      <c r="B725" s="85"/>
      <c r="C725" s="85"/>
      <c r="D725" s="85"/>
      <c r="E725" s="85"/>
      <c r="F725" s="85"/>
      <c r="G725" s="85"/>
      <c r="H725" s="85"/>
      <c r="I725" s="91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2.75" customHeight="1" spans="1:26">
      <c r="A726" s="85"/>
      <c r="B726" s="85"/>
      <c r="C726" s="85"/>
      <c r="D726" s="85"/>
      <c r="E726" s="85"/>
      <c r="F726" s="85"/>
      <c r="G726" s="85"/>
      <c r="H726" s="85"/>
      <c r="I726" s="91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2.75" customHeight="1" spans="1:26">
      <c r="A727" s="85"/>
      <c r="B727" s="85"/>
      <c r="C727" s="85"/>
      <c r="D727" s="85"/>
      <c r="E727" s="85"/>
      <c r="F727" s="85"/>
      <c r="G727" s="85"/>
      <c r="H727" s="85"/>
      <c r="I727" s="91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2.75" customHeight="1" spans="1:26">
      <c r="A728" s="85"/>
      <c r="B728" s="85"/>
      <c r="C728" s="85"/>
      <c r="D728" s="85"/>
      <c r="E728" s="85"/>
      <c r="F728" s="85"/>
      <c r="G728" s="85"/>
      <c r="H728" s="85"/>
      <c r="I728" s="91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2.75" customHeight="1" spans="1:26">
      <c r="A729" s="85"/>
      <c r="B729" s="85"/>
      <c r="C729" s="85"/>
      <c r="D729" s="85"/>
      <c r="E729" s="85"/>
      <c r="F729" s="85"/>
      <c r="G729" s="85"/>
      <c r="H729" s="85"/>
      <c r="I729" s="91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2.75" customHeight="1" spans="1:26">
      <c r="A730" s="85"/>
      <c r="B730" s="85"/>
      <c r="C730" s="85"/>
      <c r="D730" s="85"/>
      <c r="E730" s="85"/>
      <c r="F730" s="85"/>
      <c r="G730" s="85"/>
      <c r="H730" s="85"/>
      <c r="I730" s="91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2.75" customHeight="1" spans="1:26">
      <c r="A731" s="85"/>
      <c r="B731" s="85"/>
      <c r="C731" s="85"/>
      <c r="D731" s="85"/>
      <c r="E731" s="85"/>
      <c r="F731" s="85"/>
      <c r="G731" s="85"/>
      <c r="H731" s="85"/>
      <c r="I731" s="91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2.75" customHeight="1" spans="1:26">
      <c r="A732" s="85"/>
      <c r="B732" s="85"/>
      <c r="C732" s="85"/>
      <c r="D732" s="85"/>
      <c r="E732" s="85"/>
      <c r="F732" s="85"/>
      <c r="G732" s="85"/>
      <c r="H732" s="85"/>
      <c r="I732" s="91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2.75" customHeight="1" spans="1:26">
      <c r="A733" s="85"/>
      <c r="B733" s="85"/>
      <c r="C733" s="85"/>
      <c r="D733" s="85"/>
      <c r="E733" s="85"/>
      <c r="F733" s="85"/>
      <c r="G733" s="85"/>
      <c r="H733" s="85"/>
      <c r="I733" s="91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2.75" customHeight="1" spans="1:26">
      <c r="A734" s="85"/>
      <c r="B734" s="85"/>
      <c r="C734" s="85"/>
      <c r="D734" s="85"/>
      <c r="E734" s="85"/>
      <c r="F734" s="85"/>
      <c r="G734" s="85"/>
      <c r="H734" s="85"/>
      <c r="I734" s="91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2.75" customHeight="1" spans="1:26">
      <c r="A735" s="85"/>
      <c r="B735" s="85"/>
      <c r="C735" s="85"/>
      <c r="D735" s="85"/>
      <c r="E735" s="85"/>
      <c r="F735" s="85"/>
      <c r="G735" s="85"/>
      <c r="H735" s="85"/>
      <c r="I735" s="91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2.75" customHeight="1" spans="1:26">
      <c r="A736" s="85"/>
      <c r="B736" s="85"/>
      <c r="C736" s="85"/>
      <c r="D736" s="85"/>
      <c r="E736" s="85"/>
      <c r="F736" s="85"/>
      <c r="G736" s="85"/>
      <c r="H736" s="85"/>
      <c r="I736" s="91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2.75" customHeight="1" spans="1:26">
      <c r="A737" s="85"/>
      <c r="B737" s="85"/>
      <c r="C737" s="85"/>
      <c r="D737" s="85"/>
      <c r="E737" s="85"/>
      <c r="F737" s="85"/>
      <c r="G737" s="85"/>
      <c r="H737" s="85"/>
      <c r="I737" s="91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2.75" customHeight="1" spans="1:26">
      <c r="A738" s="85"/>
      <c r="B738" s="85"/>
      <c r="C738" s="85"/>
      <c r="D738" s="85"/>
      <c r="E738" s="85"/>
      <c r="F738" s="85"/>
      <c r="G738" s="85"/>
      <c r="H738" s="85"/>
      <c r="I738" s="91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2.75" customHeight="1" spans="1:26">
      <c r="A739" s="85"/>
      <c r="B739" s="85"/>
      <c r="C739" s="85"/>
      <c r="D739" s="85"/>
      <c r="E739" s="85"/>
      <c r="F739" s="85"/>
      <c r="G739" s="85"/>
      <c r="H739" s="85"/>
      <c r="I739" s="91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2.75" customHeight="1" spans="1:26">
      <c r="A740" s="85"/>
      <c r="B740" s="85"/>
      <c r="C740" s="85"/>
      <c r="D740" s="85"/>
      <c r="E740" s="85"/>
      <c r="F740" s="85"/>
      <c r="G740" s="85"/>
      <c r="H740" s="85"/>
      <c r="I740" s="91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2.75" customHeight="1" spans="1:26">
      <c r="A741" s="85"/>
      <c r="B741" s="85"/>
      <c r="C741" s="85"/>
      <c r="D741" s="85"/>
      <c r="E741" s="85"/>
      <c r="F741" s="85"/>
      <c r="G741" s="85"/>
      <c r="H741" s="85"/>
      <c r="I741" s="91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2.75" customHeight="1" spans="1:26">
      <c r="A742" s="85"/>
      <c r="B742" s="85"/>
      <c r="C742" s="85"/>
      <c r="D742" s="85"/>
      <c r="E742" s="85"/>
      <c r="F742" s="85"/>
      <c r="G742" s="85"/>
      <c r="H742" s="85"/>
      <c r="I742" s="91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2.75" customHeight="1" spans="1:26">
      <c r="A743" s="85"/>
      <c r="B743" s="85"/>
      <c r="C743" s="85"/>
      <c r="D743" s="85"/>
      <c r="E743" s="85"/>
      <c r="F743" s="85"/>
      <c r="G743" s="85"/>
      <c r="H743" s="85"/>
      <c r="I743" s="91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2.75" customHeight="1" spans="1:26">
      <c r="A744" s="85"/>
      <c r="B744" s="85"/>
      <c r="C744" s="85"/>
      <c r="D744" s="85"/>
      <c r="E744" s="85"/>
      <c r="F744" s="85"/>
      <c r="G744" s="85"/>
      <c r="H744" s="85"/>
      <c r="I744" s="91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2.75" customHeight="1" spans="1:26">
      <c r="A745" s="85"/>
      <c r="B745" s="85"/>
      <c r="C745" s="85"/>
      <c r="D745" s="85"/>
      <c r="E745" s="85"/>
      <c r="F745" s="85"/>
      <c r="G745" s="85"/>
      <c r="H745" s="85"/>
      <c r="I745" s="91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2.75" customHeight="1" spans="1:26">
      <c r="A746" s="85"/>
      <c r="B746" s="85"/>
      <c r="C746" s="85"/>
      <c r="D746" s="85"/>
      <c r="E746" s="85"/>
      <c r="F746" s="85"/>
      <c r="G746" s="85"/>
      <c r="H746" s="85"/>
      <c r="I746" s="91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2.75" customHeight="1" spans="1:26">
      <c r="A747" s="85"/>
      <c r="B747" s="85"/>
      <c r="C747" s="85"/>
      <c r="D747" s="85"/>
      <c r="E747" s="85"/>
      <c r="F747" s="85"/>
      <c r="G747" s="85"/>
      <c r="H747" s="85"/>
      <c r="I747" s="91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2.75" customHeight="1" spans="1:26">
      <c r="A748" s="85"/>
      <c r="B748" s="85"/>
      <c r="C748" s="85"/>
      <c r="D748" s="85"/>
      <c r="E748" s="85"/>
      <c r="F748" s="85"/>
      <c r="G748" s="85"/>
      <c r="H748" s="85"/>
      <c r="I748" s="91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2.75" customHeight="1" spans="1:26">
      <c r="A749" s="85"/>
      <c r="B749" s="85"/>
      <c r="C749" s="85"/>
      <c r="D749" s="85"/>
      <c r="E749" s="85"/>
      <c r="F749" s="85"/>
      <c r="G749" s="85"/>
      <c r="H749" s="85"/>
      <c r="I749" s="91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2.75" customHeight="1" spans="1:26">
      <c r="A750" s="85"/>
      <c r="B750" s="85"/>
      <c r="C750" s="85"/>
      <c r="D750" s="85"/>
      <c r="E750" s="85"/>
      <c r="F750" s="85"/>
      <c r="G750" s="85"/>
      <c r="H750" s="85"/>
      <c r="I750" s="91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2.75" customHeight="1" spans="1:26">
      <c r="A751" s="85"/>
      <c r="B751" s="85"/>
      <c r="C751" s="85"/>
      <c r="D751" s="85"/>
      <c r="E751" s="85"/>
      <c r="F751" s="85"/>
      <c r="G751" s="85"/>
      <c r="H751" s="85"/>
      <c r="I751" s="91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2.75" customHeight="1" spans="1:26">
      <c r="A752" s="85"/>
      <c r="B752" s="85"/>
      <c r="C752" s="85"/>
      <c r="D752" s="85"/>
      <c r="E752" s="85"/>
      <c r="F752" s="85"/>
      <c r="G752" s="85"/>
      <c r="H752" s="85"/>
      <c r="I752" s="91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2.75" customHeight="1" spans="1:26">
      <c r="A753" s="85"/>
      <c r="B753" s="85"/>
      <c r="C753" s="85"/>
      <c r="D753" s="85"/>
      <c r="E753" s="85"/>
      <c r="F753" s="85"/>
      <c r="G753" s="85"/>
      <c r="H753" s="85"/>
      <c r="I753" s="91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2.75" customHeight="1" spans="1:26">
      <c r="A754" s="85"/>
      <c r="B754" s="85"/>
      <c r="C754" s="85"/>
      <c r="D754" s="85"/>
      <c r="E754" s="85"/>
      <c r="F754" s="85"/>
      <c r="G754" s="85"/>
      <c r="H754" s="85"/>
      <c r="I754" s="91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2.75" customHeight="1" spans="1:26">
      <c r="A755" s="85"/>
      <c r="B755" s="85"/>
      <c r="C755" s="85"/>
      <c r="D755" s="85"/>
      <c r="E755" s="85"/>
      <c r="F755" s="85"/>
      <c r="G755" s="85"/>
      <c r="H755" s="85"/>
      <c r="I755" s="91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2.75" customHeight="1" spans="1:26">
      <c r="A756" s="85"/>
      <c r="B756" s="85"/>
      <c r="C756" s="85"/>
      <c r="D756" s="85"/>
      <c r="E756" s="85"/>
      <c r="F756" s="85"/>
      <c r="G756" s="85"/>
      <c r="H756" s="85"/>
      <c r="I756" s="91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2.75" customHeight="1" spans="1:26">
      <c r="A757" s="85"/>
      <c r="B757" s="85"/>
      <c r="C757" s="85"/>
      <c r="D757" s="85"/>
      <c r="E757" s="85"/>
      <c r="F757" s="85"/>
      <c r="G757" s="85"/>
      <c r="H757" s="85"/>
      <c r="I757" s="91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2.75" customHeight="1" spans="1:26">
      <c r="A758" s="85"/>
      <c r="B758" s="85"/>
      <c r="C758" s="85"/>
      <c r="D758" s="85"/>
      <c r="E758" s="85"/>
      <c r="F758" s="85"/>
      <c r="G758" s="85"/>
      <c r="H758" s="85"/>
      <c r="I758" s="91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2.75" customHeight="1" spans="1:26">
      <c r="A759" s="85"/>
      <c r="B759" s="85"/>
      <c r="C759" s="85"/>
      <c r="D759" s="85"/>
      <c r="E759" s="85"/>
      <c r="F759" s="85"/>
      <c r="G759" s="85"/>
      <c r="H759" s="85"/>
      <c r="I759" s="91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2.75" customHeight="1" spans="1:26">
      <c r="A760" s="85"/>
      <c r="B760" s="85"/>
      <c r="C760" s="85"/>
      <c r="D760" s="85"/>
      <c r="E760" s="85"/>
      <c r="F760" s="85"/>
      <c r="G760" s="85"/>
      <c r="H760" s="85"/>
      <c r="I760" s="91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2.75" customHeight="1" spans="1:26">
      <c r="A761" s="85"/>
      <c r="B761" s="85"/>
      <c r="C761" s="85"/>
      <c r="D761" s="85"/>
      <c r="E761" s="85"/>
      <c r="F761" s="85"/>
      <c r="G761" s="85"/>
      <c r="H761" s="85"/>
      <c r="I761" s="91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2.75" customHeight="1" spans="1:26">
      <c r="A762" s="85"/>
      <c r="B762" s="85"/>
      <c r="C762" s="85"/>
      <c r="D762" s="85"/>
      <c r="E762" s="85"/>
      <c r="F762" s="85"/>
      <c r="G762" s="85"/>
      <c r="H762" s="85"/>
      <c r="I762" s="91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2.75" customHeight="1" spans="1:26">
      <c r="A763" s="85"/>
      <c r="B763" s="85"/>
      <c r="C763" s="85"/>
      <c r="D763" s="85"/>
      <c r="E763" s="85"/>
      <c r="F763" s="85"/>
      <c r="G763" s="85"/>
      <c r="H763" s="85"/>
      <c r="I763" s="91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2.75" customHeight="1" spans="1:26">
      <c r="A764" s="85"/>
      <c r="B764" s="85"/>
      <c r="C764" s="85"/>
      <c r="D764" s="85"/>
      <c r="E764" s="85"/>
      <c r="F764" s="85"/>
      <c r="G764" s="85"/>
      <c r="H764" s="85"/>
      <c r="I764" s="91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2.75" customHeight="1" spans="1:26">
      <c r="A765" s="85"/>
      <c r="B765" s="85"/>
      <c r="C765" s="85"/>
      <c r="D765" s="85"/>
      <c r="E765" s="85"/>
      <c r="F765" s="85"/>
      <c r="G765" s="85"/>
      <c r="H765" s="85"/>
      <c r="I765" s="91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2.75" customHeight="1" spans="1:26">
      <c r="A766" s="85"/>
      <c r="B766" s="85"/>
      <c r="C766" s="85"/>
      <c r="D766" s="85"/>
      <c r="E766" s="85"/>
      <c r="F766" s="85"/>
      <c r="G766" s="85"/>
      <c r="H766" s="85"/>
      <c r="I766" s="91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2.75" customHeight="1" spans="1:26">
      <c r="A767" s="85"/>
      <c r="B767" s="85"/>
      <c r="C767" s="85"/>
      <c r="D767" s="85"/>
      <c r="E767" s="85"/>
      <c r="F767" s="85"/>
      <c r="G767" s="85"/>
      <c r="H767" s="85"/>
      <c r="I767" s="91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2.75" customHeight="1" spans="1:26">
      <c r="A768" s="85"/>
      <c r="B768" s="85"/>
      <c r="C768" s="85"/>
      <c r="D768" s="85"/>
      <c r="E768" s="85"/>
      <c r="F768" s="85"/>
      <c r="G768" s="85"/>
      <c r="H768" s="85"/>
      <c r="I768" s="91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2.75" customHeight="1" spans="1:26">
      <c r="A769" s="85"/>
      <c r="B769" s="85"/>
      <c r="C769" s="85"/>
      <c r="D769" s="85"/>
      <c r="E769" s="85"/>
      <c r="F769" s="85"/>
      <c r="G769" s="85"/>
      <c r="H769" s="85"/>
      <c r="I769" s="91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2.75" customHeight="1" spans="1:26">
      <c r="A770" s="85"/>
      <c r="B770" s="85"/>
      <c r="C770" s="85"/>
      <c r="D770" s="85"/>
      <c r="E770" s="85"/>
      <c r="F770" s="85"/>
      <c r="G770" s="85"/>
      <c r="H770" s="85"/>
      <c r="I770" s="91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2.75" customHeight="1" spans="1:26">
      <c r="A771" s="85"/>
      <c r="B771" s="85"/>
      <c r="C771" s="85"/>
      <c r="D771" s="85"/>
      <c r="E771" s="85"/>
      <c r="F771" s="85"/>
      <c r="G771" s="85"/>
      <c r="H771" s="85"/>
      <c r="I771" s="91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2.75" customHeight="1" spans="1:26">
      <c r="A772" s="85"/>
      <c r="B772" s="85"/>
      <c r="C772" s="85"/>
      <c r="D772" s="85"/>
      <c r="E772" s="85"/>
      <c r="F772" s="85"/>
      <c r="G772" s="85"/>
      <c r="H772" s="85"/>
      <c r="I772" s="91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2.75" customHeight="1" spans="1:26">
      <c r="A773" s="85"/>
      <c r="B773" s="85"/>
      <c r="C773" s="85"/>
      <c r="D773" s="85"/>
      <c r="E773" s="85"/>
      <c r="F773" s="85"/>
      <c r="G773" s="85"/>
      <c r="H773" s="85"/>
      <c r="I773" s="91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2.75" customHeight="1" spans="1:26">
      <c r="A774" s="85"/>
      <c r="B774" s="85"/>
      <c r="C774" s="85"/>
      <c r="D774" s="85"/>
      <c r="E774" s="85"/>
      <c r="F774" s="85"/>
      <c r="G774" s="85"/>
      <c r="H774" s="85"/>
      <c r="I774" s="91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2.75" customHeight="1" spans="1:26">
      <c r="A775" s="85"/>
      <c r="B775" s="85"/>
      <c r="C775" s="85"/>
      <c r="D775" s="85"/>
      <c r="E775" s="85"/>
      <c r="F775" s="85"/>
      <c r="G775" s="85"/>
      <c r="H775" s="85"/>
      <c r="I775" s="91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2.75" customHeight="1" spans="1:26">
      <c r="A776" s="85"/>
      <c r="B776" s="85"/>
      <c r="C776" s="85"/>
      <c r="D776" s="85"/>
      <c r="E776" s="85"/>
      <c r="F776" s="85"/>
      <c r="G776" s="85"/>
      <c r="H776" s="85"/>
      <c r="I776" s="91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2.75" customHeight="1" spans="1:26">
      <c r="A777" s="85"/>
      <c r="B777" s="85"/>
      <c r="C777" s="85"/>
      <c r="D777" s="85"/>
      <c r="E777" s="85"/>
      <c r="F777" s="85"/>
      <c r="G777" s="85"/>
      <c r="H777" s="85"/>
      <c r="I777" s="91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2.75" customHeight="1" spans="1:26">
      <c r="A778" s="85"/>
      <c r="B778" s="85"/>
      <c r="C778" s="85"/>
      <c r="D778" s="85"/>
      <c r="E778" s="85"/>
      <c r="F778" s="85"/>
      <c r="G778" s="85"/>
      <c r="H778" s="85"/>
      <c r="I778" s="91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2.75" customHeight="1" spans="1:26">
      <c r="A779" s="85"/>
      <c r="B779" s="85"/>
      <c r="C779" s="85"/>
      <c r="D779" s="85"/>
      <c r="E779" s="85"/>
      <c r="F779" s="85"/>
      <c r="G779" s="85"/>
      <c r="H779" s="85"/>
      <c r="I779" s="91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2.75" customHeight="1" spans="1:26">
      <c r="A780" s="85"/>
      <c r="B780" s="85"/>
      <c r="C780" s="85"/>
      <c r="D780" s="85"/>
      <c r="E780" s="85"/>
      <c r="F780" s="85"/>
      <c r="G780" s="85"/>
      <c r="H780" s="85"/>
      <c r="I780" s="91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2.75" customHeight="1" spans="1:26">
      <c r="A781" s="85"/>
      <c r="B781" s="85"/>
      <c r="C781" s="85"/>
      <c r="D781" s="85"/>
      <c r="E781" s="85"/>
      <c r="F781" s="85"/>
      <c r="G781" s="85"/>
      <c r="H781" s="85"/>
      <c r="I781" s="91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2.75" customHeight="1" spans="1:26">
      <c r="A782" s="85"/>
      <c r="B782" s="85"/>
      <c r="C782" s="85"/>
      <c r="D782" s="85"/>
      <c r="E782" s="85"/>
      <c r="F782" s="85"/>
      <c r="G782" s="85"/>
      <c r="H782" s="85"/>
      <c r="I782" s="91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2.75" customHeight="1" spans="1:26">
      <c r="A783" s="85"/>
      <c r="B783" s="85"/>
      <c r="C783" s="85"/>
      <c r="D783" s="85"/>
      <c r="E783" s="85"/>
      <c r="F783" s="85"/>
      <c r="G783" s="85"/>
      <c r="H783" s="85"/>
      <c r="I783" s="91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2.75" customHeight="1" spans="1:26">
      <c r="A784" s="85"/>
      <c r="B784" s="85"/>
      <c r="C784" s="85"/>
      <c r="D784" s="85"/>
      <c r="E784" s="85"/>
      <c r="F784" s="85"/>
      <c r="G784" s="85"/>
      <c r="H784" s="85"/>
      <c r="I784" s="91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2.75" customHeight="1" spans="1:26">
      <c r="A785" s="85"/>
      <c r="B785" s="85"/>
      <c r="C785" s="85"/>
      <c r="D785" s="85"/>
      <c r="E785" s="85"/>
      <c r="F785" s="85"/>
      <c r="G785" s="85"/>
      <c r="H785" s="85"/>
      <c r="I785" s="91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2.75" customHeight="1" spans="1:26">
      <c r="A786" s="85"/>
      <c r="B786" s="85"/>
      <c r="C786" s="85"/>
      <c r="D786" s="85"/>
      <c r="E786" s="85"/>
      <c r="F786" s="85"/>
      <c r="G786" s="85"/>
      <c r="H786" s="85"/>
      <c r="I786" s="91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2.75" customHeight="1" spans="1:26">
      <c r="A787" s="85"/>
      <c r="B787" s="85"/>
      <c r="C787" s="85"/>
      <c r="D787" s="85"/>
      <c r="E787" s="85"/>
      <c r="F787" s="85"/>
      <c r="G787" s="85"/>
      <c r="H787" s="85"/>
      <c r="I787" s="91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2.75" customHeight="1" spans="1:26">
      <c r="A788" s="85"/>
      <c r="B788" s="85"/>
      <c r="C788" s="85"/>
      <c r="D788" s="85"/>
      <c r="E788" s="85"/>
      <c r="F788" s="85"/>
      <c r="G788" s="85"/>
      <c r="H788" s="85"/>
      <c r="I788" s="91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2.75" customHeight="1" spans="1:26">
      <c r="A789" s="85"/>
      <c r="B789" s="85"/>
      <c r="C789" s="85"/>
      <c r="D789" s="85"/>
      <c r="E789" s="85"/>
      <c r="F789" s="85"/>
      <c r="G789" s="85"/>
      <c r="H789" s="85"/>
      <c r="I789" s="91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2.75" customHeight="1" spans="1:26">
      <c r="A790" s="85"/>
      <c r="B790" s="85"/>
      <c r="C790" s="85"/>
      <c r="D790" s="85"/>
      <c r="E790" s="85"/>
      <c r="F790" s="85"/>
      <c r="G790" s="85"/>
      <c r="H790" s="85"/>
      <c r="I790" s="91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2.75" customHeight="1" spans="1:26">
      <c r="A791" s="85"/>
      <c r="B791" s="85"/>
      <c r="C791" s="85"/>
      <c r="D791" s="85"/>
      <c r="E791" s="85"/>
      <c r="F791" s="85"/>
      <c r="G791" s="85"/>
      <c r="H791" s="85"/>
      <c r="I791" s="91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2.75" customHeight="1" spans="1:26">
      <c r="A792" s="85"/>
      <c r="B792" s="85"/>
      <c r="C792" s="85"/>
      <c r="D792" s="85"/>
      <c r="E792" s="85"/>
      <c r="F792" s="85"/>
      <c r="G792" s="85"/>
      <c r="H792" s="85"/>
      <c r="I792" s="91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2.75" customHeight="1" spans="1:26">
      <c r="A793" s="85"/>
      <c r="B793" s="85"/>
      <c r="C793" s="85"/>
      <c r="D793" s="85"/>
      <c r="E793" s="85"/>
      <c r="F793" s="85"/>
      <c r="G793" s="85"/>
      <c r="H793" s="85"/>
      <c r="I793" s="91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2.75" customHeight="1" spans="1:26">
      <c r="A794" s="85"/>
      <c r="B794" s="85"/>
      <c r="C794" s="85"/>
      <c r="D794" s="85"/>
      <c r="E794" s="85"/>
      <c r="F794" s="85"/>
      <c r="G794" s="85"/>
      <c r="H794" s="85"/>
      <c r="I794" s="91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2.75" customHeight="1" spans="1:26">
      <c r="A795" s="85"/>
      <c r="B795" s="85"/>
      <c r="C795" s="85"/>
      <c r="D795" s="85"/>
      <c r="E795" s="85"/>
      <c r="F795" s="85"/>
      <c r="G795" s="85"/>
      <c r="H795" s="85"/>
      <c r="I795" s="91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2.75" customHeight="1" spans="1:26">
      <c r="A796" s="85"/>
      <c r="B796" s="85"/>
      <c r="C796" s="85"/>
      <c r="D796" s="85"/>
      <c r="E796" s="85"/>
      <c r="F796" s="85"/>
      <c r="G796" s="85"/>
      <c r="H796" s="85"/>
      <c r="I796" s="91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2.75" customHeight="1" spans="1:26">
      <c r="A797" s="85"/>
      <c r="B797" s="85"/>
      <c r="C797" s="85"/>
      <c r="D797" s="85"/>
      <c r="E797" s="85"/>
      <c r="F797" s="85"/>
      <c r="G797" s="85"/>
      <c r="H797" s="85"/>
      <c r="I797" s="91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2.75" customHeight="1" spans="1:26">
      <c r="A798" s="85"/>
      <c r="B798" s="85"/>
      <c r="C798" s="85"/>
      <c r="D798" s="85"/>
      <c r="E798" s="85"/>
      <c r="F798" s="85"/>
      <c r="G798" s="85"/>
      <c r="H798" s="85"/>
      <c r="I798" s="91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2.75" customHeight="1" spans="1:26">
      <c r="A799" s="85"/>
      <c r="B799" s="85"/>
      <c r="C799" s="85"/>
      <c r="D799" s="85"/>
      <c r="E799" s="85"/>
      <c r="F799" s="85"/>
      <c r="G799" s="85"/>
      <c r="H799" s="85"/>
      <c r="I799" s="91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2.75" customHeight="1" spans="1:26">
      <c r="A800" s="85"/>
      <c r="B800" s="85"/>
      <c r="C800" s="85"/>
      <c r="D800" s="85"/>
      <c r="E800" s="85"/>
      <c r="F800" s="85"/>
      <c r="G800" s="85"/>
      <c r="H800" s="85"/>
      <c r="I800" s="91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2.75" customHeight="1" spans="1:26">
      <c r="A801" s="85"/>
      <c r="B801" s="85"/>
      <c r="C801" s="85"/>
      <c r="D801" s="85"/>
      <c r="E801" s="85"/>
      <c r="F801" s="85"/>
      <c r="G801" s="85"/>
      <c r="H801" s="85"/>
      <c r="I801" s="91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2.75" customHeight="1" spans="1:26">
      <c r="A802" s="85"/>
      <c r="B802" s="85"/>
      <c r="C802" s="85"/>
      <c r="D802" s="85"/>
      <c r="E802" s="85"/>
      <c r="F802" s="85"/>
      <c r="G802" s="85"/>
      <c r="H802" s="85"/>
      <c r="I802" s="91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2.75" customHeight="1" spans="1:26">
      <c r="A803" s="85"/>
      <c r="B803" s="85"/>
      <c r="C803" s="85"/>
      <c r="D803" s="85"/>
      <c r="E803" s="85"/>
      <c r="F803" s="85"/>
      <c r="G803" s="85"/>
      <c r="H803" s="85"/>
      <c r="I803" s="91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2.75" customHeight="1" spans="1:26">
      <c r="A804" s="85"/>
      <c r="B804" s="85"/>
      <c r="C804" s="85"/>
      <c r="D804" s="85"/>
      <c r="E804" s="85"/>
      <c r="F804" s="85"/>
      <c r="G804" s="85"/>
      <c r="H804" s="85"/>
      <c r="I804" s="91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2.75" customHeight="1" spans="1:26">
      <c r="A805" s="85"/>
      <c r="B805" s="85"/>
      <c r="C805" s="85"/>
      <c r="D805" s="85"/>
      <c r="E805" s="85"/>
      <c r="F805" s="85"/>
      <c r="G805" s="85"/>
      <c r="H805" s="85"/>
      <c r="I805" s="91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2.75" customHeight="1" spans="1:26">
      <c r="A806" s="85"/>
      <c r="B806" s="85"/>
      <c r="C806" s="85"/>
      <c r="D806" s="85"/>
      <c r="E806" s="85"/>
      <c r="F806" s="85"/>
      <c r="G806" s="85"/>
      <c r="H806" s="85"/>
      <c r="I806" s="91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2.75" customHeight="1" spans="1:26">
      <c r="A807" s="85"/>
      <c r="B807" s="85"/>
      <c r="C807" s="85"/>
      <c r="D807" s="85"/>
      <c r="E807" s="85"/>
      <c r="F807" s="85"/>
      <c r="G807" s="85"/>
      <c r="H807" s="85"/>
      <c r="I807" s="91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2.75" customHeight="1" spans="1:26">
      <c r="A808" s="85"/>
      <c r="B808" s="85"/>
      <c r="C808" s="85"/>
      <c r="D808" s="85"/>
      <c r="E808" s="85"/>
      <c r="F808" s="85"/>
      <c r="G808" s="85"/>
      <c r="H808" s="85"/>
      <c r="I808" s="91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2.75" customHeight="1" spans="1:26">
      <c r="A809" s="85"/>
      <c r="B809" s="85"/>
      <c r="C809" s="85"/>
      <c r="D809" s="85"/>
      <c r="E809" s="85"/>
      <c r="F809" s="85"/>
      <c r="G809" s="85"/>
      <c r="H809" s="85"/>
      <c r="I809" s="91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2.75" customHeight="1" spans="1:26">
      <c r="A810" s="85"/>
      <c r="B810" s="85"/>
      <c r="C810" s="85"/>
      <c r="D810" s="85"/>
      <c r="E810" s="85"/>
      <c r="F810" s="85"/>
      <c r="G810" s="85"/>
      <c r="H810" s="85"/>
      <c r="I810" s="91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2.75" customHeight="1" spans="1:26">
      <c r="A811" s="85"/>
      <c r="B811" s="85"/>
      <c r="C811" s="85"/>
      <c r="D811" s="85"/>
      <c r="E811" s="85"/>
      <c r="F811" s="85"/>
      <c r="G811" s="85"/>
      <c r="H811" s="85"/>
      <c r="I811" s="91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2.75" customHeight="1" spans="1:26">
      <c r="A812" s="85"/>
      <c r="B812" s="85"/>
      <c r="C812" s="85"/>
      <c r="D812" s="85"/>
      <c r="E812" s="85"/>
      <c r="F812" s="85"/>
      <c r="G812" s="85"/>
      <c r="H812" s="85"/>
      <c r="I812" s="91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2.75" customHeight="1" spans="1:26">
      <c r="A813" s="85"/>
      <c r="B813" s="85"/>
      <c r="C813" s="85"/>
      <c r="D813" s="85"/>
      <c r="E813" s="85"/>
      <c r="F813" s="85"/>
      <c r="G813" s="85"/>
      <c r="H813" s="85"/>
      <c r="I813" s="91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2.75" customHeight="1" spans="1:26">
      <c r="A814" s="85"/>
      <c r="B814" s="85"/>
      <c r="C814" s="85"/>
      <c r="D814" s="85"/>
      <c r="E814" s="85"/>
      <c r="F814" s="85"/>
      <c r="G814" s="85"/>
      <c r="H814" s="85"/>
      <c r="I814" s="91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2.75" customHeight="1" spans="1:26">
      <c r="A815" s="85"/>
      <c r="B815" s="85"/>
      <c r="C815" s="85"/>
      <c r="D815" s="85"/>
      <c r="E815" s="85"/>
      <c r="F815" s="85"/>
      <c r="G815" s="85"/>
      <c r="H815" s="85"/>
      <c r="I815" s="91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2.75" customHeight="1" spans="1:26">
      <c r="A816" s="85"/>
      <c r="B816" s="85"/>
      <c r="C816" s="85"/>
      <c r="D816" s="85"/>
      <c r="E816" s="85"/>
      <c r="F816" s="85"/>
      <c r="G816" s="85"/>
      <c r="H816" s="85"/>
      <c r="I816" s="91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2.75" customHeight="1" spans="1:26">
      <c r="A817" s="85"/>
      <c r="B817" s="85"/>
      <c r="C817" s="85"/>
      <c r="D817" s="85"/>
      <c r="E817" s="85"/>
      <c r="F817" s="85"/>
      <c r="G817" s="85"/>
      <c r="H817" s="85"/>
      <c r="I817" s="91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2.75" customHeight="1" spans="1:26">
      <c r="A818" s="85"/>
      <c r="B818" s="85"/>
      <c r="C818" s="85"/>
      <c r="D818" s="85"/>
      <c r="E818" s="85"/>
      <c r="F818" s="85"/>
      <c r="G818" s="85"/>
      <c r="H818" s="85"/>
      <c r="I818" s="91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2.75" customHeight="1" spans="1:26">
      <c r="A819" s="85"/>
      <c r="B819" s="85"/>
      <c r="C819" s="85"/>
      <c r="D819" s="85"/>
      <c r="E819" s="85"/>
      <c r="F819" s="85"/>
      <c r="G819" s="85"/>
      <c r="H819" s="85"/>
      <c r="I819" s="91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2.75" customHeight="1" spans="1:26">
      <c r="A820" s="85"/>
      <c r="B820" s="85"/>
      <c r="C820" s="85"/>
      <c r="D820" s="85"/>
      <c r="E820" s="85"/>
      <c r="F820" s="85"/>
      <c r="G820" s="85"/>
      <c r="H820" s="85"/>
      <c r="I820" s="91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2.75" customHeight="1" spans="1:26">
      <c r="A821" s="85"/>
      <c r="B821" s="85"/>
      <c r="C821" s="85"/>
      <c r="D821" s="85"/>
      <c r="E821" s="85"/>
      <c r="F821" s="85"/>
      <c r="G821" s="85"/>
      <c r="H821" s="85"/>
      <c r="I821" s="91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2.75" customHeight="1" spans="1:26">
      <c r="A822" s="85"/>
      <c r="B822" s="85"/>
      <c r="C822" s="85"/>
      <c r="D822" s="85"/>
      <c r="E822" s="85"/>
      <c r="F822" s="85"/>
      <c r="G822" s="85"/>
      <c r="H822" s="85"/>
      <c r="I822" s="91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2.75" customHeight="1" spans="1:26">
      <c r="A823" s="85"/>
      <c r="B823" s="85"/>
      <c r="C823" s="85"/>
      <c r="D823" s="85"/>
      <c r="E823" s="85"/>
      <c r="F823" s="85"/>
      <c r="G823" s="85"/>
      <c r="H823" s="85"/>
      <c r="I823" s="91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2.75" customHeight="1" spans="1:26">
      <c r="A824" s="85"/>
      <c r="B824" s="85"/>
      <c r="C824" s="85"/>
      <c r="D824" s="85"/>
      <c r="E824" s="85"/>
      <c r="F824" s="85"/>
      <c r="G824" s="85"/>
      <c r="H824" s="85"/>
      <c r="I824" s="91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2.75" customHeight="1" spans="1:26">
      <c r="A825" s="85"/>
      <c r="B825" s="85"/>
      <c r="C825" s="85"/>
      <c r="D825" s="85"/>
      <c r="E825" s="85"/>
      <c r="F825" s="85"/>
      <c r="G825" s="85"/>
      <c r="H825" s="85"/>
      <c r="I825" s="91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2.75" customHeight="1" spans="1:26">
      <c r="A826" s="85"/>
      <c r="B826" s="85"/>
      <c r="C826" s="85"/>
      <c r="D826" s="85"/>
      <c r="E826" s="85"/>
      <c r="F826" s="85"/>
      <c r="G826" s="85"/>
      <c r="H826" s="85"/>
      <c r="I826" s="91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2.75" customHeight="1" spans="1:26">
      <c r="A827" s="85"/>
      <c r="B827" s="85"/>
      <c r="C827" s="85"/>
      <c r="D827" s="85"/>
      <c r="E827" s="85"/>
      <c r="F827" s="85"/>
      <c r="G827" s="85"/>
      <c r="H827" s="85"/>
      <c r="I827" s="91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2.75" customHeight="1" spans="1:26">
      <c r="A828" s="85"/>
      <c r="B828" s="85"/>
      <c r="C828" s="85"/>
      <c r="D828" s="85"/>
      <c r="E828" s="85"/>
      <c r="F828" s="85"/>
      <c r="G828" s="85"/>
      <c r="H828" s="85"/>
      <c r="I828" s="91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2.75" customHeight="1" spans="1:26">
      <c r="A829" s="85"/>
      <c r="B829" s="85"/>
      <c r="C829" s="85"/>
      <c r="D829" s="85"/>
      <c r="E829" s="85"/>
      <c r="F829" s="85"/>
      <c r="G829" s="85"/>
      <c r="H829" s="85"/>
      <c r="I829" s="91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2.75" customHeight="1" spans="1:26">
      <c r="A830" s="85"/>
      <c r="B830" s="85"/>
      <c r="C830" s="85"/>
      <c r="D830" s="85"/>
      <c r="E830" s="85"/>
      <c r="F830" s="85"/>
      <c r="G830" s="85"/>
      <c r="H830" s="85"/>
      <c r="I830" s="91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2.75" customHeight="1" spans="1:26">
      <c r="A831" s="85"/>
      <c r="B831" s="85"/>
      <c r="C831" s="85"/>
      <c r="D831" s="85"/>
      <c r="E831" s="85"/>
      <c r="F831" s="85"/>
      <c r="G831" s="85"/>
      <c r="H831" s="85"/>
      <c r="I831" s="91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2.75" customHeight="1" spans="1:26">
      <c r="A832" s="85"/>
      <c r="B832" s="85"/>
      <c r="C832" s="85"/>
      <c r="D832" s="85"/>
      <c r="E832" s="85"/>
      <c r="F832" s="85"/>
      <c r="G832" s="85"/>
      <c r="H832" s="85"/>
      <c r="I832" s="91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2.75" customHeight="1" spans="1:26">
      <c r="A833" s="85"/>
      <c r="B833" s="85"/>
      <c r="C833" s="85"/>
      <c r="D833" s="85"/>
      <c r="E833" s="85"/>
      <c r="F833" s="85"/>
      <c r="G833" s="85"/>
      <c r="H833" s="85"/>
      <c r="I833" s="91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2.75" customHeight="1" spans="1:26">
      <c r="A834" s="85"/>
      <c r="B834" s="85"/>
      <c r="C834" s="85"/>
      <c r="D834" s="85"/>
      <c r="E834" s="85"/>
      <c r="F834" s="85"/>
      <c r="G834" s="85"/>
      <c r="H834" s="85"/>
      <c r="I834" s="91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2.75" customHeight="1" spans="1:26">
      <c r="A835" s="85"/>
      <c r="B835" s="85"/>
      <c r="C835" s="85"/>
      <c r="D835" s="85"/>
      <c r="E835" s="85"/>
      <c r="F835" s="85"/>
      <c r="G835" s="85"/>
      <c r="H835" s="85"/>
      <c r="I835" s="91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2.75" customHeight="1" spans="1:26">
      <c r="A836" s="85"/>
      <c r="B836" s="85"/>
      <c r="C836" s="85"/>
      <c r="D836" s="85"/>
      <c r="E836" s="85"/>
      <c r="F836" s="85"/>
      <c r="G836" s="85"/>
      <c r="H836" s="85"/>
      <c r="I836" s="91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2.75" customHeight="1" spans="1:26">
      <c r="A837" s="85"/>
      <c r="B837" s="85"/>
      <c r="C837" s="85"/>
      <c r="D837" s="85"/>
      <c r="E837" s="85"/>
      <c r="F837" s="85"/>
      <c r="G837" s="85"/>
      <c r="H837" s="85"/>
      <c r="I837" s="91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2.75" customHeight="1" spans="1:26">
      <c r="A838" s="85"/>
      <c r="B838" s="85"/>
      <c r="C838" s="85"/>
      <c r="D838" s="85"/>
      <c r="E838" s="85"/>
      <c r="F838" s="85"/>
      <c r="G838" s="85"/>
      <c r="H838" s="85"/>
      <c r="I838" s="91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2.75" customHeight="1" spans="1:26">
      <c r="A839" s="85"/>
      <c r="B839" s="85"/>
      <c r="C839" s="85"/>
      <c r="D839" s="85"/>
      <c r="E839" s="85"/>
      <c r="F839" s="85"/>
      <c r="G839" s="85"/>
      <c r="H839" s="85"/>
      <c r="I839" s="91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2.75" customHeight="1" spans="1:26">
      <c r="A840" s="85"/>
      <c r="B840" s="85"/>
      <c r="C840" s="85"/>
      <c r="D840" s="85"/>
      <c r="E840" s="85"/>
      <c r="F840" s="85"/>
      <c r="G840" s="85"/>
      <c r="H840" s="85"/>
      <c r="I840" s="91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2.75" customHeight="1" spans="1:26">
      <c r="A841" s="85"/>
      <c r="B841" s="85"/>
      <c r="C841" s="85"/>
      <c r="D841" s="85"/>
      <c r="E841" s="85"/>
      <c r="F841" s="85"/>
      <c r="G841" s="85"/>
      <c r="H841" s="85"/>
      <c r="I841" s="91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2.75" customHeight="1" spans="1:26">
      <c r="A842" s="85"/>
      <c r="B842" s="85"/>
      <c r="C842" s="85"/>
      <c r="D842" s="85"/>
      <c r="E842" s="85"/>
      <c r="F842" s="85"/>
      <c r="G842" s="85"/>
      <c r="H842" s="85"/>
      <c r="I842" s="91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2.75" customHeight="1" spans="1:26">
      <c r="A843" s="85"/>
      <c r="B843" s="85"/>
      <c r="C843" s="85"/>
      <c r="D843" s="85"/>
      <c r="E843" s="85"/>
      <c r="F843" s="85"/>
      <c r="G843" s="85"/>
      <c r="H843" s="85"/>
      <c r="I843" s="91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2.75" customHeight="1" spans="1:26">
      <c r="A844" s="85"/>
      <c r="B844" s="85"/>
      <c r="C844" s="85"/>
      <c r="D844" s="85"/>
      <c r="E844" s="85"/>
      <c r="F844" s="85"/>
      <c r="G844" s="85"/>
      <c r="H844" s="85"/>
      <c r="I844" s="91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2.75" customHeight="1" spans="1:26">
      <c r="A845" s="85"/>
      <c r="B845" s="85"/>
      <c r="C845" s="85"/>
      <c r="D845" s="85"/>
      <c r="E845" s="85"/>
      <c r="F845" s="85"/>
      <c r="G845" s="85"/>
      <c r="H845" s="85"/>
      <c r="I845" s="91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2.75" customHeight="1" spans="1:26">
      <c r="A846" s="85"/>
      <c r="B846" s="85"/>
      <c r="C846" s="85"/>
      <c r="D846" s="85"/>
      <c r="E846" s="85"/>
      <c r="F846" s="85"/>
      <c r="G846" s="85"/>
      <c r="H846" s="85"/>
      <c r="I846" s="91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2.75" customHeight="1" spans="1:26">
      <c r="A847" s="85"/>
      <c r="B847" s="85"/>
      <c r="C847" s="85"/>
      <c r="D847" s="85"/>
      <c r="E847" s="85"/>
      <c r="F847" s="85"/>
      <c r="G847" s="85"/>
      <c r="H847" s="85"/>
      <c r="I847" s="91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2.75" customHeight="1" spans="1:26">
      <c r="A848" s="85"/>
      <c r="B848" s="85"/>
      <c r="C848" s="85"/>
      <c r="D848" s="85"/>
      <c r="E848" s="85"/>
      <c r="F848" s="85"/>
      <c r="G848" s="85"/>
      <c r="H848" s="85"/>
      <c r="I848" s="91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2.75" customHeight="1" spans="1:26">
      <c r="A849" s="85"/>
      <c r="B849" s="85"/>
      <c r="C849" s="85"/>
      <c r="D849" s="85"/>
      <c r="E849" s="85"/>
      <c r="F849" s="85"/>
      <c r="G849" s="85"/>
      <c r="H849" s="85"/>
      <c r="I849" s="91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2.75" customHeight="1" spans="1:26">
      <c r="A850" s="85"/>
      <c r="B850" s="85"/>
      <c r="C850" s="85"/>
      <c r="D850" s="85"/>
      <c r="E850" s="85"/>
      <c r="F850" s="85"/>
      <c r="G850" s="85"/>
      <c r="H850" s="85"/>
      <c r="I850" s="91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2.75" customHeight="1" spans="1:26">
      <c r="A851" s="85"/>
      <c r="B851" s="85"/>
      <c r="C851" s="85"/>
      <c r="D851" s="85"/>
      <c r="E851" s="85"/>
      <c r="F851" s="85"/>
      <c r="G851" s="85"/>
      <c r="H851" s="85"/>
      <c r="I851" s="91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2.75" customHeight="1" spans="1:26">
      <c r="A852" s="85"/>
      <c r="B852" s="85"/>
      <c r="C852" s="85"/>
      <c r="D852" s="85"/>
      <c r="E852" s="85"/>
      <c r="F852" s="85"/>
      <c r="G852" s="85"/>
      <c r="H852" s="85"/>
      <c r="I852" s="91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2.75" customHeight="1" spans="1:26">
      <c r="A853" s="85"/>
      <c r="B853" s="85"/>
      <c r="C853" s="85"/>
      <c r="D853" s="85"/>
      <c r="E853" s="85"/>
      <c r="F853" s="85"/>
      <c r="G853" s="85"/>
      <c r="H853" s="85"/>
      <c r="I853" s="91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2.75" customHeight="1" spans="1:26">
      <c r="A854" s="85"/>
      <c r="B854" s="85"/>
      <c r="C854" s="85"/>
      <c r="D854" s="85"/>
      <c r="E854" s="85"/>
      <c r="F854" s="85"/>
      <c r="G854" s="85"/>
      <c r="H854" s="85"/>
      <c r="I854" s="91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2.75" customHeight="1" spans="1:26">
      <c r="A855" s="85"/>
      <c r="B855" s="85"/>
      <c r="C855" s="85"/>
      <c r="D855" s="85"/>
      <c r="E855" s="85"/>
      <c r="F855" s="85"/>
      <c r="G855" s="85"/>
      <c r="H855" s="85"/>
      <c r="I855" s="91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2.75" customHeight="1" spans="1:26">
      <c r="A856" s="85"/>
      <c r="B856" s="85"/>
      <c r="C856" s="85"/>
      <c r="D856" s="85"/>
      <c r="E856" s="85"/>
      <c r="F856" s="85"/>
      <c r="G856" s="85"/>
      <c r="H856" s="85"/>
      <c r="I856" s="91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2.75" customHeight="1" spans="1:26">
      <c r="A857" s="85"/>
      <c r="B857" s="85"/>
      <c r="C857" s="85"/>
      <c r="D857" s="85"/>
      <c r="E857" s="85"/>
      <c r="F857" s="85"/>
      <c r="G857" s="85"/>
      <c r="H857" s="85"/>
      <c r="I857" s="91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2.75" customHeight="1" spans="1:26">
      <c r="A858" s="85"/>
      <c r="B858" s="85"/>
      <c r="C858" s="85"/>
      <c r="D858" s="85"/>
      <c r="E858" s="85"/>
      <c r="F858" s="85"/>
      <c r="G858" s="85"/>
      <c r="H858" s="85"/>
      <c r="I858" s="91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2.75" customHeight="1" spans="1:26">
      <c r="A859" s="85"/>
      <c r="B859" s="85"/>
      <c r="C859" s="85"/>
      <c r="D859" s="85"/>
      <c r="E859" s="85"/>
      <c r="F859" s="85"/>
      <c r="G859" s="85"/>
      <c r="H859" s="85"/>
      <c r="I859" s="91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2.75" customHeight="1" spans="1:26">
      <c r="A860" s="85"/>
      <c r="B860" s="85"/>
      <c r="C860" s="85"/>
      <c r="D860" s="85"/>
      <c r="E860" s="85"/>
      <c r="F860" s="85"/>
      <c r="G860" s="85"/>
      <c r="H860" s="85"/>
      <c r="I860" s="91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2.75" customHeight="1" spans="1:26">
      <c r="A861" s="85"/>
      <c r="B861" s="85"/>
      <c r="C861" s="85"/>
      <c r="D861" s="85"/>
      <c r="E861" s="85"/>
      <c r="F861" s="85"/>
      <c r="G861" s="85"/>
      <c r="H861" s="85"/>
      <c r="I861" s="91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2.75" customHeight="1" spans="1:26">
      <c r="A862" s="85"/>
      <c r="B862" s="85"/>
      <c r="C862" s="85"/>
      <c r="D862" s="85"/>
      <c r="E862" s="85"/>
      <c r="F862" s="85"/>
      <c r="G862" s="85"/>
      <c r="H862" s="85"/>
      <c r="I862" s="91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2.75" customHeight="1" spans="1:26">
      <c r="A863" s="85"/>
      <c r="B863" s="85"/>
      <c r="C863" s="85"/>
      <c r="D863" s="85"/>
      <c r="E863" s="85"/>
      <c r="F863" s="85"/>
      <c r="G863" s="85"/>
      <c r="H863" s="85"/>
      <c r="I863" s="91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2.75" customHeight="1" spans="1:26">
      <c r="A864" s="85"/>
      <c r="B864" s="85"/>
      <c r="C864" s="85"/>
      <c r="D864" s="85"/>
      <c r="E864" s="85"/>
      <c r="F864" s="85"/>
      <c r="G864" s="85"/>
      <c r="H864" s="85"/>
      <c r="I864" s="91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2.75" customHeight="1" spans="1:26">
      <c r="A865" s="85"/>
      <c r="B865" s="85"/>
      <c r="C865" s="85"/>
      <c r="D865" s="85"/>
      <c r="E865" s="85"/>
      <c r="F865" s="85"/>
      <c r="G865" s="85"/>
      <c r="H865" s="85"/>
      <c r="I865" s="91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2.75" customHeight="1" spans="1:26">
      <c r="A866" s="85"/>
      <c r="B866" s="85"/>
      <c r="C866" s="85"/>
      <c r="D866" s="85"/>
      <c r="E866" s="85"/>
      <c r="F866" s="85"/>
      <c r="G866" s="85"/>
      <c r="H866" s="85"/>
      <c r="I866" s="91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2.75" customHeight="1" spans="1:26">
      <c r="A867" s="85"/>
      <c r="B867" s="85"/>
      <c r="C867" s="85"/>
      <c r="D867" s="85"/>
      <c r="E867" s="85"/>
      <c r="F867" s="85"/>
      <c r="G867" s="85"/>
      <c r="H867" s="85"/>
      <c r="I867" s="91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2.75" customHeight="1" spans="1:26">
      <c r="A868" s="85"/>
      <c r="B868" s="85"/>
      <c r="C868" s="85"/>
      <c r="D868" s="85"/>
      <c r="E868" s="85"/>
      <c r="F868" s="85"/>
      <c r="G868" s="85"/>
      <c r="H868" s="85"/>
      <c r="I868" s="91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2.75" customHeight="1" spans="1:26">
      <c r="A869" s="85"/>
      <c r="B869" s="85"/>
      <c r="C869" s="85"/>
      <c r="D869" s="85"/>
      <c r="E869" s="85"/>
      <c r="F869" s="85"/>
      <c r="G869" s="85"/>
      <c r="H869" s="85"/>
      <c r="I869" s="91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ht="12.75" customHeight="1" spans="1:26">
      <c r="A870" s="85"/>
      <c r="B870" s="85"/>
      <c r="C870" s="85"/>
      <c r="D870" s="85"/>
      <c r="E870" s="85"/>
      <c r="F870" s="85"/>
      <c r="G870" s="85"/>
      <c r="H870" s="85"/>
      <c r="I870" s="91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 G8:G17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68"/>
  <sheetViews>
    <sheetView workbookViewId="0">
      <pane ySplit="8" topLeftCell="A9" activePane="bottomLeft" state="frozen"/>
      <selection/>
      <selection pane="bottomLeft" activeCell="D25" sqref="D25"/>
    </sheetView>
  </sheetViews>
  <sheetFormatPr defaultColWidth="12.6333333333333" defaultRowHeight="15" customHeight="1"/>
  <cols>
    <col min="1" max="1" width="18.75" style="125" customWidth="1"/>
    <col min="2" max="2" width="19.1333333333333" style="125" customWidth="1"/>
    <col min="3" max="3" width="25.6333333333333" style="125" customWidth="1"/>
    <col min="4" max="4" width="28.5" style="125" customWidth="1"/>
    <col min="5" max="5" width="28.1333333333333" style="125" customWidth="1"/>
    <col min="6" max="6" width="28.3833333333333" style="125" customWidth="1"/>
    <col min="7" max="7" width="9" style="125" customWidth="1"/>
    <col min="8" max="8" width="17.6333333333333" style="125" customWidth="1"/>
    <col min="9" max="9" width="8.13333333333333" style="125" customWidth="1"/>
    <col min="10" max="10" width="3.88333333333333" style="125" hidden="1" customWidth="1"/>
    <col min="11" max="26" width="10" style="125" customWidth="1"/>
    <col min="27" max="16384" width="12.6333333333333" style="125"/>
  </cols>
  <sheetData>
    <row r="1" ht="12.75" customHeight="1" spans="1:26">
      <c r="A1" s="126"/>
      <c r="B1" s="127"/>
      <c r="C1" s="127"/>
      <c r="D1" s="127"/>
      <c r="E1" s="127"/>
      <c r="F1" s="128"/>
      <c r="G1" s="129"/>
      <c r="H1" s="130"/>
      <c r="I1" s="147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 customHeight="1" spans="1:26">
      <c r="A2" s="59" t="s">
        <v>54</v>
      </c>
      <c r="B2" s="60" t="s">
        <v>141</v>
      </c>
      <c r="C2" s="131"/>
      <c r="D2" s="131"/>
      <c r="E2" s="131"/>
      <c r="F2" s="132"/>
      <c r="G2" s="130"/>
      <c r="H2" s="130"/>
      <c r="I2" s="147"/>
      <c r="J2" s="139" t="s">
        <v>55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</row>
    <row r="3" ht="25.5" customHeight="1" spans="1:26">
      <c r="A3" s="63" t="s">
        <v>56</v>
      </c>
      <c r="B3" s="60" t="s">
        <v>142</v>
      </c>
      <c r="C3" s="131"/>
      <c r="D3" s="131"/>
      <c r="E3" s="131"/>
      <c r="F3" s="132"/>
      <c r="G3" s="130"/>
      <c r="H3" s="130"/>
      <c r="I3" s="147"/>
      <c r="J3" s="139" t="s">
        <v>58</v>
      </c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</row>
    <row r="4" ht="18" customHeight="1" spans="1:26">
      <c r="A4" s="59" t="s">
        <v>59</v>
      </c>
      <c r="B4" s="64" t="s">
        <v>34</v>
      </c>
      <c r="C4" s="133"/>
      <c r="D4" s="133"/>
      <c r="E4" s="133"/>
      <c r="F4" s="134"/>
      <c r="G4" s="130"/>
      <c r="H4" s="130"/>
      <c r="I4" s="147"/>
      <c r="J4" s="148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</row>
    <row r="5" ht="19.5" customHeight="1" spans="1:26">
      <c r="A5" s="135" t="s">
        <v>55</v>
      </c>
      <c r="B5" s="136" t="s">
        <v>58</v>
      </c>
      <c r="C5" s="136" t="s">
        <v>60</v>
      </c>
      <c r="D5" s="137" t="s">
        <v>61</v>
      </c>
      <c r="E5" s="137" t="s">
        <v>62</v>
      </c>
      <c r="F5" s="132"/>
      <c r="G5" s="130"/>
      <c r="H5" s="130"/>
      <c r="I5" s="147"/>
      <c r="J5" s="139" t="s">
        <v>63</v>
      </c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</row>
    <row r="6" customHeight="1" spans="1:26">
      <c r="A6" s="71">
        <f>COUNTIF(F10:G866,"Pass")</f>
        <v>5</v>
      </c>
      <c r="B6" s="72">
        <f>COUNTIF(F10:G866,"Fail")</f>
        <v>0</v>
      </c>
      <c r="C6" s="72">
        <f>E6-D6-B6-A6</f>
        <v>0</v>
      </c>
      <c r="D6" s="73">
        <f>COUNTIF(F$9:F$866,"N/A")</f>
        <v>0</v>
      </c>
      <c r="E6" s="74">
        <f>COUNTA(A9:A866)</f>
        <v>5</v>
      </c>
      <c r="F6" s="138"/>
      <c r="G6" s="130"/>
      <c r="H6" s="130"/>
      <c r="I6" s="147"/>
      <c r="J6" s="139" t="s">
        <v>61</v>
      </c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</row>
    <row r="7" customHeight="1" spans="1:26">
      <c r="A7" s="139"/>
      <c r="B7" s="139"/>
      <c r="C7" s="139"/>
      <c r="D7" s="140"/>
      <c r="E7" s="140"/>
      <c r="F7" s="130"/>
      <c r="G7" s="130"/>
      <c r="H7" s="130"/>
      <c r="I7" s="147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</row>
    <row r="8" ht="25.5" customHeight="1" spans="1:26">
      <c r="A8" s="141" t="s">
        <v>64</v>
      </c>
      <c r="B8" s="141" t="s">
        <v>65</v>
      </c>
      <c r="C8" s="141" t="s">
        <v>66</v>
      </c>
      <c r="D8" s="141" t="s">
        <v>67</v>
      </c>
      <c r="E8" s="141" t="s">
        <v>68</v>
      </c>
      <c r="F8" s="142" t="s">
        <v>69</v>
      </c>
      <c r="G8" s="142" t="s">
        <v>70</v>
      </c>
      <c r="H8" s="142" t="s">
        <v>71</v>
      </c>
      <c r="I8" s="141" t="s">
        <v>72</v>
      </c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</row>
    <row r="9" ht="13.5" spans="1:26">
      <c r="A9" s="80"/>
      <c r="B9" s="81" t="s">
        <v>73</v>
      </c>
      <c r="C9" s="80"/>
      <c r="D9" s="80"/>
      <c r="E9" s="80"/>
      <c r="F9" s="80"/>
      <c r="G9" s="80"/>
      <c r="H9" s="80"/>
      <c r="I9" s="8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</row>
    <row r="10" ht="25.5" spans="1:26">
      <c r="A10" s="143" t="str">
        <f>IF(OR(B10&lt;&gt;"",E10&lt;&gt;""),"["&amp;TEXT($B$2,"##")&amp;"-"&amp;TEXT(ROW()-9,"##")&amp;"]","")</f>
        <v>[M_Them_thanh_pho-1]</v>
      </c>
      <c r="B10" s="143" t="s">
        <v>143</v>
      </c>
      <c r="C10" s="143" t="s">
        <v>144</v>
      </c>
      <c r="D10" s="143" t="s">
        <v>145</v>
      </c>
      <c r="E10" s="143" t="s">
        <v>146</v>
      </c>
      <c r="F10" s="144"/>
      <c r="G10" s="143" t="s">
        <v>55</v>
      </c>
      <c r="H10" s="84">
        <v>45992</v>
      </c>
      <c r="I10" s="143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</row>
    <row r="11" ht="54" customHeight="1" spans="1:26">
      <c r="A11" s="143" t="str">
        <f>IF(OR(B11&lt;&gt;"",E11&lt;&gt;""),"["&amp;TEXT($B$2,"##")&amp;"-"&amp;TEXT(ROW()-9,"##")&amp;"]","")</f>
        <v>[M_Them_thanh_pho-2]</v>
      </c>
      <c r="B11" s="143" t="s">
        <v>147</v>
      </c>
      <c r="C11" s="143" t="s">
        <v>148</v>
      </c>
      <c r="D11" s="143" t="s">
        <v>149</v>
      </c>
      <c r="E11" s="143" t="s">
        <v>150</v>
      </c>
      <c r="F11" s="144"/>
      <c r="G11" s="143" t="s">
        <v>55</v>
      </c>
      <c r="H11" s="84">
        <v>45992</v>
      </c>
      <c r="I11" s="143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</row>
    <row r="12" ht="13.5" spans="1:26">
      <c r="A12" s="80"/>
      <c r="B12" s="81" t="s">
        <v>80</v>
      </c>
      <c r="C12" s="80"/>
      <c r="D12" s="80"/>
      <c r="E12" s="80"/>
      <c r="F12" s="80"/>
      <c r="G12" s="80"/>
      <c r="H12" s="80"/>
      <c r="I12" s="8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</row>
    <row r="13" ht="38.25" spans="1:26">
      <c r="A13" s="143" t="str">
        <f>IF(OR(B13&lt;&gt;"",E13&lt;&gt;""),"["&amp;TEXT($B$2,"##")&amp;"-"&amp;TEXT(ROW()-10,"##")&amp;"]","")</f>
        <v>[M_Them_thanh_pho-3]</v>
      </c>
      <c r="B13" s="143" t="s">
        <v>151</v>
      </c>
      <c r="C13" s="143" t="s">
        <v>144</v>
      </c>
      <c r="D13" s="143" t="s">
        <v>152</v>
      </c>
      <c r="E13" s="143" t="s">
        <v>153</v>
      </c>
      <c r="F13" s="144" t="s">
        <v>154</v>
      </c>
      <c r="G13" s="143" t="s">
        <v>55</v>
      </c>
      <c r="H13" s="84">
        <v>45992</v>
      </c>
      <c r="I13" s="149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</row>
    <row r="14" ht="25.5" spans="1:26">
      <c r="A14" s="143" t="str">
        <f>IF(OR(B14&lt;&gt;"",E14&lt;&gt;""),"["&amp;TEXT($B$2,"##")&amp;"-"&amp;TEXT(ROW()-10,"##")&amp;"]","")</f>
        <v>[M_Them_thanh_pho-4]</v>
      </c>
      <c r="B14" s="143" t="s">
        <v>155</v>
      </c>
      <c r="C14" s="143" t="s">
        <v>144</v>
      </c>
      <c r="D14" s="143" t="s">
        <v>156</v>
      </c>
      <c r="E14" s="143" t="s">
        <v>157</v>
      </c>
      <c r="F14" s="145" t="s">
        <v>158</v>
      </c>
      <c r="G14" s="143" t="s">
        <v>55</v>
      </c>
      <c r="H14" s="84">
        <v>45992</v>
      </c>
      <c r="I14" s="143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</row>
    <row r="15" ht="38.25" spans="1:26">
      <c r="A15" s="143" t="str">
        <f>IF(OR(B15&lt;&gt;"",E15&lt;&gt;""),"["&amp;TEXT($B$2,"##")&amp;"-"&amp;TEXT(ROW()-10,"##")&amp;"]","")</f>
        <v>[M_Them_thanh_pho-5]</v>
      </c>
      <c r="B15" s="143" t="s">
        <v>159</v>
      </c>
      <c r="C15" s="143" t="s">
        <v>144</v>
      </c>
      <c r="D15" s="143" t="s">
        <v>160</v>
      </c>
      <c r="E15" s="143" t="s">
        <v>161</v>
      </c>
      <c r="F15" s="144" t="s">
        <v>162</v>
      </c>
      <c r="G15" s="143" t="s">
        <v>55</v>
      </c>
      <c r="H15" s="84">
        <v>45992</v>
      </c>
      <c r="I15" s="149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</row>
    <row r="16" ht="12.75" customHeight="1" spans="1:26">
      <c r="A16" s="146"/>
      <c r="B16" s="146"/>
      <c r="C16" s="146"/>
      <c r="D16" s="146"/>
      <c r="E16" s="146"/>
      <c r="F16" s="146"/>
      <c r="G16" s="146"/>
      <c r="H16" s="146"/>
      <c r="I16" s="150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</row>
    <row r="17" ht="12.75" customHeight="1" spans="1:26">
      <c r="A17" s="146"/>
      <c r="B17" s="146"/>
      <c r="C17" s="146"/>
      <c r="D17" s="146"/>
      <c r="E17" s="146"/>
      <c r="F17" s="146"/>
      <c r="G17" s="146"/>
      <c r="H17" s="146"/>
      <c r="I17" s="150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</row>
    <row r="18" ht="12.75" customHeight="1" spans="1:26">
      <c r="A18" s="146"/>
      <c r="B18" s="146"/>
      <c r="C18" s="146"/>
      <c r="D18" s="146"/>
      <c r="E18" s="146"/>
      <c r="F18" s="146"/>
      <c r="G18" s="146"/>
      <c r="H18" s="146"/>
      <c r="I18" s="150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</row>
    <row r="19" ht="12.75" customHeight="1" spans="1:26">
      <c r="A19" s="146"/>
      <c r="B19" s="146"/>
      <c r="C19" s="146"/>
      <c r="D19" s="146"/>
      <c r="E19" s="146"/>
      <c r="F19" s="146"/>
      <c r="G19" s="146"/>
      <c r="H19" s="146"/>
      <c r="I19" s="150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</row>
    <row r="20" ht="12.75" customHeight="1" spans="1:26">
      <c r="A20" s="146"/>
      <c r="B20" s="146"/>
      <c r="C20" s="146"/>
      <c r="D20" s="146"/>
      <c r="E20" s="146"/>
      <c r="F20" s="146"/>
      <c r="G20" s="146"/>
      <c r="H20" s="146"/>
      <c r="I20" s="150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</row>
    <row r="21" ht="12.75" customHeight="1" spans="1:26">
      <c r="A21" s="146"/>
      <c r="B21" s="146"/>
      <c r="C21" s="146"/>
      <c r="D21" s="146"/>
      <c r="E21" s="146"/>
      <c r="F21" s="146"/>
      <c r="G21" s="146"/>
      <c r="H21" s="146"/>
      <c r="I21" s="150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</row>
    <row r="22" ht="12.75" customHeight="1" spans="1:26">
      <c r="A22" s="146"/>
      <c r="B22" s="146"/>
      <c r="C22" s="146"/>
      <c r="D22" s="146"/>
      <c r="E22" s="146"/>
      <c r="F22" s="146"/>
      <c r="G22" s="146"/>
      <c r="H22" s="146"/>
      <c r="I22" s="150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</row>
    <row r="23" ht="12.75" customHeight="1" spans="1:26">
      <c r="A23" s="146"/>
      <c r="B23" s="146"/>
      <c r="C23" s="146"/>
      <c r="D23" s="146"/>
      <c r="E23" s="146"/>
      <c r="F23" s="146"/>
      <c r="G23" s="146"/>
      <c r="H23" s="146"/>
      <c r="I23" s="150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</row>
    <row r="24" ht="12.75" customHeight="1" spans="1:26">
      <c r="A24" s="146"/>
      <c r="B24" s="146"/>
      <c r="C24" s="146"/>
      <c r="D24" s="146"/>
      <c r="E24" s="146"/>
      <c r="F24" s="146"/>
      <c r="G24" s="146"/>
      <c r="H24" s="146"/>
      <c r="I24" s="150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</row>
    <row r="25" ht="12.75" customHeight="1" spans="1:26">
      <c r="A25" s="146"/>
      <c r="B25" s="146"/>
      <c r="C25" s="146"/>
      <c r="D25" s="146"/>
      <c r="E25" s="146"/>
      <c r="F25" s="146"/>
      <c r="G25" s="146"/>
      <c r="H25" s="146"/>
      <c r="I25" s="150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 ht="12.75" customHeight="1" spans="1:26">
      <c r="A26" s="146"/>
      <c r="B26" s="146"/>
      <c r="C26" s="146"/>
      <c r="D26" s="146"/>
      <c r="E26" s="146"/>
      <c r="F26" s="146"/>
      <c r="G26" s="146"/>
      <c r="H26" s="146"/>
      <c r="I26" s="150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</row>
    <row r="27" ht="12.75" customHeight="1" spans="1:26">
      <c r="A27" s="146"/>
      <c r="B27" s="146"/>
      <c r="C27" s="146"/>
      <c r="D27" s="146"/>
      <c r="E27" s="146"/>
      <c r="F27" s="146"/>
      <c r="G27" s="146"/>
      <c r="H27" s="146"/>
      <c r="I27" s="150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</row>
    <row r="28" ht="12.75" customHeight="1" spans="1:26">
      <c r="A28" s="146"/>
      <c r="B28" s="146"/>
      <c r="C28" s="146"/>
      <c r="D28" s="146"/>
      <c r="E28" s="146"/>
      <c r="F28" s="146"/>
      <c r="G28" s="146"/>
      <c r="H28" s="146"/>
      <c r="I28" s="150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</row>
    <row r="29" ht="12.75" customHeight="1" spans="1:26">
      <c r="A29" s="146"/>
      <c r="B29" s="146"/>
      <c r="C29" s="146"/>
      <c r="D29" s="146"/>
      <c r="E29" s="146"/>
      <c r="F29" s="146"/>
      <c r="G29" s="146"/>
      <c r="H29" s="146"/>
      <c r="I29" s="150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</row>
    <row r="30" ht="12.75" customHeight="1" spans="1:26">
      <c r="A30" s="146"/>
      <c r="B30" s="146"/>
      <c r="C30" s="146"/>
      <c r="D30" s="146"/>
      <c r="E30" s="146"/>
      <c r="F30" s="146"/>
      <c r="G30" s="146"/>
      <c r="H30" s="146"/>
      <c r="I30" s="150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 ht="12.75" customHeight="1" spans="1:26">
      <c r="A31" s="146"/>
      <c r="B31" s="146"/>
      <c r="C31" s="146"/>
      <c r="D31" s="146"/>
      <c r="E31" s="146"/>
      <c r="F31" s="146"/>
      <c r="G31" s="146"/>
      <c r="H31" s="146"/>
      <c r="I31" s="150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</row>
    <row r="32" ht="12.75" customHeight="1" spans="1:26">
      <c r="A32" s="146"/>
      <c r="B32" s="146"/>
      <c r="C32" s="146"/>
      <c r="D32" s="146"/>
      <c r="E32" s="146"/>
      <c r="F32" s="146"/>
      <c r="G32" s="146"/>
      <c r="H32" s="146"/>
      <c r="I32" s="150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</row>
    <row r="33" ht="12.75" customHeight="1" spans="1:26">
      <c r="A33" s="146"/>
      <c r="B33" s="146"/>
      <c r="C33" s="146"/>
      <c r="D33" s="146"/>
      <c r="E33" s="146"/>
      <c r="F33" s="146"/>
      <c r="G33" s="146"/>
      <c r="H33" s="146"/>
      <c r="I33" s="150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 ht="12.75" customHeight="1" spans="1:26">
      <c r="A34" s="146"/>
      <c r="B34" s="146"/>
      <c r="C34" s="146"/>
      <c r="D34" s="146"/>
      <c r="E34" s="146"/>
      <c r="F34" s="146"/>
      <c r="G34" s="146"/>
      <c r="H34" s="146"/>
      <c r="I34" s="150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 ht="12.75" customHeight="1" spans="1:26">
      <c r="A35" s="146"/>
      <c r="B35" s="146"/>
      <c r="C35" s="146"/>
      <c r="D35" s="146"/>
      <c r="E35" s="146"/>
      <c r="F35" s="146"/>
      <c r="G35" s="146"/>
      <c r="H35" s="146"/>
      <c r="I35" s="150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 ht="12.75" customHeight="1" spans="1:26">
      <c r="A36" s="146"/>
      <c r="B36" s="146"/>
      <c r="C36" s="146"/>
      <c r="D36" s="146"/>
      <c r="E36" s="146"/>
      <c r="F36" s="146"/>
      <c r="G36" s="146"/>
      <c r="H36" s="146"/>
      <c r="I36" s="150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 ht="12.75" customHeight="1" spans="1:26">
      <c r="A37" s="146"/>
      <c r="B37" s="146"/>
      <c r="C37" s="146"/>
      <c r="D37" s="146"/>
      <c r="E37" s="146"/>
      <c r="F37" s="146"/>
      <c r="G37" s="146"/>
      <c r="H37" s="146"/>
      <c r="I37" s="150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</row>
    <row r="38" ht="12.75" customHeight="1" spans="1:26">
      <c r="A38" s="146"/>
      <c r="B38" s="146"/>
      <c r="C38" s="146"/>
      <c r="D38" s="146"/>
      <c r="E38" s="146"/>
      <c r="F38" s="146"/>
      <c r="G38" s="146"/>
      <c r="H38" s="146"/>
      <c r="I38" s="150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</row>
    <row r="39" ht="12.75" customHeight="1" spans="1:26">
      <c r="A39" s="146"/>
      <c r="B39" s="146"/>
      <c r="C39" s="146"/>
      <c r="D39" s="146"/>
      <c r="E39" s="146"/>
      <c r="F39" s="146"/>
      <c r="G39" s="146"/>
      <c r="H39" s="146"/>
      <c r="I39" s="150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 ht="12.75" customHeight="1" spans="1:26">
      <c r="A40" s="146"/>
      <c r="B40" s="146"/>
      <c r="C40" s="146"/>
      <c r="D40" s="146"/>
      <c r="E40" s="146"/>
      <c r="F40" s="146"/>
      <c r="G40" s="146"/>
      <c r="H40" s="146"/>
      <c r="I40" s="150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</row>
    <row r="41" ht="12.75" customHeight="1" spans="1:26">
      <c r="A41" s="146"/>
      <c r="B41" s="146"/>
      <c r="C41" s="146"/>
      <c r="D41" s="146"/>
      <c r="E41" s="146"/>
      <c r="F41" s="146"/>
      <c r="G41" s="146"/>
      <c r="H41" s="146"/>
      <c r="I41" s="150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</row>
    <row r="42" ht="12.75" customHeight="1" spans="1:26">
      <c r="A42" s="146"/>
      <c r="B42" s="146"/>
      <c r="C42" s="146"/>
      <c r="D42" s="146"/>
      <c r="E42" s="146"/>
      <c r="F42" s="146"/>
      <c r="G42" s="146"/>
      <c r="H42" s="146"/>
      <c r="I42" s="150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</row>
    <row r="43" ht="12.75" customHeight="1" spans="1:26">
      <c r="A43" s="146"/>
      <c r="B43" s="146"/>
      <c r="C43" s="146"/>
      <c r="D43" s="146"/>
      <c r="E43" s="146"/>
      <c r="F43" s="146"/>
      <c r="G43" s="146"/>
      <c r="H43" s="146"/>
      <c r="I43" s="150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</row>
    <row r="44" ht="12.75" customHeight="1" spans="1:26">
      <c r="A44" s="146"/>
      <c r="B44" s="146"/>
      <c r="C44" s="146"/>
      <c r="D44" s="146"/>
      <c r="E44" s="146"/>
      <c r="F44" s="146"/>
      <c r="G44" s="146"/>
      <c r="H44" s="146"/>
      <c r="I44" s="150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</row>
    <row r="45" ht="12.75" customHeight="1" spans="1:26">
      <c r="A45" s="146"/>
      <c r="B45" s="146"/>
      <c r="C45" s="146"/>
      <c r="D45" s="146"/>
      <c r="E45" s="146"/>
      <c r="F45" s="146"/>
      <c r="G45" s="146"/>
      <c r="H45" s="146"/>
      <c r="I45" s="150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</row>
    <row r="46" ht="12.75" customHeight="1" spans="1:26">
      <c r="A46" s="146"/>
      <c r="B46" s="146"/>
      <c r="C46" s="146"/>
      <c r="D46" s="146"/>
      <c r="E46" s="146"/>
      <c r="F46" s="146"/>
      <c r="G46" s="146"/>
      <c r="H46" s="146"/>
      <c r="I46" s="150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</row>
    <row r="47" ht="12.75" customHeight="1" spans="1:26">
      <c r="A47" s="146"/>
      <c r="B47" s="146"/>
      <c r="C47" s="146"/>
      <c r="D47" s="146"/>
      <c r="E47" s="146"/>
      <c r="F47" s="146"/>
      <c r="G47" s="146"/>
      <c r="H47" s="146"/>
      <c r="I47" s="150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 ht="12.75" customHeight="1" spans="1:26">
      <c r="A48" s="146"/>
      <c r="B48" s="146"/>
      <c r="C48" s="146"/>
      <c r="D48" s="146"/>
      <c r="E48" s="146"/>
      <c r="F48" s="146"/>
      <c r="G48" s="146"/>
      <c r="H48" s="146"/>
      <c r="I48" s="150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</row>
    <row r="49" ht="12.75" customHeight="1" spans="1:26">
      <c r="A49" s="146"/>
      <c r="B49" s="146"/>
      <c r="C49" s="146"/>
      <c r="D49" s="146"/>
      <c r="E49" s="146"/>
      <c r="F49" s="146"/>
      <c r="G49" s="146"/>
      <c r="H49" s="146"/>
      <c r="I49" s="150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</row>
    <row r="50" ht="12.75" customHeight="1" spans="1:26">
      <c r="A50" s="146"/>
      <c r="B50" s="146"/>
      <c r="C50" s="146"/>
      <c r="D50" s="146"/>
      <c r="E50" s="146"/>
      <c r="F50" s="146"/>
      <c r="G50" s="146"/>
      <c r="H50" s="146"/>
      <c r="I50" s="150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</row>
    <row r="51" ht="12.75" customHeight="1" spans="1:26">
      <c r="A51" s="146"/>
      <c r="B51" s="146"/>
      <c r="C51" s="146"/>
      <c r="D51" s="146"/>
      <c r="E51" s="146"/>
      <c r="F51" s="146"/>
      <c r="G51" s="146"/>
      <c r="H51" s="146"/>
      <c r="I51" s="150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 ht="12.75" customHeight="1" spans="1:26">
      <c r="A52" s="146"/>
      <c r="B52" s="146"/>
      <c r="C52" s="146"/>
      <c r="D52" s="146"/>
      <c r="E52" s="146"/>
      <c r="F52" s="146"/>
      <c r="G52" s="146"/>
      <c r="H52" s="146"/>
      <c r="I52" s="150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</row>
    <row r="53" ht="12.75" customHeight="1" spans="1:26">
      <c r="A53" s="146"/>
      <c r="B53" s="146"/>
      <c r="C53" s="146"/>
      <c r="D53" s="146"/>
      <c r="E53" s="146"/>
      <c r="F53" s="146"/>
      <c r="G53" s="146"/>
      <c r="H53" s="146"/>
      <c r="I53" s="150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</row>
    <row r="54" ht="12.75" customHeight="1" spans="1:26">
      <c r="A54" s="146"/>
      <c r="B54" s="146"/>
      <c r="C54" s="146"/>
      <c r="D54" s="146"/>
      <c r="E54" s="146"/>
      <c r="F54" s="146"/>
      <c r="G54" s="146"/>
      <c r="H54" s="146"/>
      <c r="I54" s="150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</row>
    <row r="55" ht="12.75" customHeight="1" spans="1:26">
      <c r="A55" s="146"/>
      <c r="B55" s="146"/>
      <c r="C55" s="146"/>
      <c r="D55" s="146"/>
      <c r="E55" s="146"/>
      <c r="F55" s="146"/>
      <c r="G55" s="146"/>
      <c r="H55" s="146"/>
      <c r="I55" s="150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</row>
    <row r="56" ht="12.75" customHeight="1" spans="1:26">
      <c r="A56" s="146"/>
      <c r="B56" s="146"/>
      <c r="C56" s="146"/>
      <c r="D56" s="146"/>
      <c r="E56" s="146"/>
      <c r="F56" s="146"/>
      <c r="G56" s="146"/>
      <c r="H56" s="146"/>
      <c r="I56" s="150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</row>
    <row r="57" ht="12.75" customHeight="1" spans="1:26">
      <c r="A57" s="146"/>
      <c r="B57" s="146"/>
      <c r="C57" s="146"/>
      <c r="D57" s="146"/>
      <c r="E57" s="146"/>
      <c r="F57" s="146"/>
      <c r="G57" s="146"/>
      <c r="H57" s="146"/>
      <c r="I57" s="150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</row>
    <row r="58" ht="12.75" customHeight="1" spans="1:26">
      <c r="A58" s="146"/>
      <c r="B58" s="146"/>
      <c r="C58" s="146"/>
      <c r="D58" s="146"/>
      <c r="E58" s="146"/>
      <c r="F58" s="146"/>
      <c r="G58" s="146"/>
      <c r="H58" s="146"/>
      <c r="I58" s="150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</row>
    <row r="59" ht="12.75" customHeight="1" spans="1:26">
      <c r="A59" s="146"/>
      <c r="B59" s="146"/>
      <c r="C59" s="146"/>
      <c r="D59" s="146"/>
      <c r="E59" s="146"/>
      <c r="F59" s="146"/>
      <c r="G59" s="146"/>
      <c r="H59" s="146"/>
      <c r="I59" s="150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</row>
    <row r="60" ht="12.75" customHeight="1" spans="1:26">
      <c r="A60" s="146"/>
      <c r="B60" s="146"/>
      <c r="C60" s="146"/>
      <c r="D60" s="146"/>
      <c r="E60" s="146"/>
      <c r="F60" s="146"/>
      <c r="G60" s="146"/>
      <c r="H60" s="146"/>
      <c r="I60" s="150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</row>
    <row r="61" ht="12.75" customHeight="1" spans="1:26">
      <c r="A61" s="146"/>
      <c r="B61" s="146"/>
      <c r="C61" s="146"/>
      <c r="D61" s="146"/>
      <c r="E61" s="146"/>
      <c r="F61" s="146"/>
      <c r="G61" s="146"/>
      <c r="H61" s="146"/>
      <c r="I61" s="150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</row>
    <row r="62" ht="12.75" customHeight="1" spans="1:26">
      <c r="A62" s="146"/>
      <c r="B62" s="146"/>
      <c r="C62" s="146"/>
      <c r="D62" s="146"/>
      <c r="E62" s="146"/>
      <c r="F62" s="146"/>
      <c r="G62" s="146"/>
      <c r="H62" s="146"/>
      <c r="I62" s="150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</row>
    <row r="63" ht="12.75" customHeight="1" spans="1:26">
      <c r="A63" s="146"/>
      <c r="B63" s="146"/>
      <c r="C63" s="146"/>
      <c r="D63" s="146"/>
      <c r="E63" s="146"/>
      <c r="F63" s="146"/>
      <c r="G63" s="146"/>
      <c r="H63" s="146"/>
      <c r="I63" s="150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</row>
    <row r="64" ht="12.75" customHeight="1" spans="1:26">
      <c r="A64" s="146"/>
      <c r="B64" s="146"/>
      <c r="C64" s="146"/>
      <c r="D64" s="146"/>
      <c r="E64" s="146"/>
      <c r="F64" s="146"/>
      <c r="G64" s="146"/>
      <c r="H64" s="146"/>
      <c r="I64" s="150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</row>
    <row r="65" ht="12.75" customHeight="1" spans="1:26">
      <c r="A65" s="146"/>
      <c r="B65" s="146"/>
      <c r="C65" s="146"/>
      <c r="D65" s="146"/>
      <c r="E65" s="146"/>
      <c r="F65" s="146"/>
      <c r="G65" s="146"/>
      <c r="H65" s="146"/>
      <c r="I65" s="150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</row>
    <row r="66" ht="12.75" customHeight="1" spans="1:26">
      <c r="A66" s="146"/>
      <c r="B66" s="146"/>
      <c r="C66" s="146"/>
      <c r="D66" s="146"/>
      <c r="E66" s="146"/>
      <c r="F66" s="146"/>
      <c r="G66" s="146"/>
      <c r="H66" s="146"/>
      <c r="I66" s="150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</row>
    <row r="67" ht="12.75" customHeight="1" spans="1:26">
      <c r="A67" s="146"/>
      <c r="B67" s="146"/>
      <c r="C67" s="146"/>
      <c r="D67" s="146"/>
      <c r="E67" s="146"/>
      <c r="F67" s="146"/>
      <c r="G67" s="146"/>
      <c r="H67" s="146"/>
      <c r="I67" s="150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</row>
    <row r="68" ht="12.75" customHeight="1" spans="1:26">
      <c r="A68" s="146"/>
      <c r="B68" s="146"/>
      <c r="C68" s="146"/>
      <c r="D68" s="146"/>
      <c r="E68" s="146"/>
      <c r="F68" s="146"/>
      <c r="G68" s="146"/>
      <c r="H68" s="146"/>
      <c r="I68" s="150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</row>
    <row r="69" ht="12.75" customHeight="1" spans="1:26">
      <c r="A69" s="146"/>
      <c r="B69" s="146"/>
      <c r="C69" s="146"/>
      <c r="D69" s="146"/>
      <c r="E69" s="146"/>
      <c r="F69" s="146"/>
      <c r="G69" s="146"/>
      <c r="H69" s="146"/>
      <c r="I69" s="150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</row>
    <row r="70" ht="12.75" customHeight="1" spans="1:26">
      <c r="A70" s="146"/>
      <c r="B70" s="146"/>
      <c r="C70" s="146"/>
      <c r="D70" s="146"/>
      <c r="E70" s="146"/>
      <c r="F70" s="146"/>
      <c r="G70" s="146"/>
      <c r="H70" s="146"/>
      <c r="I70" s="150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</row>
    <row r="71" ht="12.75" customHeight="1" spans="1:26">
      <c r="A71" s="146"/>
      <c r="B71" s="146"/>
      <c r="C71" s="146"/>
      <c r="D71" s="146"/>
      <c r="E71" s="146"/>
      <c r="F71" s="146"/>
      <c r="G71" s="146"/>
      <c r="H71" s="146"/>
      <c r="I71" s="150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</row>
    <row r="72" ht="12.75" customHeight="1" spans="1:26">
      <c r="A72" s="146"/>
      <c r="B72" s="146"/>
      <c r="C72" s="146"/>
      <c r="D72" s="146"/>
      <c r="E72" s="146"/>
      <c r="F72" s="146"/>
      <c r="G72" s="146"/>
      <c r="H72" s="146"/>
      <c r="I72" s="150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</row>
    <row r="73" ht="12.75" customHeight="1" spans="1:26">
      <c r="A73" s="146"/>
      <c r="B73" s="146"/>
      <c r="C73" s="146"/>
      <c r="D73" s="146"/>
      <c r="E73" s="146"/>
      <c r="F73" s="146"/>
      <c r="G73" s="146"/>
      <c r="H73" s="146"/>
      <c r="I73" s="150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</row>
    <row r="74" ht="12.75" customHeight="1" spans="1:26">
      <c r="A74" s="146"/>
      <c r="B74" s="146"/>
      <c r="C74" s="146"/>
      <c r="D74" s="146"/>
      <c r="E74" s="146"/>
      <c r="F74" s="146"/>
      <c r="G74" s="146"/>
      <c r="H74" s="146"/>
      <c r="I74" s="150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</row>
    <row r="75" ht="12.75" customHeight="1" spans="1:26">
      <c r="A75" s="146"/>
      <c r="B75" s="146"/>
      <c r="C75" s="146"/>
      <c r="D75" s="146"/>
      <c r="E75" s="146"/>
      <c r="F75" s="146"/>
      <c r="G75" s="146"/>
      <c r="H75" s="146"/>
      <c r="I75" s="150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</row>
    <row r="76" ht="12.75" customHeight="1" spans="1:26">
      <c r="A76" s="146"/>
      <c r="B76" s="146"/>
      <c r="C76" s="146"/>
      <c r="D76" s="146"/>
      <c r="E76" s="146"/>
      <c r="F76" s="146"/>
      <c r="G76" s="146"/>
      <c r="H76" s="146"/>
      <c r="I76" s="150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</row>
    <row r="77" ht="12.75" customHeight="1" spans="1:26">
      <c r="A77" s="146"/>
      <c r="B77" s="146"/>
      <c r="C77" s="146"/>
      <c r="D77" s="146"/>
      <c r="E77" s="146"/>
      <c r="F77" s="146"/>
      <c r="G77" s="146"/>
      <c r="H77" s="146"/>
      <c r="I77" s="150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</row>
    <row r="78" ht="12.75" customHeight="1" spans="1:26">
      <c r="A78" s="146"/>
      <c r="B78" s="146"/>
      <c r="C78" s="146"/>
      <c r="D78" s="146"/>
      <c r="E78" s="146"/>
      <c r="F78" s="146"/>
      <c r="G78" s="146"/>
      <c r="H78" s="146"/>
      <c r="I78" s="150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</row>
    <row r="79" ht="12.75" customHeight="1" spans="1:26">
      <c r="A79" s="146"/>
      <c r="B79" s="146"/>
      <c r="C79" s="146"/>
      <c r="D79" s="146"/>
      <c r="E79" s="146"/>
      <c r="F79" s="146"/>
      <c r="G79" s="146"/>
      <c r="H79" s="146"/>
      <c r="I79" s="150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</row>
    <row r="80" ht="12.75" customHeight="1" spans="1:26">
      <c r="A80" s="146"/>
      <c r="B80" s="146"/>
      <c r="C80" s="146"/>
      <c r="D80" s="146"/>
      <c r="E80" s="146"/>
      <c r="F80" s="146"/>
      <c r="G80" s="146"/>
      <c r="H80" s="146"/>
      <c r="I80" s="150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</row>
    <row r="81" ht="12.75" customHeight="1" spans="1:26">
      <c r="A81" s="146"/>
      <c r="B81" s="146"/>
      <c r="C81" s="146"/>
      <c r="D81" s="146"/>
      <c r="E81" s="146"/>
      <c r="F81" s="146"/>
      <c r="G81" s="146"/>
      <c r="H81" s="146"/>
      <c r="I81" s="150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</row>
    <row r="82" ht="12.75" customHeight="1" spans="1:26">
      <c r="A82" s="146"/>
      <c r="B82" s="146"/>
      <c r="C82" s="146"/>
      <c r="D82" s="146"/>
      <c r="E82" s="146"/>
      <c r="F82" s="146"/>
      <c r="G82" s="146"/>
      <c r="H82" s="146"/>
      <c r="I82" s="150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</row>
    <row r="83" ht="12.75" customHeight="1" spans="1:26">
      <c r="A83" s="146"/>
      <c r="B83" s="146"/>
      <c r="C83" s="146"/>
      <c r="D83" s="146"/>
      <c r="E83" s="146"/>
      <c r="F83" s="146"/>
      <c r="G83" s="146"/>
      <c r="H83" s="146"/>
      <c r="I83" s="150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</row>
    <row r="84" ht="12.75" customHeight="1" spans="1:26">
      <c r="A84" s="146"/>
      <c r="B84" s="146"/>
      <c r="C84" s="146"/>
      <c r="D84" s="146"/>
      <c r="E84" s="146"/>
      <c r="F84" s="146"/>
      <c r="G84" s="146"/>
      <c r="H84" s="146"/>
      <c r="I84" s="150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</row>
    <row r="85" ht="12.75" customHeight="1" spans="1:26">
      <c r="A85" s="146"/>
      <c r="B85" s="146"/>
      <c r="C85" s="146"/>
      <c r="D85" s="146"/>
      <c r="E85" s="146"/>
      <c r="F85" s="146"/>
      <c r="G85" s="146"/>
      <c r="H85" s="146"/>
      <c r="I85" s="150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</row>
    <row r="86" ht="12.75" customHeight="1" spans="1:26">
      <c r="A86" s="146"/>
      <c r="B86" s="146"/>
      <c r="C86" s="146"/>
      <c r="D86" s="146"/>
      <c r="E86" s="146"/>
      <c r="F86" s="146"/>
      <c r="G86" s="146"/>
      <c r="H86" s="146"/>
      <c r="I86" s="150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</row>
    <row r="87" ht="12.75" customHeight="1" spans="1:26">
      <c r="A87" s="146"/>
      <c r="B87" s="146"/>
      <c r="C87" s="146"/>
      <c r="D87" s="146"/>
      <c r="E87" s="146"/>
      <c r="F87" s="146"/>
      <c r="G87" s="146"/>
      <c r="H87" s="146"/>
      <c r="I87" s="150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</row>
    <row r="88" ht="12.75" customHeight="1" spans="1:26">
      <c r="A88" s="146"/>
      <c r="B88" s="146"/>
      <c r="C88" s="146"/>
      <c r="D88" s="146"/>
      <c r="E88" s="146"/>
      <c r="F88" s="146"/>
      <c r="G88" s="146"/>
      <c r="H88" s="146"/>
      <c r="I88" s="150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</row>
    <row r="89" ht="12.75" customHeight="1" spans="1:26">
      <c r="A89" s="146"/>
      <c r="B89" s="146"/>
      <c r="C89" s="146"/>
      <c r="D89" s="146"/>
      <c r="E89" s="146"/>
      <c r="F89" s="146"/>
      <c r="G89" s="146"/>
      <c r="H89" s="146"/>
      <c r="I89" s="150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</row>
    <row r="90" ht="12.75" customHeight="1" spans="1:26">
      <c r="A90" s="146"/>
      <c r="B90" s="146"/>
      <c r="C90" s="146"/>
      <c r="D90" s="146"/>
      <c r="E90" s="146"/>
      <c r="F90" s="146"/>
      <c r="G90" s="146"/>
      <c r="H90" s="146"/>
      <c r="I90" s="150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</row>
    <row r="91" ht="12.75" customHeight="1" spans="1:26">
      <c r="A91" s="146"/>
      <c r="B91" s="146"/>
      <c r="C91" s="146"/>
      <c r="D91" s="146"/>
      <c r="E91" s="146"/>
      <c r="F91" s="146"/>
      <c r="G91" s="146"/>
      <c r="H91" s="146"/>
      <c r="I91" s="150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</row>
    <row r="92" ht="12.75" customHeight="1" spans="1:26">
      <c r="A92" s="146"/>
      <c r="B92" s="146"/>
      <c r="C92" s="146"/>
      <c r="D92" s="146"/>
      <c r="E92" s="146"/>
      <c r="F92" s="146"/>
      <c r="G92" s="146"/>
      <c r="H92" s="146"/>
      <c r="I92" s="150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</row>
    <row r="93" ht="12.75" customHeight="1" spans="1:26">
      <c r="A93" s="146"/>
      <c r="B93" s="146"/>
      <c r="C93" s="146"/>
      <c r="D93" s="146"/>
      <c r="E93" s="146"/>
      <c r="F93" s="146"/>
      <c r="G93" s="146"/>
      <c r="H93" s="146"/>
      <c r="I93" s="150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</row>
    <row r="94" ht="12.75" customHeight="1" spans="1:26">
      <c r="A94" s="146"/>
      <c r="B94" s="146"/>
      <c r="C94" s="146"/>
      <c r="D94" s="146"/>
      <c r="E94" s="146"/>
      <c r="F94" s="146"/>
      <c r="G94" s="146"/>
      <c r="H94" s="146"/>
      <c r="I94" s="150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</row>
    <row r="95" ht="12.75" customHeight="1" spans="1:26">
      <c r="A95" s="146"/>
      <c r="B95" s="146"/>
      <c r="C95" s="146"/>
      <c r="D95" s="146"/>
      <c r="E95" s="146"/>
      <c r="F95" s="146"/>
      <c r="G95" s="146"/>
      <c r="H95" s="146"/>
      <c r="I95" s="150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</row>
    <row r="96" ht="12.75" customHeight="1" spans="1:26">
      <c r="A96" s="146"/>
      <c r="B96" s="146"/>
      <c r="C96" s="146"/>
      <c r="D96" s="146"/>
      <c r="E96" s="146"/>
      <c r="F96" s="146"/>
      <c r="G96" s="146"/>
      <c r="H96" s="146"/>
      <c r="I96" s="150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 ht="12.75" customHeight="1" spans="1:26">
      <c r="A97" s="146"/>
      <c r="B97" s="146"/>
      <c r="C97" s="146"/>
      <c r="D97" s="146"/>
      <c r="E97" s="146"/>
      <c r="F97" s="146"/>
      <c r="G97" s="146"/>
      <c r="H97" s="146"/>
      <c r="I97" s="150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</row>
    <row r="98" ht="12.75" customHeight="1" spans="1:26">
      <c r="A98" s="146"/>
      <c r="B98" s="146"/>
      <c r="C98" s="146"/>
      <c r="D98" s="146"/>
      <c r="E98" s="146"/>
      <c r="F98" s="146"/>
      <c r="G98" s="146"/>
      <c r="H98" s="146"/>
      <c r="I98" s="150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</row>
    <row r="99" ht="12.75" customHeight="1" spans="1:26">
      <c r="A99" s="146"/>
      <c r="B99" s="146"/>
      <c r="C99" s="146"/>
      <c r="D99" s="146"/>
      <c r="E99" s="146"/>
      <c r="F99" s="146"/>
      <c r="G99" s="146"/>
      <c r="H99" s="146"/>
      <c r="I99" s="150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</row>
    <row r="100" ht="12.75" customHeight="1" spans="1:26">
      <c r="A100" s="146"/>
      <c r="B100" s="146"/>
      <c r="C100" s="146"/>
      <c r="D100" s="146"/>
      <c r="E100" s="146"/>
      <c r="F100" s="146"/>
      <c r="G100" s="146"/>
      <c r="H100" s="146"/>
      <c r="I100" s="150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</row>
    <row r="101" ht="12.75" customHeight="1" spans="1:26">
      <c r="A101" s="146"/>
      <c r="B101" s="146"/>
      <c r="C101" s="146"/>
      <c r="D101" s="146"/>
      <c r="E101" s="146"/>
      <c r="F101" s="146"/>
      <c r="G101" s="146"/>
      <c r="H101" s="146"/>
      <c r="I101" s="150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</row>
    <row r="102" ht="12.75" customHeight="1" spans="1:26">
      <c r="A102" s="146"/>
      <c r="B102" s="146"/>
      <c r="C102" s="146"/>
      <c r="D102" s="146"/>
      <c r="E102" s="146"/>
      <c r="F102" s="146"/>
      <c r="G102" s="146"/>
      <c r="H102" s="146"/>
      <c r="I102" s="150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</row>
    <row r="103" ht="12.75" customHeight="1" spans="1:26">
      <c r="A103" s="146"/>
      <c r="B103" s="146"/>
      <c r="C103" s="146"/>
      <c r="D103" s="146"/>
      <c r="E103" s="146"/>
      <c r="F103" s="146"/>
      <c r="G103" s="146"/>
      <c r="H103" s="146"/>
      <c r="I103" s="150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</row>
    <row r="104" ht="12.75" customHeight="1" spans="1:26">
      <c r="A104" s="146"/>
      <c r="B104" s="146"/>
      <c r="C104" s="146"/>
      <c r="D104" s="146"/>
      <c r="E104" s="146"/>
      <c r="F104" s="146"/>
      <c r="G104" s="146"/>
      <c r="H104" s="146"/>
      <c r="I104" s="150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</row>
    <row r="105" ht="12.75" customHeight="1" spans="1:26">
      <c r="A105" s="146"/>
      <c r="B105" s="146"/>
      <c r="C105" s="146"/>
      <c r="D105" s="146"/>
      <c r="E105" s="146"/>
      <c r="F105" s="146"/>
      <c r="G105" s="146"/>
      <c r="H105" s="146"/>
      <c r="I105" s="150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</row>
    <row r="106" ht="12.75" customHeight="1" spans="1:26">
      <c r="A106" s="146"/>
      <c r="B106" s="146"/>
      <c r="C106" s="146"/>
      <c r="D106" s="146"/>
      <c r="E106" s="146"/>
      <c r="F106" s="146"/>
      <c r="G106" s="146"/>
      <c r="H106" s="146"/>
      <c r="I106" s="150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</row>
    <row r="107" ht="12.75" customHeight="1" spans="1:26">
      <c r="A107" s="146"/>
      <c r="B107" s="146"/>
      <c r="C107" s="146"/>
      <c r="D107" s="146"/>
      <c r="E107" s="146"/>
      <c r="F107" s="146"/>
      <c r="G107" s="146"/>
      <c r="H107" s="146"/>
      <c r="I107" s="150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</row>
    <row r="108" ht="12.75" customHeight="1" spans="1:26">
      <c r="A108" s="146"/>
      <c r="B108" s="146"/>
      <c r="C108" s="146"/>
      <c r="D108" s="146"/>
      <c r="E108" s="146"/>
      <c r="F108" s="146"/>
      <c r="G108" s="146"/>
      <c r="H108" s="146"/>
      <c r="I108" s="150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</row>
    <row r="109" ht="12.75" customHeight="1" spans="1:26">
      <c r="A109" s="146"/>
      <c r="B109" s="146"/>
      <c r="C109" s="146"/>
      <c r="D109" s="146"/>
      <c r="E109" s="146"/>
      <c r="F109" s="146"/>
      <c r="G109" s="146"/>
      <c r="H109" s="146"/>
      <c r="I109" s="150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</row>
    <row r="110" ht="12.75" customHeight="1" spans="1:26">
      <c r="A110" s="146"/>
      <c r="B110" s="146"/>
      <c r="C110" s="146"/>
      <c r="D110" s="146"/>
      <c r="E110" s="146"/>
      <c r="F110" s="146"/>
      <c r="G110" s="146"/>
      <c r="H110" s="146"/>
      <c r="I110" s="150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</row>
    <row r="111" ht="12.75" customHeight="1" spans="1:26">
      <c r="A111" s="146"/>
      <c r="B111" s="146"/>
      <c r="C111" s="146"/>
      <c r="D111" s="146"/>
      <c r="E111" s="146"/>
      <c r="F111" s="146"/>
      <c r="G111" s="146"/>
      <c r="H111" s="146"/>
      <c r="I111" s="150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</row>
    <row r="112" ht="12.75" customHeight="1" spans="1:26">
      <c r="A112" s="146"/>
      <c r="B112" s="146"/>
      <c r="C112" s="146"/>
      <c r="D112" s="146"/>
      <c r="E112" s="146"/>
      <c r="F112" s="146"/>
      <c r="G112" s="146"/>
      <c r="H112" s="146"/>
      <c r="I112" s="150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</row>
    <row r="113" ht="12.75" customHeight="1" spans="1:26">
      <c r="A113" s="146"/>
      <c r="B113" s="146"/>
      <c r="C113" s="146"/>
      <c r="D113" s="146"/>
      <c r="E113" s="146"/>
      <c r="F113" s="146"/>
      <c r="G113" s="146"/>
      <c r="H113" s="146"/>
      <c r="I113" s="150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</row>
    <row r="114" ht="12.75" customHeight="1" spans="1:26">
      <c r="A114" s="146"/>
      <c r="B114" s="146"/>
      <c r="C114" s="146"/>
      <c r="D114" s="146"/>
      <c r="E114" s="146"/>
      <c r="F114" s="146"/>
      <c r="G114" s="146"/>
      <c r="H114" s="146"/>
      <c r="I114" s="150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</row>
    <row r="115" ht="12.75" customHeight="1" spans="1:26">
      <c r="A115" s="146"/>
      <c r="B115" s="146"/>
      <c r="C115" s="146"/>
      <c r="D115" s="146"/>
      <c r="E115" s="146"/>
      <c r="F115" s="146"/>
      <c r="G115" s="146"/>
      <c r="H115" s="146"/>
      <c r="I115" s="150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</row>
    <row r="116" ht="12.75" customHeight="1" spans="1:26">
      <c r="A116" s="146"/>
      <c r="B116" s="146"/>
      <c r="C116" s="146"/>
      <c r="D116" s="146"/>
      <c r="E116" s="146"/>
      <c r="F116" s="146"/>
      <c r="G116" s="146"/>
      <c r="H116" s="146"/>
      <c r="I116" s="150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</row>
    <row r="117" ht="12.75" customHeight="1" spans="1:26">
      <c r="A117" s="146"/>
      <c r="B117" s="146"/>
      <c r="C117" s="146"/>
      <c r="D117" s="146"/>
      <c r="E117" s="146"/>
      <c r="F117" s="146"/>
      <c r="G117" s="146"/>
      <c r="H117" s="146"/>
      <c r="I117" s="150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</row>
    <row r="118" ht="12.75" customHeight="1" spans="1:26">
      <c r="A118" s="146"/>
      <c r="B118" s="146"/>
      <c r="C118" s="146"/>
      <c r="D118" s="146"/>
      <c r="E118" s="146"/>
      <c r="F118" s="146"/>
      <c r="G118" s="146"/>
      <c r="H118" s="146"/>
      <c r="I118" s="150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</row>
    <row r="119" ht="12.75" customHeight="1" spans="1:26">
      <c r="A119" s="146"/>
      <c r="B119" s="146"/>
      <c r="C119" s="146"/>
      <c r="D119" s="146"/>
      <c r="E119" s="146"/>
      <c r="F119" s="146"/>
      <c r="G119" s="146"/>
      <c r="H119" s="146"/>
      <c r="I119" s="150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</row>
    <row r="120" ht="12.75" customHeight="1" spans="1:26">
      <c r="A120" s="146"/>
      <c r="B120" s="146"/>
      <c r="C120" s="146"/>
      <c r="D120" s="146"/>
      <c r="E120" s="146"/>
      <c r="F120" s="146"/>
      <c r="G120" s="146"/>
      <c r="H120" s="146"/>
      <c r="I120" s="150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</row>
    <row r="121" ht="12.75" customHeight="1" spans="1:26">
      <c r="A121" s="146"/>
      <c r="B121" s="146"/>
      <c r="C121" s="146"/>
      <c r="D121" s="146"/>
      <c r="E121" s="146"/>
      <c r="F121" s="146"/>
      <c r="G121" s="146"/>
      <c r="H121" s="146"/>
      <c r="I121" s="150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</row>
    <row r="122" ht="12.75" customHeight="1" spans="1:26">
      <c r="A122" s="146"/>
      <c r="B122" s="146"/>
      <c r="C122" s="146"/>
      <c r="D122" s="146"/>
      <c r="E122" s="146"/>
      <c r="F122" s="146"/>
      <c r="G122" s="146"/>
      <c r="H122" s="146"/>
      <c r="I122" s="150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</row>
    <row r="123" ht="12.75" customHeight="1" spans="1:26">
      <c r="A123" s="146"/>
      <c r="B123" s="146"/>
      <c r="C123" s="146"/>
      <c r="D123" s="146"/>
      <c r="E123" s="146"/>
      <c r="F123" s="146"/>
      <c r="G123" s="146"/>
      <c r="H123" s="146"/>
      <c r="I123" s="150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</row>
    <row r="124" ht="12.75" customHeight="1" spans="1:26">
      <c r="A124" s="146"/>
      <c r="B124" s="146"/>
      <c r="C124" s="146"/>
      <c r="D124" s="146"/>
      <c r="E124" s="146"/>
      <c r="F124" s="146"/>
      <c r="G124" s="146"/>
      <c r="H124" s="146"/>
      <c r="I124" s="150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</row>
    <row r="125" ht="12.75" customHeight="1" spans="1:26">
      <c r="A125" s="146"/>
      <c r="B125" s="146"/>
      <c r="C125" s="146"/>
      <c r="D125" s="146"/>
      <c r="E125" s="146"/>
      <c r="F125" s="146"/>
      <c r="G125" s="146"/>
      <c r="H125" s="146"/>
      <c r="I125" s="150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</row>
    <row r="126" ht="12.75" customHeight="1" spans="1:26">
      <c r="A126" s="146"/>
      <c r="B126" s="146"/>
      <c r="C126" s="146"/>
      <c r="D126" s="146"/>
      <c r="E126" s="146"/>
      <c r="F126" s="146"/>
      <c r="G126" s="146"/>
      <c r="H126" s="146"/>
      <c r="I126" s="150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</row>
    <row r="127" ht="12.75" customHeight="1" spans="1:26">
      <c r="A127" s="146"/>
      <c r="B127" s="146"/>
      <c r="C127" s="146"/>
      <c r="D127" s="146"/>
      <c r="E127" s="146"/>
      <c r="F127" s="146"/>
      <c r="G127" s="146"/>
      <c r="H127" s="146"/>
      <c r="I127" s="150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</row>
    <row r="128" ht="12.75" customHeight="1" spans="1:26">
      <c r="A128" s="146"/>
      <c r="B128" s="146"/>
      <c r="C128" s="146"/>
      <c r="D128" s="146"/>
      <c r="E128" s="146"/>
      <c r="F128" s="146"/>
      <c r="G128" s="146"/>
      <c r="H128" s="146"/>
      <c r="I128" s="150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</row>
    <row r="129" ht="12.75" customHeight="1" spans="1:26">
      <c r="A129" s="146"/>
      <c r="B129" s="146"/>
      <c r="C129" s="146"/>
      <c r="D129" s="146"/>
      <c r="E129" s="146"/>
      <c r="F129" s="146"/>
      <c r="G129" s="146"/>
      <c r="H129" s="146"/>
      <c r="I129" s="150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</row>
    <row r="130" ht="12.75" customHeight="1" spans="1:26">
      <c r="A130" s="146"/>
      <c r="B130" s="146"/>
      <c r="C130" s="146"/>
      <c r="D130" s="146"/>
      <c r="E130" s="146"/>
      <c r="F130" s="146"/>
      <c r="G130" s="146"/>
      <c r="H130" s="146"/>
      <c r="I130" s="150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</row>
    <row r="131" ht="12.75" customHeight="1" spans="1:26">
      <c r="A131" s="146"/>
      <c r="B131" s="146"/>
      <c r="C131" s="146"/>
      <c r="D131" s="146"/>
      <c r="E131" s="146"/>
      <c r="F131" s="146"/>
      <c r="G131" s="146"/>
      <c r="H131" s="146"/>
      <c r="I131" s="150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</row>
    <row r="132" ht="12.75" customHeight="1" spans="1:26">
      <c r="A132" s="146"/>
      <c r="B132" s="146"/>
      <c r="C132" s="146"/>
      <c r="D132" s="146"/>
      <c r="E132" s="146"/>
      <c r="F132" s="146"/>
      <c r="G132" s="146"/>
      <c r="H132" s="146"/>
      <c r="I132" s="150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</row>
    <row r="133" ht="12.75" customHeight="1" spans="1:26">
      <c r="A133" s="146"/>
      <c r="B133" s="146"/>
      <c r="C133" s="146"/>
      <c r="D133" s="146"/>
      <c r="E133" s="146"/>
      <c r="F133" s="146"/>
      <c r="G133" s="146"/>
      <c r="H133" s="146"/>
      <c r="I133" s="150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</row>
    <row r="134" ht="12.75" customHeight="1" spans="1:26">
      <c r="A134" s="146"/>
      <c r="B134" s="146"/>
      <c r="C134" s="146"/>
      <c r="D134" s="146"/>
      <c r="E134" s="146"/>
      <c r="F134" s="146"/>
      <c r="G134" s="146"/>
      <c r="H134" s="146"/>
      <c r="I134" s="150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</row>
    <row r="135" ht="12.75" customHeight="1" spans="1:26">
      <c r="A135" s="146"/>
      <c r="B135" s="146"/>
      <c r="C135" s="146"/>
      <c r="D135" s="146"/>
      <c r="E135" s="146"/>
      <c r="F135" s="146"/>
      <c r="G135" s="146"/>
      <c r="H135" s="146"/>
      <c r="I135" s="150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</row>
    <row r="136" ht="12.75" customHeight="1" spans="1:26">
      <c r="A136" s="146"/>
      <c r="B136" s="146"/>
      <c r="C136" s="146"/>
      <c r="D136" s="146"/>
      <c r="E136" s="146"/>
      <c r="F136" s="146"/>
      <c r="G136" s="146"/>
      <c r="H136" s="146"/>
      <c r="I136" s="150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</row>
    <row r="137" ht="12.75" customHeight="1" spans="1:26">
      <c r="A137" s="146"/>
      <c r="B137" s="146"/>
      <c r="C137" s="146"/>
      <c r="D137" s="146"/>
      <c r="E137" s="146"/>
      <c r="F137" s="146"/>
      <c r="G137" s="146"/>
      <c r="H137" s="146"/>
      <c r="I137" s="150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</row>
    <row r="138" ht="12.75" customHeight="1" spans="1:26">
      <c r="A138" s="146"/>
      <c r="B138" s="146"/>
      <c r="C138" s="146"/>
      <c r="D138" s="146"/>
      <c r="E138" s="146"/>
      <c r="F138" s="146"/>
      <c r="G138" s="146"/>
      <c r="H138" s="146"/>
      <c r="I138" s="150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</row>
    <row r="139" ht="12.75" customHeight="1" spans="1:26">
      <c r="A139" s="146"/>
      <c r="B139" s="146"/>
      <c r="C139" s="146"/>
      <c r="D139" s="146"/>
      <c r="E139" s="146"/>
      <c r="F139" s="146"/>
      <c r="G139" s="146"/>
      <c r="H139" s="146"/>
      <c r="I139" s="150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</row>
    <row r="140" ht="12.75" customHeight="1" spans="1:26">
      <c r="A140" s="146"/>
      <c r="B140" s="146"/>
      <c r="C140" s="146"/>
      <c r="D140" s="146"/>
      <c r="E140" s="146"/>
      <c r="F140" s="146"/>
      <c r="G140" s="146"/>
      <c r="H140" s="146"/>
      <c r="I140" s="150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</row>
    <row r="141" ht="12.75" customHeight="1" spans="1:26">
      <c r="A141" s="146"/>
      <c r="B141" s="146"/>
      <c r="C141" s="146"/>
      <c r="D141" s="146"/>
      <c r="E141" s="146"/>
      <c r="F141" s="146"/>
      <c r="G141" s="146"/>
      <c r="H141" s="146"/>
      <c r="I141" s="150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</row>
    <row r="142" ht="12.75" customHeight="1" spans="1:26">
      <c r="A142" s="146"/>
      <c r="B142" s="146"/>
      <c r="C142" s="146"/>
      <c r="D142" s="146"/>
      <c r="E142" s="146"/>
      <c r="F142" s="146"/>
      <c r="G142" s="146"/>
      <c r="H142" s="146"/>
      <c r="I142" s="150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</row>
    <row r="143" ht="12.75" customHeight="1" spans="1:26">
      <c r="A143" s="146"/>
      <c r="B143" s="146"/>
      <c r="C143" s="146"/>
      <c r="D143" s="146"/>
      <c r="E143" s="146"/>
      <c r="F143" s="146"/>
      <c r="G143" s="146"/>
      <c r="H143" s="146"/>
      <c r="I143" s="150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</row>
    <row r="144" ht="12.75" customHeight="1" spans="1:26">
      <c r="A144" s="146"/>
      <c r="B144" s="146"/>
      <c r="C144" s="146"/>
      <c r="D144" s="146"/>
      <c r="E144" s="146"/>
      <c r="F144" s="146"/>
      <c r="G144" s="146"/>
      <c r="H144" s="146"/>
      <c r="I144" s="150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</row>
    <row r="145" ht="12.75" customHeight="1" spans="1:26">
      <c r="A145" s="146"/>
      <c r="B145" s="146"/>
      <c r="C145" s="146"/>
      <c r="D145" s="146"/>
      <c r="E145" s="146"/>
      <c r="F145" s="146"/>
      <c r="G145" s="146"/>
      <c r="H145" s="146"/>
      <c r="I145" s="150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</row>
    <row r="146" ht="12.75" customHeight="1" spans="1:26">
      <c r="A146" s="146"/>
      <c r="B146" s="146"/>
      <c r="C146" s="146"/>
      <c r="D146" s="146"/>
      <c r="E146" s="146"/>
      <c r="F146" s="146"/>
      <c r="G146" s="146"/>
      <c r="H146" s="146"/>
      <c r="I146" s="150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</row>
    <row r="147" ht="12.75" customHeight="1" spans="1:26">
      <c r="A147" s="146"/>
      <c r="B147" s="146"/>
      <c r="C147" s="146"/>
      <c r="D147" s="146"/>
      <c r="E147" s="146"/>
      <c r="F147" s="146"/>
      <c r="G147" s="146"/>
      <c r="H147" s="146"/>
      <c r="I147" s="150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</row>
    <row r="148" ht="12.75" customHeight="1" spans="1:26">
      <c r="A148" s="146"/>
      <c r="B148" s="146"/>
      <c r="C148" s="146"/>
      <c r="D148" s="146"/>
      <c r="E148" s="146"/>
      <c r="F148" s="146"/>
      <c r="G148" s="146"/>
      <c r="H148" s="146"/>
      <c r="I148" s="150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</row>
    <row r="149" ht="12.75" customHeight="1" spans="1:26">
      <c r="A149" s="146"/>
      <c r="B149" s="146"/>
      <c r="C149" s="146"/>
      <c r="D149" s="146"/>
      <c r="E149" s="146"/>
      <c r="F149" s="146"/>
      <c r="G149" s="146"/>
      <c r="H149" s="146"/>
      <c r="I149" s="150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</row>
    <row r="150" ht="12.75" customHeight="1" spans="1:26">
      <c r="A150" s="146"/>
      <c r="B150" s="146"/>
      <c r="C150" s="146"/>
      <c r="D150" s="146"/>
      <c r="E150" s="146"/>
      <c r="F150" s="146"/>
      <c r="G150" s="146"/>
      <c r="H150" s="146"/>
      <c r="I150" s="150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</row>
    <row r="151" ht="12.75" customHeight="1" spans="1:26">
      <c r="A151" s="146"/>
      <c r="B151" s="146"/>
      <c r="C151" s="146"/>
      <c r="D151" s="146"/>
      <c r="E151" s="146"/>
      <c r="F151" s="146"/>
      <c r="G151" s="146"/>
      <c r="H151" s="146"/>
      <c r="I151" s="150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</row>
    <row r="152" ht="12.75" customHeight="1" spans="1:26">
      <c r="A152" s="146"/>
      <c r="B152" s="146"/>
      <c r="C152" s="146"/>
      <c r="D152" s="146"/>
      <c r="E152" s="146"/>
      <c r="F152" s="146"/>
      <c r="G152" s="146"/>
      <c r="H152" s="146"/>
      <c r="I152" s="150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</row>
    <row r="153" ht="12.75" customHeight="1" spans="1:26">
      <c r="A153" s="146"/>
      <c r="B153" s="146"/>
      <c r="C153" s="146"/>
      <c r="D153" s="146"/>
      <c r="E153" s="146"/>
      <c r="F153" s="146"/>
      <c r="G153" s="146"/>
      <c r="H153" s="146"/>
      <c r="I153" s="150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</row>
    <row r="154" ht="12.75" customHeight="1" spans="1:26">
      <c r="A154" s="146"/>
      <c r="B154" s="146"/>
      <c r="C154" s="146"/>
      <c r="D154" s="146"/>
      <c r="E154" s="146"/>
      <c r="F154" s="146"/>
      <c r="G154" s="146"/>
      <c r="H154" s="146"/>
      <c r="I154" s="150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</row>
    <row r="155" ht="12.75" customHeight="1" spans="1:26">
      <c r="A155" s="146"/>
      <c r="B155" s="146"/>
      <c r="C155" s="146"/>
      <c r="D155" s="146"/>
      <c r="E155" s="146"/>
      <c r="F155" s="146"/>
      <c r="G155" s="146"/>
      <c r="H155" s="146"/>
      <c r="I155" s="150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</row>
    <row r="156" ht="12.75" customHeight="1" spans="1:26">
      <c r="A156" s="146"/>
      <c r="B156" s="146"/>
      <c r="C156" s="146"/>
      <c r="D156" s="146"/>
      <c r="E156" s="146"/>
      <c r="F156" s="146"/>
      <c r="G156" s="146"/>
      <c r="H156" s="146"/>
      <c r="I156" s="150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</row>
    <row r="157" ht="12.75" customHeight="1" spans="1:26">
      <c r="A157" s="146"/>
      <c r="B157" s="146"/>
      <c r="C157" s="146"/>
      <c r="D157" s="146"/>
      <c r="E157" s="146"/>
      <c r="F157" s="146"/>
      <c r="G157" s="146"/>
      <c r="H157" s="146"/>
      <c r="I157" s="150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</row>
    <row r="158" ht="12.75" customHeight="1" spans="1:26">
      <c r="A158" s="146"/>
      <c r="B158" s="146"/>
      <c r="C158" s="146"/>
      <c r="D158" s="146"/>
      <c r="E158" s="146"/>
      <c r="F158" s="146"/>
      <c r="G158" s="146"/>
      <c r="H158" s="146"/>
      <c r="I158" s="150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</row>
    <row r="159" ht="12.75" customHeight="1" spans="1:26">
      <c r="A159" s="146"/>
      <c r="B159" s="146"/>
      <c r="C159" s="146"/>
      <c r="D159" s="146"/>
      <c r="E159" s="146"/>
      <c r="F159" s="146"/>
      <c r="G159" s="146"/>
      <c r="H159" s="146"/>
      <c r="I159" s="150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</row>
    <row r="160" ht="12.75" customHeight="1" spans="1:26">
      <c r="A160" s="146"/>
      <c r="B160" s="146"/>
      <c r="C160" s="146"/>
      <c r="D160" s="146"/>
      <c r="E160" s="146"/>
      <c r="F160" s="146"/>
      <c r="G160" s="146"/>
      <c r="H160" s="146"/>
      <c r="I160" s="150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</row>
    <row r="161" ht="12.75" customHeight="1" spans="1:26">
      <c r="A161" s="146"/>
      <c r="B161" s="146"/>
      <c r="C161" s="146"/>
      <c r="D161" s="146"/>
      <c r="E161" s="146"/>
      <c r="F161" s="146"/>
      <c r="G161" s="146"/>
      <c r="H161" s="146"/>
      <c r="I161" s="150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</row>
    <row r="162" ht="12.75" customHeight="1" spans="1:26">
      <c r="A162" s="146"/>
      <c r="B162" s="146"/>
      <c r="C162" s="146"/>
      <c r="D162" s="146"/>
      <c r="E162" s="146"/>
      <c r="F162" s="146"/>
      <c r="G162" s="146"/>
      <c r="H162" s="146"/>
      <c r="I162" s="150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</row>
    <row r="163" ht="12.75" customHeight="1" spans="1:26">
      <c r="A163" s="146"/>
      <c r="B163" s="146"/>
      <c r="C163" s="146"/>
      <c r="D163" s="146"/>
      <c r="E163" s="146"/>
      <c r="F163" s="146"/>
      <c r="G163" s="146"/>
      <c r="H163" s="146"/>
      <c r="I163" s="150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</row>
    <row r="164" ht="12.75" customHeight="1" spans="1:26">
      <c r="A164" s="146"/>
      <c r="B164" s="146"/>
      <c r="C164" s="146"/>
      <c r="D164" s="146"/>
      <c r="E164" s="146"/>
      <c r="F164" s="146"/>
      <c r="G164" s="146"/>
      <c r="H164" s="146"/>
      <c r="I164" s="150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</row>
    <row r="165" ht="12.75" customHeight="1" spans="1:26">
      <c r="A165" s="146"/>
      <c r="B165" s="146"/>
      <c r="C165" s="146"/>
      <c r="D165" s="146"/>
      <c r="E165" s="146"/>
      <c r="F165" s="146"/>
      <c r="G165" s="146"/>
      <c r="H165" s="146"/>
      <c r="I165" s="150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</row>
    <row r="166" ht="12.75" customHeight="1" spans="1:26">
      <c r="A166" s="146"/>
      <c r="B166" s="146"/>
      <c r="C166" s="146"/>
      <c r="D166" s="146"/>
      <c r="E166" s="146"/>
      <c r="F166" s="146"/>
      <c r="G166" s="146"/>
      <c r="H166" s="146"/>
      <c r="I166" s="150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</row>
    <row r="167" ht="12.75" customHeight="1" spans="1:26">
      <c r="A167" s="146"/>
      <c r="B167" s="146"/>
      <c r="C167" s="146"/>
      <c r="D167" s="146"/>
      <c r="E167" s="146"/>
      <c r="F167" s="146"/>
      <c r="G167" s="146"/>
      <c r="H167" s="146"/>
      <c r="I167" s="150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</row>
    <row r="168" ht="12.75" customHeight="1" spans="1:26">
      <c r="A168" s="146"/>
      <c r="B168" s="146"/>
      <c r="C168" s="146"/>
      <c r="D168" s="146"/>
      <c r="E168" s="146"/>
      <c r="F168" s="146"/>
      <c r="G168" s="146"/>
      <c r="H168" s="146"/>
      <c r="I168" s="150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</row>
    <row r="169" ht="12.75" customHeight="1" spans="1:26">
      <c r="A169" s="146"/>
      <c r="B169" s="146"/>
      <c r="C169" s="146"/>
      <c r="D169" s="146"/>
      <c r="E169" s="146"/>
      <c r="F169" s="146"/>
      <c r="G169" s="146"/>
      <c r="H169" s="146"/>
      <c r="I169" s="150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</row>
    <row r="170" ht="12.75" customHeight="1" spans="1:26">
      <c r="A170" s="146"/>
      <c r="B170" s="146"/>
      <c r="C170" s="146"/>
      <c r="D170" s="146"/>
      <c r="E170" s="146"/>
      <c r="F170" s="146"/>
      <c r="G170" s="146"/>
      <c r="H170" s="146"/>
      <c r="I170" s="150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</row>
    <row r="171" ht="12.75" customHeight="1" spans="1:26">
      <c r="A171" s="146"/>
      <c r="B171" s="146"/>
      <c r="C171" s="146"/>
      <c r="D171" s="146"/>
      <c r="E171" s="146"/>
      <c r="F171" s="146"/>
      <c r="G171" s="146"/>
      <c r="H171" s="146"/>
      <c r="I171" s="150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</row>
    <row r="172" ht="12.75" customHeight="1" spans="1:26">
      <c r="A172" s="146"/>
      <c r="B172" s="146"/>
      <c r="C172" s="146"/>
      <c r="D172" s="146"/>
      <c r="E172" s="146"/>
      <c r="F172" s="146"/>
      <c r="G172" s="146"/>
      <c r="H172" s="146"/>
      <c r="I172" s="150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</row>
    <row r="173" ht="12.75" customHeight="1" spans="1:26">
      <c r="A173" s="146"/>
      <c r="B173" s="146"/>
      <c r="C173" s="146"/>
      <c r="D173" s="146"/>
      <c r="E173" s="146"/>
      <c r="F173" s="146"/>
      <c r="G173" s="146"/>
      <c r="H173" s="146"/>
      <c r="I173" s="150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</row>
    <row r="174" ht="12.75" customHeight="1" spans="1:26">
      <c r="A174" s="146"/>
      <c r="B174" s="146"/>
      <c r="C174" s="146"/>
      <c r="D174" s="146"/>
      <c r="E174" s="146"/>
      <c r="F174" s="146"/>
      <c r="G174" s="146"/>
      <c r="H174" s="146"/>
      <c r="I174" s="150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</row>
    <row r="175" ht="12.75" customHeight="1" spans="1:26">
      <c r="A175" s="146"/>
      <c r="B175" s="146"/>
      <c r="C175" s="146"/>
      <c r="D175" s="146"/>
      <c r="E175" s="146"/>
      <c r="F175" s="146"/>
      <c r="G175" s="146"/>
      <c r="H175" s="146"/>
      <c r="I175" s="150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</row>
    <row r="176" ht="12.75" customHeight="1" spans="1:26">
      <c r="A176" s="146"/>
      <c r="B176" s="146"/>
      <c r="C176" s="146"/>
      <c r="D176" s="146"/>
      <c r="E176" s="146"/>
      <c r="F176" s="146"/>
      <c r="G176" s="146"/>
      <c r="H176" s="146"/>
      <c r="I176" s="150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</row>
    <row r="177" ht="12.75" customHeight="1" spans="1:26">
      <c r="A177" s="146"/>
      <c r="B177" s="146"/>
      <c r="C177" s="146"/>
      <c r="D177" s="146"/>
      <c r="E177" s="146"/>
      <c r="F177" s="146"/>
      <c r="G177" s="146"/>
      <c r="H177" s="146"/>
      <c r="I177" s="150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</row>
    <row r="178" ht="12.75" customHeight="1" spans="1:26">
      <c r="A178" s="146"/>
      <c r="B178" s="146"/>
      <c r="C178" s="146"/>
      <c r="D178" s="146"/>
      <c r="E178" s="146"/>
      <c r="F178" s="146"/>
      <c r="G178" s="146"/>
      <c r="H178" s="146"/>
      <c r="I178" s="150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</row>
    <row r="179" ht="12.75" customHeight="1" spans="1:26">
      <c r="A179" s="146"/>
      <c r="B179" s="146"/>
      <c r="C179" s="146"/>
      <c r="D179" s="146"/>
      <c r="E179" s="146"/>
      <c r="F179" s="146"/>
      <c r="G179" s="146"/>
      <c r="H179" s="146"/>
      <c r="I179" s="150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</row>
    <row r="180" ht="12.75" customHeight="1" spans="1:26">
      <c r="A180" s="146"/>
      <c r="B180" s="146"/>
      <c r="C180" s="146"/>
      <c r="D180" s="146"/>
      <c r="E180" s="146"/>
      <c r="F180" s="146"/>
      <c r="G180" s="146"/>
      <c r="H180" s="146"/>
      <c r="I180" s="150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</row>
    <row r="181" ht="12.75" customHeight="1" spans="1:26">
      <c r="A181" s="146"/>
      <c r="B181" s="146"/>
      <c r="C181" s="146"/>
      <c r="D181" s="146"/>
      <c r="E181" s="146"/>
      <c r="F181" s="146"/>
      <c r="G181" s="146"/>
      <c r="H181" s="146"/>
      <c r="I181" s="150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</row>
    <row r="182" ht="12.75" customHeight="1" spans="1:26">
      <c r="A182" s="146"/>
      <c r="B182" s="146"/>
      <c r="C182" s="146"/>
      <c r="D182" s="146"/>
      <c r="E182" s="146"/>
      <c r="F182" s="146"/>
      <c r="G182" s="146"/>
      <c r="H182" s="146"/>
      <c r="I182" s="150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</row>
    <row r="183" ht="12.75" customHeight="1" spans="1:26">
      <c r="A183" s="146"/>
      <c r="B183" s="146"/>
      <c r="C183" s="146"/>
      <c r="D183" s="146"/>
      <c r="E183" s="146"/>
      <c r="F183" s="146"/>
      <c r="G183" s="146"/>
      <c r="H183" s="146"/>
      <c r="I183" s="150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</row>
    <row r="184" ht="12.75" customHeight="1" spans="1:26">
      <c r="A184" s="146"/>
      <c r="B184" s="146"/>
      <c r="C184" s="146"/>
      <c r="D184" s="146"/>
      <c r="E184" s="146"/>
      <c r="F184" s="146"/>
      <c r="G184" s="146"/>
      <c r="H184" s="146"/>
      <c r="I184" s="150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</row>
    <row r="185" ht="12.75" customHeight="1" spans="1:26">
      <c r="A185" s="146"/>
      <c r="B185" s="146"/>
      <c r="C185" s="146"/>
      <c r="D185" s="146"/>
      <c r="E185" s="146"/>
      <c r="F185" s="146"/>
      <c r="G185" s="146"/>
      <c r="H185" s="146"/>
      <c r="I185" s="150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</row>
    <row r="186" ht="12.75" customHeight="1" spans="1:26">
      <c r="A186" s="146"/>
      <c r="B186" s="146"/>
      <c r="C186" s="146"/>
      <c r="D186" s="146"/>
      <c r="E186" s="146"/>
      <c r="F186" s="146"/>
      <c r="G186" s="146"/>
      <c r="H186" s="146"/>
      <c r="I186" s="150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</row>
    <row r="187" ht="12.75" customHeight="1" spans="1:26">
      <c r="A187" s="146"/>
      <c r="B187" s="146"/>
      <c r="C187" s="146"/>
      <c r="D187" s="146"/>
      <c r="E187" s="146"/>
      <c r="F187" s="146"/>
      <c r="G187" s="146"/>
      <c r="H187" s="146"/>
      <c r="I187" s="150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</row>
    <row r="188" ht="12.75" customHeight="1" spans="1:26">
      <c r="A188" s="146"/>
      <c r="B188" s="146"/>
      <c r="C188" s="146"/>
      <c r="D188" s="146"/>
      <c r="E188" s="146"/>
      <c r="F188" s="146"/>
      <c r="G188" s="146"/>
      <c r="H188" s="146"/>
      <c r="I188" s="150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</row>
    <row r="189" ht="12.75" customHeight="1" spans="1:26">
      <c r="A189" s="146"/>
      <c r="B189" s="146"/>
      <c r="C189" s="146"/>
      <c r="D189" s="146"/>
      <c r="E189" s="146"/>
      <c r="F189" s="146"/>
      <c r="G189" s="146"/>
      <c r="H189" s="146"/>
      <c r="I189" s="150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</row>
    <row r="190" ht="12.75" customHeight="1" spans="1:26">
      <c r="A190" s="146"/>
      <c r="B190" s="146"/>
      <c r="C190" s="146"/>
      <c r="D190" s="146"/>
      <c r="E190" s="146"/>
      <c r="F190" s="146"/>
      <c r="G190" s="146"/>
      <c r="H190" s="146"/>
      <c r="I190" s="150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</row>
    <row r="191" ht="12.75" customHeight="1" spans="1:26">
      <c r="A191" s="146"/>
      <c r="B191" s="146"/>
      <c r="C191" s="146"/>
      <c r="D191" s="146"/>
      <c r="E191" s="146"/>
      <c r="F191" s="146"/>
      <c r="G191" s="146"/>
      <c r="H191" s="146"/>
      <c r="I191" s="150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</row>
    <row r="192" ht="12.75" customHeight="1" spans="1:26">
      <c r="A192" s="146"/>
      <c r="B192" s="146"/>
      <c r="C192" s="146"/>
      <c r="D192" s="146"/>
      <c r="E192" s="146"/>
      <c r="F192" s="146"/>
      <c r="G192" s="146"/>
      <c r="H192" s="146"/>
      <c r="I192" s="150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</row>
    <row r="193" ht="12.75" customHeight="1" spans="1:26">
      <c r="A193" s="146"/>
      <c r="B193" s="146"/>
      <c r="C193" s="146"/>
      <c r="D193" s="146"/>
      <c r="E193" s="146"/>
      <c r="F193" s="146"/>
      <c r="G193" s="146"/>
      <c r="H193" s="146"/>
      <c r="I193" s="150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</row>
    <row r="194" ht="12.75" customHeight="1" spans="1:26">
      <c r="A194" s="146"/>
      <c r="B194" s="146"/>
      <c r="C194" s="146"/>
      <c r="D194" s="146"/>
      <c r="E194" s="146"/>
      <c r="F194" s="146"/>
      <c r="G194" s="146"/>
      <c r="H194" s="146"/>
      <c r="I194" s="150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</row>
    <row r="195" ht="12.75" customHeight="1" spans="1:26">
      <c r="A195" s="146"/>
      <c r="B195" s="146"/>
      <c r="C195" s="146"/>
      <c r="D195" s="146"/>
      <c r="E195" s="146"/>
      <c r="F195" s="146"/>
      <c r="G195" s="146"/>
      <c r="H195" s="146"/>
      <c r="I195" s="150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</row>
    <row r="196" ht="12.75" customHeight="1" spans="1:26">
      <c r="A196" s="146"/>
      <c r="B196" s="146"/>
      <c r="C196" s="146"/>
      <c r="D196" s="146"/>
      <c r="E196" s="146"/>
      <c r="F196" s="146"/>
      <c r="G196" s="146"/>
      <c r="H196" s="146"/>
      <c r="I196" s="150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</row>
    <row r="197" ht="12.75" customHeight="1" spans="1:26">
      <c r="A197" s="146"/>
      <c r="B197" s="146"/>
      <c r="C197" s="146"/>
      <c r="D197" s="146"/>
      <c r="E197" s="146"/>
      <c r="F197" s="146"/>
      <c r="G197" s="146"/>
      <c r="H197" s="146"/>
      <c r="I197" s="150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</row>
    <row r="198" ht="12.75" customHeight="1" spans="1:26">
      <c r="A198" s="146"/>
      <c r="B198" s="146"/>
      <c r="C198" s="146"/>
      <c r="D198" s="146"/>
      <c r="E198" s="146"/>
      <c r="F198" s="146"/>
      <c r="G198" s="146"/>
      <c r="H198" s="146"/>
      <c r="I198" s="150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</row>
    <row r="199" ht="12.75" customHeight="1" spans="1:26">
      <c r="A199" s="146"/>
      <c r="B199" s="146"/>
      <c r="C199" s="146"/>
      <c r="D199" s="146"/>
      <c r="E199" s="146"/>
      <c r="F199" s="146"/>
      <c r="G199" s="146"/>
      <c r="H199" s="146"/>
      <c r="I199" s="150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</row>
    <row r="200" ht="12.75" customHeight="1" spans="1:26">
      <c r="A200" s="146"/>
      <c r="B200" s="146"/>
      <c r="C200" s="146"/>
      <c r="D200" s="146"/>
      <c r="E200" s="146"/>
      <c r="F200" s="146"/>
      <c r="G200" s="146"/>
      <c r="H200" s="146"/>
      <c r="I200" s="150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</row>
    <row r="201" ht="12.75" customHeight="1" spans="1:26">
      <c r="A201" s="146"/>
      <c r="B201" s="146"/>
      <c r="C201" s="146"/>
      <c r="D201" s="146"/>
      <c r="E201" s="146"/>
      <c r="F201" s="146"/>
      <c r="G201" s="146"/>
      <c r="H201" s="146"/>
      <c r="I201" s="150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</row>
    <row r="202" ht="12.75" customHeight="1" spans="1:26">
      <c r="A202" s="146"/>
      <c r="B202" s="146"/>
      <c r="C202" s="146"/>
      <c r="D202" s="146"/>
      <c r="E202" s="146"/>
      <c r="F202" s="146"/>
      <c r="G202" s="146"/>
      <c r="H202" s="146"/>
      <c r="I202" s="150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</row>
    <row r="203" ht="12.75" customHeight="1" spans="1:26">
      <c r="A203" s="146"/>
      <c r="B203" s="146"/>
      <c r="C203" s="146"/>
      <c r="D203" s="146"/>
      <c r="E203" s="146"/>
      <c r="F203" s="146"/>
      <c r="G203" s="146"/>
      <c r="H203" s="146"/>
      <c r="I203" s="150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</row>
    <row r="204" ht="12.75" customHeight="1" spans="1:26">
      <c r="A204" s="146"/>
      <c r="B204" s="146"/>
      <c r="C204" s="146"/>
      <c r="D204" s="146"/>
      <c r="E204" s="146"/>
      <c r="F204" s="146"/>
      <c r="G204" s="146"/>
      <c r="H204" s="146"/>
      <c r="I204" s="150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</row>
    <row r="205" ht="12.75" customHeight="1" spans="1:26">
      <c r="A205" s="146"/>
      <c r="B205" s="146"/>
      <c r="C205" s="146"/>
      <c r="D205" s="146"/>
      <c r="E205" s="146"/>
      <c r="F205" s="146"/>
      <c r="G205" s="146"/>
      <c r="H205" s="146"/>
      <c r="I205" s="150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</row>
    <row r="206" ht="12.75" customHeight="1" spans="1:26">
      <c r="A206" s="146"/>
      <c r="B206" s="146"/>
      <c r="C206" s="146"/>
      <c r="D206" s="146"/>
      <c r="E206" s="146"/>
      <c r="F206" s="146"/>
      <c r="G206" s="146"/>
      <c r="H206" s="146"/>
      <c r="I206" s="150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</row>
    <row r="207" ht="12.75" customHeight="1" spans="1:26">
      <c r="A207" s="146"/>
      <c r="B207" s="146"/>
      <c r="C207" s="146"/>
      <c r="D207" s="146"/>
      <c r="E207" s="146"/>
      <c r="F207" s="146"/>
      <c r="G207" s="146"/>
      <c r="H207" s="146"/>
      <c r="I207" s="150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</row>
    <row r="208" ht="12.75" customHeight="1" spans="1:26">
      <c r="A208" s="146"/>
      <c r="B208" s="146"/>
      <c r="C208" s="146"/>
      <c r="D208" s="146"/>
      <c r="E208" s="146"/>
      <c r="F208" s="146"/>
      <c r="G208" s="146"/>
      <c r="H208" s="146"/>
      <c r="I208" s="150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</row>
    <row r="209" ht="12.75" customHeight="1" spans="1:26">
      <c r="A209" s="146"/>
      <c r="B209" s="146"/>
      <c r="C209" s="146"/>
      <c r="D209" s="146"/>
      <c r="E209" s="146"/>
      <c r="F209" s="146"/>
      <c r="G209" s="146"/>
      <c r="H209" s="146"/>
      <c r="I209" s="150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</row>
    <row r="210" ht="12.75" customHeight="1" spans="1:26">
      <c r="A210" s="146"/>
      <c r="B210" s="146"/>
      <c r="C210" s="146"/>
      <c r="D210" s="146"/>
      <c r="E210" s="146"/>
      <c r="F210" s="146"/>
      <c r="G210" s="146"/>
      <c r="H210" s="146"/>
      <c r="I210" s="150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</row>
    <row r="211" ht="12.75" customHeight="1" spans="1:26">
      <c r="A211" s="146"/>
      <c r="B211" s="146"/>
      <c r="C211" s="146"/>
      <c r="D211" s="146"/>
      <c r="E211" s="146"/>
      <c r="F211" s="146"/>
      <c r="G211" s="146"/>
      <c r="H211" s="146"/>
      <c r="I211" s="150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</row>
    <row r="212" ht="12.75" customHeight="1" spans="1:26">
      <c r="A212" s="146"/>
      <c r="B212" s="146"/>
      <c r="C212" s="146"/>
      <c r="D212" s="146"/>
      <c r="E212" s="146"/>
      <c r="F212" s="146"/>
      <c r="G212" s="146"/>
      <c r="H212" s="146"/>
      <c r="I212" s="150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</row>
    <row r="213" ht="12.75" customHeight="1" spans="1:26">
      <c r="A213" s="146"/>
      <c r="B213" s="146"/>
      <c r="C213" s="146"/>
      <c r="D213" s="146"/>
      <c r="E213" s="146"/>
      <c r="F213" s="146"/>
      <c r="G213" s="146"/>
      <c r="H213" s="146"/>
      <c r="I213" s="150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</row>
    <row r="214" ht="12.75" customHeight="1" spans="1:26">
      <c r="A214" s="146"/>
      <c r="B214" s="146"/>
      <c r="C214" s="146"/>
      <c r="D214" s="146"/>
      <c r="E214" s="146"/>
      <c r="F214" s="146"/>
      <c r="G214" s="146"/>
      <c r="H214" s="146"/>
      <c r="I214" s="150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</row>
    <row r="215" ht="12.75" customHeight="1" spans="1:26">
      <c r="A215" s="146"/>
      <c r="B215" s="146"/>
      <c r="C215" s="146"/>
      <c r="D215" s="146"/>
      <c r="E215" s="146"/>
      <c r="F215" s="146"/>
      <c r="G215" s="146"/>
      <c r="H215" s="146"/>
      <c r="I215" s="150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</row>
    <row r="216" ht="12.75" customHeight="1" spans="1:26">
      <c r="A216" s="146"/>
      <c r="B216" s="146"/>
      <c r="C216" s="146"/>
      <c r="D216" s="146"/>
      <c r="E216" s="146"/>
      <c r="F216" s="146"/>
      <c r="G216" s="146"/>
      <c r="H216" s="146"/>
      <c r="I216" s="150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</row>
    <row r="217" ht="12.75" customHeight="1" spans="1:26">
      <c r="A217" s="146"/>
      <c r="B217" s="146"/>
      <c r="C217" s="146"/>
      <c r="D217" s="146"/>
      <c r="E217" s="146"/>
      <c r="F217" s="146"/>
      <c r="G217" s="146"/>
      <c r="H217" s="146"/>
      <c r="I217" s="150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</row>
    <row r="218" ht="12.75" customHeight="1" spans="1:26">
      <c r="A218" s="146"/>
      <c r="B218" s="146"/>
      <c r="C218" s="146"/>
      <c r="D218" s="146"/>
      <c r="E218" s="146"/>
      <c r="F218" s="146"/>
      <c r="G218" s="146"/>
      <c r="H218" s="146"/>
      <c r="I218" s="150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</row>
    <row r="219" ht="12.75" customHeight="1" spans="1:26">
      <c r="A219" s="146"/>
      <c r="B219" s="146"/>
      <c r="C219" s="146"/>
      <c r="D219" s="146"/>
      <c r="E219" s="146"/>
      <c r="F219" s="146"/>
      <c r="G219" s="146"/>
      <c r="H219" s="146"/>
      <c r="I219" s="150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</row>
    <row r="220" ht="12.75" customHeight="1" spans="1:26">
      <c r="A220" s="146"/>
      <c r="B220" s="146"/>
      <c r="C220" s="146"/>
      <c r="D220" s="146"/>
      <c r="E220" s="146"/>
      <c r="F220" s="146"/>
      <c r="G220" s="146"/>
      <c r="H220" s="146"/>
      <c r="I220" s="150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</row>
    <row r="221" ht="12.75" customHeight="1" spans="1:26">
      <c r="A221" s="146"/>
      <c r="B221" s="146"/>
      <c r="C221" s="146"/>
      <c r="D221" s="146"/>
      <c r="E221" s="146"/>
      <c r="F221" s="146"/>
      <c r="G221" s="146"/>
      <c r="H221" s="146"/>
      <c r="I221" s="150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</row>
    <row r="222" ht="12.75" customHeight="1" spans="1:26">
      <c r="A222" s="146"/>
      <c r="B222" s="146"/>
      <c r="C222" s="146"/>
      <c r="D222" s="146"/>
      <c r="E222" s="146"/>
      <c r="F222" s="146"/>
      <c r="G222" s="146"/>
      <c r="H222" s="146"/>
      <c r="I222" s="150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</row>
    <row r="223" ht="12.75" customHeight="1" spans="1:26">
      <c r="A223" s="146"/>
      <c r="B223" s="146"/>
      <c r="C223" s="146"/>
      <c r="D223" s="146"/>
      <c r="E223" s="146"/>
      <c r="F223" s="146"/>
      <c r="G223" s="146"/>
      <c r="H223" s="146"/>
      <c r="I223" s="150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</row>
    <row r="224" ht="12.75" customHeight="1" spans="1:26">
      <c r="A224" s="146"/>
      <c r="B224" s="146"/>
      <c r="C224" s="146"/>
      <c r="D224" s="146"/>
      <c r="E224" s="146"/>
      <c r="F224" s="146"/>
      <c r="G224" s="146"/>
      <c r="H224" s="146"/>
      <c r="I224" s="150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</row>
    <row r="225" ht="12.75" customHeight="1" spans="1:26">
      <c r="A225" s="146"/>
      <c r="B225" s="146"/>
      <c r="C225" s="146"/>
      <c r="D225" s="146"/>
      <c r="E225" s="146"/>
      <c r="F225" s="146"/>
      <c r="G225" s="146"/>
      <c r="H225" s="146"/>
      <c r="I225" s="150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</row>
    <row r="226" ht="12.75" customHeight="1" spans="1:26">
      <c r="A226" s="146"/>
      <c r="B226" s="146"/>
      <c r="C226" s="146"/>
      <c r="D226" s="146"/>
      <c r="E226" s="146"/>
      <c r="F226" s="146"/>
      <c r="G226" s="146"/>
      <c r="H226" s="146"/>
      <c r="I226" s="150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</row>
    <row r="227" ht="12.75" customHeight="1" spans="1:26">
      <c r="A227" s="146"/>
      <c r="B227" s="146"/>
      <c r="C227" s="146"/>
      <c r="D227" s="146"/>
      <c r="E227" s="146"/>
      <c r="F227" s="146"/>
      <c r="G227" s="146"/>
      <c r="H227" s="146"/>
      <c r="I227" s="150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</row>
    <row r="228" ht="12.75" customHeight="1" spans="1:26">
      <c r="A228" s="146"/>
      <c r="B228" s="146"/>
      <c r="C228" s="146"/>
      <c r="D228" s="146"/>
      <c r="E228" s="146"/>
      <c r="F228" s="146"/>
      <c r="G228" s="146"/>
      <c r="H228" s="146"/>
      <c r="I228" s="150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</row>
    <row r="229" ht="12.75" customHeight="1" spans="1:26">
      <c r="A229" s="146"/>
      <c r="B229" s="146"/>
      <c r="C229" s="146"/>
      <c r="D229" s="146"/>
      <c r="E229" s="146"/>
      <c r="F229" s="146"/>
      <c r="G229" s="146"/>
      <c r="H229" s="146"/>
      <c r="I229" s="150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</row>
    <row r="230" ht="12.75" customHeight="1" spans="1:26">
      <c r="A230" s="146"/>
      <c r="B230" s="146"/>
      <c r="C230" s="146"/>
      <c r="D230" s="146"/>
      <c r="E230" s="146"/>
      <c r="F230" s="146"/>
      <c r="G230" s="146"/>
      <c r="H230" s="146"/>
      <c r="I230" s="150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</row>
    <row r="231" ht="12.75" customHeight="1" spans="1:26">
      <c r="A231" s="146"/>
      <c r="B231" s="146"/>
      <c r="C231" s="146"/>
      <c r="D231" s="146"/>
      <c r="E231" s="146"/>
      <c r="F231" s="146"/>
      <c r="G231" s="146"/>
      <c r="H231" s="146"/>
      <c r="I231" s="150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</row>
    <row r="232" ht="12.75" customHeight="1" spans="1:26">
      <c r="A232" s="146"/>
      <c r="B232" s="146"/>
      <c r="C232" s="146"/>
      <c r="D232" s="146"/>
      <c r="E232" s="146"/>
      <c r="F232" s="146"/>
      <c r="G232" s="146"/>
      <c r="H232" s="146"/>
      <c r="I232" s="150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</row>
    <row r="233" ht="12.75" customHeight="1" spans="1:26">
      <c r="A233" s="146"/>
      <c r="B233" s="146"/>
      <c r="C233" s="146"/>
      <c r="D233" s="146"/>
      <c r="E233" s="146"/>
      <c r="F233" s="146"/>
      <c r="G233" s="146"/>
      <c r="H233" s="146"/>
      <c r="I233" s="150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</row>
    <row r="234" ht="12.75" customHeight="1" spans="1:26">
      <c r="A234" s="146"/>
      <c r="B234" s="146"/>
      <c r="C234" s="146"/>
      <c r="D234" s="146"/>
      <c r="E234" s="146"/>
      <c r="F234" s="146"/>
      <c r="G234" s="146"/>
      <c r="H234" s="146"/>
      <c r="I234" s="150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</row>
    <row r="235" ht="12.75" customHeight="1" spans="1:26">
      <c r="A235" s="146"/>
      <c r="B235" s="146"/>
      <c r="C235" s="146"/>
      <c r="D235" s="146"/>
      <c r="E235" s="146"/>
      <c r="F235" s="146"/>
      <c r="G235" s="146"/>
      <c r="H235" s="146"/>
      <c r="I235" s="150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</row>
    <row r="236" ht="12.75" customHeight="1" spans="1:26">
      <c r="A236" s="146"/>
      <c r="B236" s="146"/>
      <c r="C236" s="146"/>
      <c r="D236" s="146"/>
      <c r="E236" s="146"/>
      <c r="F236" s="146"/>
      <c r="G236" s="146"/>
      <c r="H236" s="146"/>
      <c r="I236" s="150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</row>
    <row r="237" ht="12.75" customHeight="1" spans="1:26">
      <c r="A237" s="146"/>
      <c r="B237" s="146"/>
      <c r="C237" s="146"/>
      <c r="D237" s="146"/>
      <c r="E237" s="146"/>
      <c r="F237" s="146"/>
      <c r="G237" s="146"/>
      <c r="H237" s="146"/>
      <c r="I237" s="150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</row>
    <row r="238" ht="12.75" customHeight="1" spans="1:26">
      <c r="A238" s="146"/>
      <c r="B238" s="146"/>
      <c r="C238" s="146"/>
      <c r="D238" s="146"/>
      <c r="E238" s="146"/>
      <c r="F238" s="146"/>
      <c r="G238" s="146"/>
      <c r="H238" s="146"/>
      <c r="I238" s="150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</row>
    <row r="239" ht="12.75" customHeight="1" spans="1:26">
      <c r="A239" s="146"/>
      <c r="B239" s="146"/>
      <c r="C239" s="146"/>
      <c r="D239" s="146"/>
      <c r="E239" s="146"/>
      <c r="F239" s="146"/>
      <c r="G239" s="146"/>
      <c r="H239" s="146"/>
      <c r="I239" s="150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</row>
    <row r="240" ht="12.75" customHeight="1" spans="1:26">
      <c r="A240" s="146"/>
      <c r="B240" s="146"/>
      <c r="C240" s="146"/>
      <c r="D240" s="146"/>
      <c r="E240" s="146"/>
      <c r="F240" s="146"/>
      <c r="G240" s="146"/>
      <c r="H240" s="146"/>
      <c r="I240" s="150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</row>
    <row r="241" ht="12.75" customHeight="1" spans="1:26">
      <c r="A241" s="146"/>
      <c r="B241" s="146"/>
      <c r="C241" s="146"/>
      <c r="D241" s="146"/>
      <c r="E241" s="146"/>
      <c r="F241" s="146"/>
      <c r="G241" s="146"/>
      <c r="H241" s="146"/>
      <c r="I241" s="150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</row>
    <row r="242" ht="12.75" customHeight="1" spans="1:26">
      <c r="A242" s="146"/>
      <c r="B242" s="146"/>
      <c r="C242" s="146"/>
      <c r="D242" s="146"/>
      <c r="E242" s="146"/>
      <c r="F242" s="146"/>
      <c r="G242" s="146"/>
      <c r="H242" s="146"/>
      <c r="I242" s="150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</row>
    <row r="243" ht="12.75" customHeight="1" spans="1:26">
      <c r="A243" s="146"/>
      <c r="B243" s="146"/>
      <c r="C243" s="146"/>
      <c r="D243" s="146"/>
      <c r="E243" s="146"/>
      <c r="F243" s="146"/>
      <c r="G243" s="146"/>
      <c r="H243" s="146"/>
      <c r="I243" s="150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</row>
    <row r="244" ht="12.75" customHeight="1" spans="1:26">
      <c r="A244" s="146"/>
      <c r="B244" s="146"/>
      <c r="C244" s="146"/>
      <c r="D244" s="146"/>
      <c r="E244" s="146"/>
      <c r="F244" s="146"/>
      <c r="G244" s="146"/>
      <c r="H244" s="146"/>
      <c r="I244" s="150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</row>
    <row r="245" ht="12.75" customHeight="1" spans="1:26">
      <c r="A245" s="146"/>
      <c r="B245" s="146"/>
      <c r="C245" s="146"/>
      <c r="D245" s="146"/>
      <c r="E245" s="146"/>
      <c r="F245" s="146"/>
      <c r="G245" s="146"/>
      <c r="H245" s="146"/>
      <c r="I245" s="150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</row>
    <row r="246" ht="12.75" customHeight="1" spans="1:26">
      <c r="A246" s="146"/>
      <c r="B246" s="146"/>
      <c r="C246" s="146"/>
      <c r="D246" s="146"/>
      <c r="E246" s="146"/>
      <c r="F246" s="146"/>
      <c r="G246" s="146"/>
      <c r="H246" s="146"/>
      <c r="I246" s="150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</row>
    <row r="247" ht="12.75" customHeight="1" spans="1:26">
      <c r="A247" s="146"/>
      <c r="B247" s="146"/>
      <c r="C247" s="146"/>
      <c r="D247" s="146"/>
      <c r="E247" s="146"/>
      <c r="F247" s="146"/>
      <c r="G247" s="146"/>
      <c r="H247" s="146"/>
      <c r="I247" s="150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</row>
    <row r="248" ht="12.75" customHeight="1" spans="1:26">
      <c r="A248" s="146"/>
      <c r="B248" s="146"/>
      <c r="C248" s="146"/>
      <c r="D248" s="146"/>
      <c r="E248" s="146"/>
      <c r="F248" s="146"/>
      <c r="G248" s="146"/>
      <c r="H248" s="146"/>
      <c r="I248" s="150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</row>
    <row r="249" ht="12.75" customHeight="1" spans="1:26">
      <c r="A249" s="146"/>
      <c r="B249" s="146"/>
      <c r="C249" s="146"/>
      <c r="D249" s="146"/>
      <c r="E249" s="146"/>
      <c r="F249" s="146"/>
      <c r="G249" s="146"/>
      <c r="H249" s="146"/>
      <c r="I249" s="150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</row>
    <row r="250" ht="12.75" customHeight="1" spans="1:26">
      <c r="A250" s="146"/>
      <c r="B250" s="146"/>
      <c r="C250" s="146"/>
      <c r="D250" s="146"/>
      <c r="E250" s="146"/>
      <c r="F250" s="146"/>
      <c r="G250" s="146"/>
      <c r="H250" s="146"/>
      <c r="I250" s="150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</row>
    <row r="251" ht="12.75" customHeight="1" spans="1:26">
      <c r="A251" s="146"/>
      <c r="B251" s="146"/>
      <c r="C251" s="146"/>
      <c r="D251" s="146"/>
      <c r="E251" s="146"/>
      <c r="F251" s="146"/>
      <c r="G251" s="146"/>
      <c r="H251" s="146"/>
      <c r="I251" s="150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</row>
    <row r="252" ht="12.75" customHeight="1" spans="1:26">
      <c r="A252" s="146"/>
      <c r="B252" s="146"/>
      <c r="C252" s="146"/>
      <c r="D252" s="146"/>
      <c r="E252" s="146"/>
      <c r="F252" s="146"/>
      <c r="G252" s="146"/>
      <c r="H252" s="146"/>
      <c r="I252" s="150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</row>
    <row r="253" ht="12.75" customHeight="1" spans="1:26">
      <c r="A253" s="146"/>
      <c r="B253" s="146"/>
      <c r="C253" s="146"/>
      <c r="D253" s="146"/>
      <c r="E253" s="146"/>
      <c r="F253" s="146"/>
      <c r="G253" s="146"/>
      <c r="H253" s="146"/>
      <c r="I253" s="150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</row>
    <row r="254" ht="12.75" customHeight="1" spans="1:26">
      <c r="A254" s="146"/>
      <c r="B254" s="146"/>
      <c r="C254" s="146"/>
      <c r="D254" s="146"/>
      <c r="E254" s="146"/>
      <c r="F254" s="146"/>
      <c r="G254" s="146"/>
      <c r="H254" s="146"/>
      <c r="I254" s="150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</row>
    <row r="255" ht="12.75" customHeight="1" spans="1:26">
      <c r="A255" s="146"/>
      <c r="B255" s="146"/>
      <c r="C255" s="146"/>
      <c r="D255" s="146"/>
      <c r="E255" s="146"/>
      <c r="F255" s="146"/>
      <c r="G255" s="146"/>
      <c r="H255" s="146"/>
      <c r="I255" s="150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</row>
    <row r="256" ht="12.75" customHeight="1" spans="1:26">
      <c r="A256" s="146"/>
      <c r="B256" s="146"/>
      <c r="C256" s="146"/>
      <c r="D256" s="146"/>
      <c r="E256" s="146"/>
      <c r="F256" s="146"/>
      <c r="G256" s="146"/>
      <c r="H256" s="146"/>
      <c r="I256" s="150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</row>
    <row r="257" ht="12.75" customHeight="1" spans="1:26">
      <c r="A257" s="146"/>
      <c r="B257" s="146"/>
      <c r="C257" s="146"/>
      <c r="D257" s="146"/>
      <c r="E257" s="146"/>
      <c r="F257" s="146"/>
      <c r="G257" s="146"/>
      <c r="H257" s="146"/>
      <c r="I257" s="150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</row>
    <row r="258" ht="12.75" customHeight="1" spans="1:26">
      <c r="A258" s="146"/>
      <c r="B258" s="146"/>
      <c r="C258" s="146"/>
      <c r="D258" s="146"/>
      <c r="E258" s="146"/>
      <c r="F258" s="146"/>
      <c r="G258" s="146"/>
      <c r="H258" s="146"/>
      <c r="I258" s="150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</row>
    <row r="259" ht="12.75" customHeight="1" spans="1:26">
      <c r="A259" s="146"/>
      <c r="B259" s="146"/>
      <c r="C259" s="146"/>
      <c r="D259" s="146"/>
      <c r="E259" s="146"/>
      <c r="F259" s="146"/>
      <c r="G259" s="146"/>
      <c r="H259" s="146"/>
      <c r="I259" s="150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</row>
    <row r="260" ht="12.75" customHeight="1" spans="1:26">
      <c r="A260" s="146"/>
      <c r="B260" s="146"/>
      <c r="C260" s="146"/>
      <c r="D260" s="146"/>
      <c r="E260" s="146"/>
      <c r="F260" s="146"/>
      <c r="G260" s="146"/>
      <c r="H260" s="146"/>
      <c r="I260" s="150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</row>
    <row r="261" ht="12.75" customHeight="1" spans="1:26">
      <c r="A261" s="146"/>
      <c r="B261" s="146"/>
      <c r="C261" s="146"/>
      <c r="D261" s="146"/>
      <c r="E261" s="146"/>
      <c r="F261" s="146"/>
      <c r="G261" s="146"/>
      <c r="H261" s="146"/>
      <c r="I261" s="150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</row>
    <row r="262" ht="12.75" customHeight="1" spans="1:26">
      <c r="A262" s="146"/>
      <c r="B262" s="146"/>
      <c r="C262" s="146"/>
      <c r="D262" s="146"/>
      <c r="E262" s="146"/>
      <c r="F262" s="146"/>
      <c r="G262" s="146"/>
      <c r="H262" s="146"/>
      <c r="I262" s="150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</row>
    <row r="263" ht="12.75" customHeight="1" spans="1:26">
      <c r="A263" s="146"/>
      <c r="B263" s="146"/>
      <c r="C263" s="146"/>
      <c r="D263" s="146"/>
      <c r="E263" s="146"/>
      <c r="F263" s="146"/>
      <c r="G263" s="146"/>
      <c r="H263" s="146"/>
      <c r="I263" s="150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</row>
    <row r="264" ht="12.75" customHeight="1" spans="1:26">
      <c r="A264" s="146"/>
      <c r="B264" s="146"/>
      <c r="C264" s="146"/>
      <c r="D264" s="146"/>
      <c r="E264" s="146"/>
      <c r="F264" s="146"/>
      <c r="G264" s="146"/>
      <c r="H264" s="146"/>
      <c r="I264" s="150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</row>
    <row r="265" ht="12.75" customHeight="1" spans="1:26">
      <c r="A265" s="146"/>
      <c r="B265" s="146"/>
      <c r="C265" s="146"/>
      <c r="D265" s="146"/>
      <c r="E265" s="146"/>
      <c r="F265" s="146"/>
      <c r="G265" s="146"/>
      <c r="H265" s="146"/>
      <c r="I265" s="150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</row>
    <row r="266" ht="12.75" customHeight="1" spans="1:26">
      <c r="A266" s="146"/>
      <c r="B266" s="146"/>
      <c r="C266" s="146"/>
      <c r="D266" s="146"/>
      <c r="E266" s="146"/>
      <c r="F266" s="146"/>
      <c r="G266" s="146"/>
      <c r="H266" s="146"/>
      <c r="I266" s="150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</row>
    <row r="267" ht="12.75" customHeight="1" spans="1:26">
      <c r="A267" s="146"/>
      <c r="B267" s="146"/>
      <c r="C267" s="146"/>
      <c r="D267" s="146"/>
      <c r="E267" s="146"/>
      <c r="F267" s="146"/>
      <c r="G267" s="146"/>
      <c r="H267" s="146"/>
      <c r="I267" s="150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</row>
    <row r="268" ht="12.75" customHeight="1" spans="1:26">
      <c r="A268" s="146"/>
      <c r="B268" s="146"/>
      <c r="C268" s="146"/>
      <c r="D268" s="146"/>
      <c r="E268" s="146"/>
      <c r="F268" s="146"/>
      <c r="G268" s="146"/>
      <c r="H268" s="146"/>
      <c r="I268" s="150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</row>
    <row r="269" ht="12.75" customHeight="1" spans="1:26">
      <c r="A269" s="146"/>
      <c r="B269" s="146"/>
      <c r="C269" s="146"/>
      <c r="D269" s="146"/>
      <c r="E269" s="146"/>
      <c r="F269" s="146"/>
      <c r="G269" s="146"/>
      <c r="H269" s="146"/>
      <c r="I269" s="150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</row>
    <row r="270" ht="12.75" customHeight="1" spans="1:26">
      <c r="A270" s="146"/>
      <c r="B270" s="146"/>
      <c r="C270" s="146"/>
      <c r="D270" s="146"/>
      <c r="E270" s="146"/>
      <c r="F270" s="146"/>
      <c r="G270" s="146"/>
      <c r="H270" s="146"/>
      <c r="I270" s="150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</row>
    <row r="271" ht="12.75" customHeight="1" spans="1:26">
      <c r="A271" s="146"/>
      <c r="B271" s="146"/>
      <c r="C271" s="146"/>
      <c r="D271" s="146"/>
      <c r="E271" s="146"/>
      <c r="F271" s="146"/>
      <c r="G271" s="146"/>
      <c r="H271" s="146"/>
      <c r="I271" s="150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</row>
    <row r="272" ht="12.75" customHeight="1" spans="1:26">
      <c r="A272" s="146"/>
      <c r="B272" s="146"/>
      <c r="C272" s="146"/>
      <c r="D272" s="146"/>
      <c r="E272" s="146"/>
      <c r="F272" s="146"/>
      <c r="G272" s="146"/>
      <c r="H272" s="146"/>
      <c r="I272" s="150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</row>
    <row r="273" ht="12.75" customHeight="1" spans="1:26">
      <c r="A273" s="146"/>
      <c r="B273" s="146"/>
      <c r="C273" s="146"/>
      <c r="D273" s="146"/>
      <c r="E273" s="146"/>
      <c r="F273" s="146"/>
      <c r="G273" s="146"/>
      <c r="H273" s="146"/>
      <c r="I273" s="150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</row>
    <row r="274" ht="12.75" customHeight="1" spans="1:26">
      <c r="A274" s="146"/>
      <c r="B274" s="146"/>
      <c r="C274" s="146"/>
      <c r="D274" s="146"/>
      <c r="E274" s="146"/>
      <c r="F274" s="146"/>
      <c r="G274" s="146"/>
      <c r="H274" s="146"/>
      <c r="I274" s="150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</row>
    <row r="275" ht="12.75" customHeight="1" spans="1:26">
      <c r="A275" s="146"/>
      <c r="B275" s="146"/>
      <c r="C275" s="146"/>
      <c r="D275" s="146"/>
      <c r="E275" s="146"/>
      <c r="F275" s="146"/>
      <c r="G275" s="146"/>
      <c r="H275" s="146"/>
      <c r="I275" s="150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</row>
    <row r="276" ht="12.75" customHeight="1" spans="1:26">
      <c r="A276" s="146"/>
      <c r="B276" s="146"/>
      <c r="C276" s="146"/>
      <c r="D276" s="146"/>
      <c r="E276" s="146"/>
      <c r="F276" s="146"/>
      <c r="G276" s="146"/>
      <c r="H276" s="146"/>
      <c r="I276" s="150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</row>
    <row r="277" ht="12.75" customHeight="1" spans="1:26">
      <c r="A277" s="146"/>
      <c r="B277" s="146"/>
      <c r="C277" s="146"/>
      <c r="D277" s="146"/>
      <c r="E277" s="146"/>
      <c r="F277" s="146"/>
      <c r="G277" s="146"/>
      <c r="H277" s="146"/>
      <c r="I277" s="150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</row>
    <row r="278" ht="12.75" customHeight="1" spans="1:26">
      <c r="A278" s="146"/>
      <c r="B278" s="146"/>
      <c r="C278" s="146"/>
      <c r="D278" s="146"/>
      <c r="E278" s="146"/>
      <c r="F278" s="146"/>
      <c r="G278" s="146"/>
      <c r="H278" s="146"/>
      <c r="I278" s="150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</row>
    <row r="279" ht="12.75" customHeight="1" spans="1:26">
      <c r="A279" s="146"/>
      <c r="B279" s="146"/>
      <c r="C279" s="146"/>
      <c r="D279" s="146"/>
      <c r="E279" s="146"/>
      <c r="F279" s="146"/>
      <c r="G279" s="146"/>
      <c r="H279" s="146"/>
      <c r="I279" s="150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</row>
    <row r="280" ht="12.75" customHeight="1" spans="1:26">
      <c r="A280" s="146"/>
      <c r="B280" s="146"/>
      <c r="C280" s="146"/>
      <c r="D280" s="146"/>
      <c r="E280" s="146"/>
      <c r="F280" s="146"/>
      <c r="G280" s="146"/>
      <c r="H280" s="146"/>
      <c r="I280" s="150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</row>
    <row r="281" ht="12.75" customHeight="1" spans="1:26">
      <c r="A281" s="146"/>
      <c r="B281" s="146"/>
      <c r="C281" s="146"/>
      <c r="D281" s="146"/>
      <c r="E281" s="146"/>
      <c r="F281" s="146"/>
      <c r="G281" s="146"/>
      <c r="H281" s="146"/>
      <c r="I281" s="150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</row>
    <row r="282" ht="12.75" customHeight="1" spans="1:26">
      <c r="A282" s="146"/>
      <c r="B282" s="146"/>
      <c r="C282" s="146"/>
      <c r="D282" s="146"/>
      <c r="E282" s="146"/>
      <c r="F282" s="146"/>
      <c r="G282" s="146"/>
      <c r="H282" s="146"/>
      <c r="I282" s="150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</row>
    <row r="283" ht="12.75" customHeight="1" spans="1:26">
      <c r="A283" s="146"/>
      <c r="B283" s="146"/>
      <c r="C283" s="146"/>
      <c r="D283" s="146"/>
      <c r="E283" s="146"/>
      <c r="F283" s="146"/>
      <c r="G283" s="146"/>
      <c r="H283" s="146"/>
      <c r="I283" s="150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</row>
    <row r="284" ht="12.75" customHeight="1" spans="1:26">
      <c r="A284" s="146"/>
      <c r="B284" s="146"/>
      <c r="C284" s="146"/>
      <c r="D284" s="146"/>
      <c r="E284" s="146"/>
      <c r="F284" s="146"/>
      <c r="G284" s="146"/>
      <c r="H284" s="146"/>
      <c r="I284" s="150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</row>
    <row r="285" ht="12.75" customHeight="1" spans="1:26">
      <c r="A285" s="146"/>
      <c r="B285" s="146"/>
      <c r="C285" s="146"/>
      <c r="D285" s="146"/>
      <c r="E285" s="146"/>
      <c r="F285" s="146"/>
      <c r="G285" s="146"/>
      <c r="H285" s="146"/>
      <c r="I285" s="150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</row>
    <row r="286" ht="12.75" customHeight="1" spans="1:26">
      <c r="A286" s="146"/>
      <c r="B286" s="146"/>
      <c r="C286" s="146"/>
      <c r="D286" s="146"/>
      <c r="E286" s="146"/>
      <c r="F286" s="146"/>
      <c r="G286" s="146"/>
      <c r="H286" s="146"/>
      <c r="I286" s="150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</row>
    <row r="287" ht="12.75" customHeight="1" spans="1:26">
      <c r="A287" s="146"/>
      <c r="B287" s="146"/>
      <c r="C287" s="146"/>
      <c r="D287" s="146"/>
      <c r="E287" s="146"/>
      <c r="F287" s="146"/>
      <c r="G287" s="146"/>
      <c r="H287" s="146"/>
      <c r="I287" s="150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</row>
    <row r="288" ht="12.75" customHeight="1" spans="1:26">
      <c r="A288" s="146"/>
      <c r="B288" s="146"/>
      <c r="C288" s="146"/>
      <c r="D288" s="146"/>
      <c r="E288" s="146"/>
      <c r="F288" s="146"/>
      <c r="G288" s="146"/>
      <c r="H288" s="146"/>
      <c r="I288" s="150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</row>
    <row r="289" ht="12.75" customHeight="1" spans="1:26">
      <c r="A289" s="146"/>
      <c r="B289" s="146"/>
      <c r="C289" s="146"/>
      <c r="D289" s="146"/>
      <c r="E289" s="146"/>
      <c r="F289" s="146"/>
      <c r="G289" s="146"/>
      <c r="H289" s="146"/>
      <c r="I289" s="150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</row>
    <row r="290" ht="12.75" customHeight="1" spans="1:26">
      <c r="A290" s="146"/>
      <c r="B290" s="146"/>
      <c r="C290" s="146"/>
      <c r="D290" s="146"/>
      <c r="E290" s="146"/>
      <c r="F290" s="146"/>
      <c r="G290" s="146"/>
      <c r="H290" s="146"/>
      <c r="I290" s="150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</row>
    <row r="291" ht="12.75" customHeight="1" spans="1:26">
      <c r="A291" s="146"/>
      <c r="B291" s="146"/>
      <c r="C291" s="146"/>
      <c r="D291" s="146"/>
      <c r="E291" s="146"/>
      <c r="F291" s="146"/>
      <c r="G291" s="146"/>
      <c r="H291" s="146"/>
      <c r="I291" s="150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</row>
    <row r="292" ht="12.75" customHeight="1" spans="1:26">
      <c r="A292" s="146"/>
      <c r="B292" s="146"/>
      <c r="C292" s="146"/>
      <c r="D292" s="146"/>
      <c r="E292" s="146"/>
      <c r="F292" s="146"/>
      <c r="G292" s="146"/>
      <c r="H292" s="146"/>
      <c r="I292" s="150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</row>
    <row r="293" ht="12.75" customHeight="1" spans="1:26">
      <c r="A293" s="146"/>
      <c r="B293" s="146"/>
      <c r="C293" s="146"/>
      <c r="D293" s="146"/>
      <c r="E293" s="146"/>
      <c r="F293" s="146"/>
      <c r="G293" s="146"/>
      <c r="H293" s="146"/>
      <c r="I293" s="150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</row>
    <row r="294" ht="12.75" customHeight="1" spans="1:26">
      <c r="A294" s="146"/>
      <c r="B294" s="146"/>
      <c r="C294" s="146"/>
      <c r="D294" s="146"/>
      <c r="E294" s="146"/>
      <c r="F294" s="146"/>
      <c r="G294" s="146"/>
      <c r="H294" s="146"/>
      <c r="I294" s="150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</row>
    <row r="295" ht="12.75" customHeight="1" spans="1:26">
      <c r="A295" s="146"/>
      <c r="B295" s="146"/>
      <c r="C295" s="146"/>
      <c r="D295" s="146"/>
      <c r="E295" s="146"/>
      <c r="F295" s="146"/>
      <c r="G295" s="146"/>
      <c r="H295" s="146"/>
      <c r="I295" s="150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</row>
    <row r="296" ht="12.75" customHeight="1" spans="1:26">
      <c r="A296" s="146"/>
      <c r="B296" s="146"/>
      <c r="C296" s="146"/>
      <c r="D296" s="146"/>
      <c r="E296" s="146"/>
      <c r="F296" s="146"/>
      <c r="G296" s="146"/>
      <c r="H296" s="146"/>
      <c r="I296" s="150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</row>
    <row r="297" ht="12.75" customHeight="1" spans="1:26">
      <c r="A297" s="146"/>
      <c r="B297" s="146"/>
      <c r="C297" s="146"/>
      <c r="D297" s="146"/>
      <c r="E297" s="146"/>
      <c r="F297" s="146"/>
      <c r="G297" s="146"/>
      <c r="H297" s="146"/>
      <c r="I297" s="150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</row>
    <row r="298" ht="12.75" customHeight="1" spans="1:26">
      <c r="A298" s="146"/>
      <c r="B298" s="146"/>
      <c r="C298" s="146"/>
      <c r="D298" s="146"/>
      <c r="E298" s="146"/>
      <c r="F298" s="146"/>
      <c r="G298" s="146"/>
      <c r="H298" s="146"/>
      <c r="I298" s="150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</row>
    <row r="299" ht="12.75" customHeight="1" spans="1:26">
      <c r="A299" s="146"/>
      <c r="B299" s="146"/>
      <c r="C299" s="146"/>
      <c r="D299" s="146"/>
      <c r="E299" s="146"/>
      <c r="F299" s="146"/>
      <c r="G299" s="146"/>
      <c r="H299" s="146"/>
      <c r="I299" s="150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</row>
    <row r="300" ht="12.75" customHeight="1" spans="1:26">
      <c r="A300" s="146"/>
      <c r="B300" s="146"/>
      <c r="C300" s="146"/>
      <c r="D300" s="146"/>
      <c r="E300" s="146"/>
      <c r="F300" s="146"/>
      <c r="G300" s="146"/>
      <c r="H300" s="146"/>
      <c r="I300" s="150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</row>
    <row r="301" ht="12.75" customHeight="1" spans="1:26">
      <c r="A301" s="146"/>
      <c r="B301" s="146"/>
      <c r="C301" s="146"/>
      <c r="D301" s="146"/>
      <c r="E301" s="146"/>
      <c r="F301" s="146"/>
      <c r="G301" s="146"/>
      <c r="H301" s="146"/>
      <c r="I301" s="150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</row>
    <row r="302" ht="12.75" customHeight="1" spans="1:26">
      <c r="A302" s="146"/>
      <c r="B302" s="146"/>
      <c r="C302" s="146"/>
      <c r="D302" s="146"/>
      <c r="E302" s="146"/>
      <c r="F302" s="146"/>
      <c r="G302" s="146"/>
      <c r="H302" s="146"/>
      <c r="I302" s="150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</row>
    <row r="303" ht="12.75" customHeight="1" spans="1:26">
      <c r="A303" s="146"/>
      <c r="B303" s="146"/>
      <c r="C303" s="146"/>
      <c r="D303" s="146"/>
      <c r="E303" s="146"/>
      <c r="F303" s="146"/>
      <c r="G303" s="146"/>
      <c r="H303" s="146"/>
      <c r="I303" s="150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</row>
    <row r="304" ht="12.75" customHeight="1" spans="1:26">
      <c r="A304" s="146"/>
      <c r="B304" s="146"/>
      <c r="C304" s="146"/>
      <c r="D304" s="146"/>
      <c r="E304" s="146"/>
      <c r="F304" s="146"/>
      <c r="G304" s="146"/>
      <c r="H304" s="146"/>
      <c r="I304" s="150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</row>
    <row r="305" ht="12.75" customHeight="1" spans="1:26">
      <c r="A305" s="146"/>
      <c r="B305" s="146"/>
      <c r="C305" s="146"/>
      <c r="D305" s="146"/>
      <c r="E305" s="146"/>
      <c r="F305" s="146"/>
      <c r="G305" s="146"/>
      <c r="H305" s="146"/>
      <c r="I305" s="150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</row>
    <row r="306" ht="12.75" customHeight="1" spans="1:26">
      <c r="A306" s="146"/>
      <c r="B306" s="146"/>
      <c r="C306" s="146"/>
      <c r="D306" s="146"/>
      <c r="E306" s="146"/>
      <c r="F306" s="146"/>
      <c r="G306" s="146"/>
      <c r="H306" s="146"/>
      <c r="I306" s="150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</row>
    <row r="307" ht="12.75" customHeight="1" spans="1:26">
      <c r="A307" s="146"/>
      <c r="B307" s="146"/>
      <c r="C307" s="146"/>
      <c r="D307" s="146"/>
      <c r="E307" s="146"/>
      <c r="F307" s="146"/>
      <c r="G307" s="146"/>
      <c r="H307" s="146"/>
      <c r="I307" s="150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</row>
    <row r="308" ht="12.75" customHeight="1" spans="1:26">
      <c r="A308" s="146"/>
      <c r="B308" s="146"/>
      <c r="C308" s="146"/>
      <c r="D308" s="146"/>
      <c r="E308" s="146"/>
      <c r="F308" s="146"/>
      <c r="G308" s="146"/>
      <c r="H308" s="146"/>
      <c r="I308" s="150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</row>
    <row r="309" ht="12.75" customHeight="1" spans="1:26">
      <c r="A309" s="146"/>
      <c r="B309" s="146"/>
      <c r="C309" s="146"/>
      <c r="D309" s="146"/>
      <c r="E309" s="146"/>
      <c r="F309" s="146"/>
      <c r="G309" s="146"/>
      <c r="H309" s="146"/>
      <c r="I309" s="150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</row>
    <row r="310" ht="12.75" customHeight="1" spans="1:26">
      <c r="A310" s="146"/>
      <c r="B310" s="146"/>
      <c r="C310" s="146"/>
      <c r="D310" s="146"/>
      <c r="E310" s="146"/>
      <c r="F310" s="146"/>
      <c r="G310" s="146"/>
      <c r="H310" s="146"/>
      <c r="I310" s="150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</row>
    <row r="311" ht="12.75" customHeight="1" spans="1:26">
      <c r="A311" s="146"/>
      <c r="B311" s="146"/>
      <c r="C311" s="146"/>
      <c r="D311" s="146"/>
      <c r="E311" s="146"/>
      <c r="F311" s="146"/>
      <c r="G311" s="146"/>
      <c r="H311" s="146"/>
      <c r="I311" s="150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</row>
    <row r="312" ht="12.75" customHeight="1" spans="1:26">
      <c r="A312" s="146"/>
      <c r="B312" s="146"/>
      <c r="C312" s="146"/>
      <c r="D312" s="146"/>
      <c r="E312" s="146"/>
      <c r="F312" s="146"/>
      <c r="G312" s="146"/>
      <c r="H312" s="146"/>
      <c r="I312" s="150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</row>
    <row r="313" ht="12.75" customHeight="1" spans="1:26">
      <c r="A313" s="146"/>
      <c r="B313" s="146"/>
      <c r="C313" s="146"/>
      <c r="D313" s="146"/>
      <c r="E313" s="146"/>
      <c r="F313" s="146"/>
      <c r="G313" s="146"/>
      <c r="H313" s="146"/>
      <c r="I313" s="150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</row>
    <row r="314" ht="12.75" customHeight="1" spans="1:26">
      <c r="A314" s="146"/>
      <c r="B314" s="146"/>
      <c r="C314" s="146"/>
      <c r="D314" s="146"/>
      <c r="E314" s="146"/>
      <c r="F314" s="146"/>
      <c r="G314" s="146"/>
      <c r="H314" s="146"/>
      <c r="I314" s="150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</row>
    <row r="315" ht="12.75" customHeight="1" spans="1:26">
      <c r="A315" s="146"/>
      <c r="B315" s="146"/>
      <c r="C315" s="146"/>
      <c r="D315" s="146"/>
      <c r="E315" s="146"/>
      <c r="F315" s="146"/>
      <c r="G315" s="146"/>
      <c r="H315" s="146"/>
      <c r="I315" s="150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</row>
    <row r="316" ht="12.75" customHeight="1" spans="1:26">
      <c r="A316" s="146"/>
      <c r="B316" s="146"/>
      <c r="C316" s="146"/>
      <c r="D316" s="146"/>
      <c r="E316" s="146"/>
      <c r="F316" s="146"/>
      <c r="G316" s="146"/>
      <c r="H316" s="146"/>
      <c r="I316" s="150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</row>
    <row r="317" ht="12.75" customHeight="1" spans="1:26">
      <c r="A317" s="146"/>
      <c r="B317" s="146"/>
      <c r="C317" s="146"/>
      <c r="D317" s="146"/>
      <c r="E317" s="146"/>
      <c r="F317" s="146"/>
      <c r="G317" s="146"/>
      <c r="H317" s="146"/>
      <c r="I317" s="150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</row>
    <row r="318" ht="12.75" customHeight="1" spans="1:26">
      <c r="A318" s="146"/>
      <c r="B318" s="146"/>
      <c r="C318" s="146"/>
      <c r="D318" s="146"/>
      <c r="E318" s="146"/>
      <c r="F318" s="146"/>
      <c r="G318" s="146"/>
      <c r="H318" s="146"/>
      <c r="I318" s="150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</row>
    <row r="319" ht="12.75" customHeight="1" spans="1:26">
      <c r="A319" s="146"/>
      <c r="B319" s="146"/>
      <c r="C319" s="146"/>
      <c r="D319" s="146"/>
      <c r="E319" s="146"/>
      <c r="F319" s="146"/>
      <c r="G319" s="146"/>
      <c r="H319" s="146"/>
      <c r="I319" s="150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</row>
    <row r="320" ht="12.75" customHeight="1" spans="1:26">
      <c r="A320" s="146"/>
      <c r="B320" s="146"/>
      <c r="C320" s="146"/>
      <c r="D320" s="146"/>
      <c r="E320" s="146"/>
      <c r="F320" s="146"/>
      <c r="G320" s="146"/>
      <c r="H320" s="146"/>
      <c r="I320" s="150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</row>
    <row r="321" ht="12.75" customHeight="1" spans="1:26">
      <c r="A321" s="146"/>
      <c r="B321" s="146"/>
      <c r="C321" s="146"/>
      <c r="D321" s="146"/>
      <c r="E321" s="146"/>
      <c r="F321" s="146"/>
      <c r="G321" s="146"/>
      <c r="H321" s="146"/>
      <c r="I321" s="150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</row>
    <row r="322" ht="12.75" customHeight="1" spans="1:26">
      <c r="A322" s="146"/>
      <c r="B322" s="146"/>
      <c r="C322" s="146"/>
      <c r="D322" s="146"/>
      <c r="E322" s="146"/>
      <c r="F322" s="146"/>
      <c r="G322" s="146"/>
      <c r="H322" s="146"/>
      <c r="I322" s="150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</row>
    <row r="323" ht="12.75" customHeight="1" spans="1:26">
      <c r="A323" s="146"/>
      <c r="B323" s="146"/>
      <c r="C323" s="146"/>
      <c r="D323" s="146"/>
      <c r="E323" s="146"/>
      <c r="F323" s="146"/>
      <c r="G323" s="146"/>
      <c r="H323" s="146"/>
      <c r="I323" s="150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</row>
    <row r="324" ht="12.75" customHeight="1" spans="1:26">
      <c r="A324" s="146"/>
      <c r="B324" s="146"/>
      <c r="C324" s="146"/>
      <c r="D324" s="146"/>
      <c r="E324" s="146"/>
      <c r="F324" s="146"/>
      <c r="G324" s="146"/>
      <c r="H324" s="146"/>
      <c r="I324" s="150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</row>
    <row r="325" ht="12.75" customHeight="1" spans="1:26">
      <c r="A325" s="146"/>
      <c r="B325" s="146"/>
      <c r="C325" s="146"/>
      <c r="D325" s="146"/>
      <c r="E325" s="146"/>
      <c r="F325" s="146"/>
      <c r="G325" s="146"/>
      <c r="H325" s="146"/>
      <c r="I325" s="150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</row>
    <row r="326" ht="12.75" customHeight="1" spans="1:26">
      <c r="A326" s="146"/>
      <c r="B326" s="146"/>
      <c r="C326" s="146"/>
      <c r="D326" s="146"/>
      <c r="E326" s="146"/>
      <c r="F326" s="146"/>
      <c r="G326" s="146"/>
      <c r="H326" s="146"/>
      <c r="I326" s="150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</row>
    <row r="327" ht="12.75" customHeight="1" spans="1:26">
      <c r="A327" s="146"/>
      <c r="B327" s="146"/>
      <c r="C327" s="146"/>
      <c r="D327" s="146"/>
      <c r="E327" s="146"/>
      <c r="F327" s="146"/>
      <c r="G327" s="146"/>
      <c r="H327" s="146"/>
      <c r="I327" s="150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</row>
    <row r="328" ht="12.75" customHeight="1" spans="1:26">
      <c r="A328" s="146"/>
      <c r="B328" s="146"/>
      <c r="C328" s="146"/>
      <c r="D328" s="146"/>
      <c r="E328" s="146"/>
      <c r="F328" s="146"/>
      <c r="G328" s="146"/>
      <c r="H328" s="146"/>
      <c r="I328" s="150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</row>
    <row r="329" ht="12.75" customHeight="1" spans="1:26">
      <c r="A329" s="146"/>
      <c r="B329" s="146"/>
      <c r="C329" s="146"/>
      <c r="D329" s="146"/>
      <c r="E329" s="146"/>
      <c r="F329" s="146"/>
      <c r="G329" s="146"/>
      <c r="H329" s="146"/>
      <c r="I329" s="150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</row>
    <row r="330" ht="12.75" customHeight="1" spans="1:26">
      <c r="A330" s="146"/>
      <c r="B330" s="146"/>
      <c r="C330" s="146"/>
      <c r="D330" s="146"/>
      <c r="E330" s="146"/>
      <c r="F330" s="146"/>
      <c r="G330" s="146"/>
      <c r="H330" s="146"/>
      <c r="I330" s="150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</row>
    <row r="331" ht="12.75" customHeight="1" spans="1:26">
      <c r="A331" s="146"/>
      <c r="B331" s="146"/>
      <c r="C331" s="146"/>
      <c r="D331" s="146"/>
      <c r="E331" s="146"/>
      <c r="F331" s="146"/>
      <c r="G331" s="146"/>
      <c r="H331" s="146"/>
      <c r="I331" s="150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</row>
    <row r="332" ht="12.75" customHeight="1" spans="1:26">
      <c r="A332" s="146"/>
      <c r="B332" s="146"/>
      <c r="C332" s="146"/>
      <c r="D332" s="146"/>
      <c r="E332" s="146"/>
      <c r="F332" s="146"/>
      <c r="G332" s="146"/>
      <c r="H332" s="146"/>
      <c r="I332" s="150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</row>
    <row r="333" ht="12.75" customHeight="1" spans="1:26">
      <c r="A333" s="146"/>
      <c r="B333" s="146"/>
      <c r="C333" s="146"/>
      <c r="D333" s="146"/>
      <c r="E333" s="146"/>
      <c r="F333" s="146"/>
      <c r="G333" s="146"/>
      <c r="H333" s="146"/>
      <c r="I333" s="150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</row>
    <row r="334" ht="12.75" customHeight="1" spans="1:26">
      <c r="A334" s="146"/>
      <c r="B334" s="146"/>
      <c r="C334" s="146"/>
      <c r="D334" s="146"/>
      <c r="E334" s="146"/>
      <c r="F334" s="146"/>
      <c r="G334" s="146"/>
      <c r="H334" s="146"/>
      <c r="I334" s="150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</row>
    <row r="335" ht="12.75" customHeight="1" spans="1:26">
      <c r="A335" s="146"/>
      <c r="B335" s="146"/>
      <c r="C335" s="146"/>
      <c r="D335" s="146"/>
      <c r="E335" s="146"/>
      <c r="F335" s="146"/>
      <c r="G335" s="146"/>
      <c r="H335" s="146"/>
      <c r="I335" s="150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</row>
    <row r="336" ht="12.75" customHeight="1" spans="1:26">
      <c r="A336" s="146"/>
      <c r="B336" s="146"/>
      <c r="C336" s="146"/>
      <c r="D336" s="146"/>
      <c r="E336" s="146"/>
      <c r="F336" s="146"/>
      <c r="G336" s="146"/>
      <c r="H336" s="146"/>
      <c r="I336" s="150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</row>
    <row r="337" ht="12.75" customHeight="1" spans="1:26">
      <c r="A337" s="146"/>
      <c r="B337" s="146"/>
      <c r="C337" s="146"/>
      <c r="D337" s="146"/>
      <c r="E337" s="146"/>
      <c r="F337" s="146"/>
      <c r="G337" s="146"/>
      <c r="H337" s="146"/>
      <c r="I337" s="150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</row>
    <row r="338" ht="12.75" customHeight="1" spans="1:26">
      <c r="A338" s="146"/>
      <c r="B338" s="146"/>
      <c r="C338" s="146"/>
      <c r="D338" s="146"/>
      <c r="E338" s="146"/>
      <c r="F338" s="146"/>
      <c r="G338" s="146"/>
      <c r="H338" s="146"/>
      <c r="I338" s="150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</row>
    <row r="339" ht="12.75" customHeight="1" spans="1:26">
      <c r="A339" s="146"/>
      <c r="B339" s="146"/>
      <c r="C339" s="146"/>
      <c r="D339" s="146"/>
      <c r="E339" s="146"/>
      <c r="F339" s="146"/>
      <c r="G339" s="146"/>
      <c r="H339" s="146"/>
      <c r="I339" s="150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</row>
    <row r="340" ht="12.75" customHeight="1" spans="1:26">
      <c r="A340" s="146"/>
      <c r="B340" s="146"/>
      <c r="C340" s="146"/>
      <c r="D340" s="146"/>
      <c r="E340" s="146"/>
      <c r="F340" s="146"/>
      <c r="G340" s="146"/>
      <c r="H340" s="146"/>
      <c r="I340" s="150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</row>
    <row r="341" ht="12.75" customHeight="1" spans="1:26">
      <c r="A341" s="146"/>
      <c r="B341" s="146"/>
      <c r="C341" s="146"/>
      <c r="D341" s="146"/>
      <c r="E341" s="146"/>
      <c r="F341" s="146"/>
      <c r="G341" s="146"/>
      <c r="H341" s="146"/>
      <c r="I341" s="150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</row>
    <row r="342" ht="12.75" customHeight="1" spans="1:26">
      <c r="A342" s="146"/>
      <c r="B342" s="146"/>
      <c r="C342" s="146"/>
      <c r="D342" s="146"/>
      <c r="E342" s="146"/>
      <c r="F342" s="146"/>
      <c r="G342" s="146"/>
      <c r="H342" s="146"/>
      <c r="I342" s="150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</row>
    <row r="343" ht="12.75" customHeight="1" spans="1:26">
      <c r="A343" s="146"/>
      <c r="B343" s="146"/>
      <c r="C343" s="146"/>
      <c r="D343" s="146"/>
      <c r="E343" s="146"/>
      <c r="F343" s="146"/>
      <c r="G343" s="146"/>
      <c r="H343" s="146"/>
      <c r="I343" s="150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</row>
    <row r="344" ht="12.75" customHeight="1" spans="1:26">
      <c r="A344" s="146"/>
      <c r="B344" s="146"/>
      <c r="C344" s="146"/>
      <c r="D344" s="146"/>
      <c r="E344" s="146"/>
      <c r="F344" s="146"/>
      <c r="G344" s="146"/>
      <c r="H344" s="146"/>
      <c r="I344" s="150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</row>
    <row r="345" ht="12.75" customHeight="1" spans="1:26">
      <c r="A345" s="146"/>
      <c r="B345" s="146"/>
      <c r="C345" s="146"/>
      <c r="D345" s="146"/>
      <c r="E345" s="146"/>
      <c r="F345" s="146"/>
      <c r="G345" s="146"/>
      <c r="H345" s="146"/>
      <c r="I345" s="150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</row>
    <row r="346" ht="12.75" customHeight="1" spans="1:26">
      <c r="A346" s="146"/>
      <c r="B346" s="146"/>
      <c r="C346" s="146"/>
      <c r="D346" s="146"/>
      <c r="E346" s="146"/>
      <c r="F346" s="146"/>
      <c r="G346" s="146"/>
      <c r="H346" s="146"/>
      <c r="I346" s="150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</row>
    <row r="347" ht="12.75" customHeight="1" spans="1:26">
      <c r="A347" s="146"/>
      <c r="B347" s="146"/>
      <c r="C347" s="146"/>
      <c r="D347" s="146"/>
      <c r="E347" s="146"/>
      <c r="F347" s="146"/>
      <c r="G347" s="146"/>
      <c r="H347" s="146"/>
      <c r="I347" s="150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</row>
    <row r="348" ht="12.75" customHeight="1" spans="1:26">
      <c r="A348" s="146"/>
      <c r="B348" s="146"/>
      <c r="C348" s="146"/>
      <c r="D348" s="146"/>
      <c r="E348" s="146"/>
      <c r="F348" s="146"/>
      <c r="G348" s="146"/>
      <c r="H348" s="146"/>
      <c r="I348" s="150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</row>
    <row r="349" ht="12.75" customHeight="1" spans="1:26">
      <c r="A349" s="146"/>
      <c r="B349" s="146"/>
      <c r="C349" s="146"/>
      <c r="D349" s="146"/>
      <c r="E349" s="146"/>
      <c r="F349" s="146"/>
      <c r="G349" s="146"/>
      <c r="H349" s="146"/>
      <c r="I349" s="150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</row>
    <row r="350" ht="12.75" customHeight="1" spans="1:26">
      <c r="A350" s="146"/>
      <c r="B350" s="146"/>
      <c r="C350" s="146"/>
      <c r="D350" s="146"/>
      <c r="E350" s="146"/>
      <c r="F350" s="146"/>
      <c r="G350" s="146"/>
      <c r="H350" s="146"/>
      <c r="I350" s="150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</row>
    <row r="351" ht="12.75" customHeight="1" spans="1:26">
      <c r="A351" s="146"/>
      <c r="B351" s="146"/>
      <c r="C351" s="146"/>
      <c r="D351" s="146"/>
      <c r="E351" s="146"/>
      <c r="F351" s="146"/>
      <c r="G351" s="146"/>
      <c r="H351" s="146"/>
      <c r="I351" s="150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</row>
    <row r="352" ht="12.75" customHeight="1" spans="1:26">
      <c r="A352" s="146"/>
      <c r="B352" s="146"/>
      <c r="C352" s="146"/>
      <c r="D352" s="146"/>
      <c r="E352" s="146"/>
      <c r="F352" s="146"/>
      <c r="G352" s="146"/>
      <c r="H352" s="146"/>
      <c r="I352" s="150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</row>
    <row r="353" ht="12.75" customHeight="1" spans="1:26">
      <c r="A353" s="146"/>
      <c r="B353" s="146"/>
      <c r="C353" s="146"/>
      <c r="D353" s="146"/>
      <c r="E353" s="146"/>
      <c r="F353" s="146"/>
      <c r="G353" s="146"/>
      <c r="H353" s="146"/>
      <c r="I353" s="150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</row>
    <row r="354" ht="12.75" customHeight="1" spans="1:26">
      <c r="A354" s="146"/>
      <c r="B354" s="146"/>
      <c r="C354" s="146"/>
      <c r="D354" s="146"/>
      <c r="E354" s="146"/>
      <c r="F354" s="146"/>
      <c r="G354" s="146"/>
      <c r="H354" s="146"/>
      <c r="I354" s="150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</row>
    <row r="355" ht="12.75" customHeight="1" spans="1:26">
      <c r="A355" s="146"/>
      <c r="B355" s="146"/>
      <c r="C355" s="146"/>
      <c r="D355" s="146"/>
      <c r="E355" s="146"/>
      <c r="F355" s="146"/>
      <c r="G355" s="146"/>
      <c r="H355" s="146"/>
      <c r="I355" s="150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</row>
    <row r="356" ht="12.75" customHeight="1" spans="1:26">
      <c r="A356" s="146"/>
      <c r="B356" s="146"/>
      <c r="C356" s="146"/>
      <c r="D356" s="146"/>
      <c r="E356" s="146"/>
      <c r="F356" s="146"/>
      <c r="G356" s="146"/>
      <c r="H356" s="146"/>
      <c r="I356" s="150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</row>
    <row r="357" ht="12.75" customHeight="1" spans="1:26">
      <c r="A357" s="146"/>
      <c r="B357" s="146"/>
      <c r="C357" s="146"/>
      <c r="D357" s="146"/>
      <c r="E357" s="146"/>
      <c r="F357" s="146"/>
      <c r="G357" s="146"/>
      <c r="H357" s="146"/>
      <c r="I357" s="150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</row>
    <row r="358" ht="12.75" customHeight="1" spans="1:26">
      <c r="A358" s="146"/>
      <c r="B358" s="146"/>
      <c r="C358" s="146"/>
      <c r="D358" s="146"/>
      <c r="E358" s="146"/>
      <c r="F358" s="146"/>
      <c r="G358" s="146"/>
      <c r="H358" s="146"/>
      <c r="I358" s="150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</row>
    <row r="359" ht="12.75" customHeight="1" spans="1:26">
      <c r="A359" s="146"/>
      <c r="B359" s="146"/>
      <c r="C359" s="146"/>
      <c r="D359" s="146"/>
      <c r="E359" s="146"/>
      <c r="F359" s="146"/>
      <c r="G359" s="146"/>
      <c r="H359" s="146"/>
      <c r="I359" s="150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</row>
    <row r="360" ht="12.75" customHeight="1" spans="1:26">
      <c r="A360" s="146"/>
      <c r="B360" s="146"/>
      <c r="C360" s="146"/>
      <c r="D360" s="146"/>
      <c r="E360" s="146"/>
      <c r="F360" s="146"/>
      <c r="G360" s="146"/>
      <c r="H360" s="146"/>
      <c r="I360" s="150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</row>
    <row r="361" ht="12.75" customHeight="1" spans="1:26">
      <c r="A361" s="146"/>
      <c r="B361" s="146"/>
      <c r="C361" s="146"/>
      <c r="D361" s="146"/>
      <c r="E361" s="146"/>
      <c r="F361" s="146"/>
      <c r="G361" s="146"/>
      <c r="H361" s="146"/>
      <c r="I361" s="150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</row>
    <row r="362" ht="12.75" customHeight="1" spans="1:26">
      <c r="A362" s="146"/>
      <c r="B362" s="146"/>
      <c r="C362" s="146"/>
      <c r="D362" s="146"/>
      <c r="E362" s="146"/>
      <c r="F362" s="146"/>
      <c r="G362" s="146"/>
      <c r="H362" s="146"/>
      <c r="I362" s="150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</row>
    <row r="363" ht="12.75" customHeight="1" spans="1:26">
      <c r="A363" s="146"/>
      <c r="B363" s="146"/>
      <c r="C363" s="146"/>
      <c r="D363" s="146"/>
      <c r="E363" s="146"/>
      <c r="F363" s="146"/>
      <c r="G363" s="146"/>
      <c r="H363" s="146"/>
      <c r="I363" s="150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</row>
    <row r="364" ht="12.75" customHeight="1" spans="1:26">
      <c r="A364" s="146"/>
      <c r="B364" s="146"/>
      <c r="C364" s="146"/>
      <c r="D364" s="146"/>
      <c r="E364" s="146"/>
      <c r="F364" s="146"/>
      <c r="G364" s="146"/>
      <c r="H364" s="146"/>
      <c r="I364" s="150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</row>
    <row r="365" ht="12.75" customHeight="1" spans="1:26">
      <c r="A365" s="146"/>
      <c r="B365" s="146"/>
      <c r="C365" s="146"/>
      <c r="D365" s="146"/>
      <c r="E365" s="146"/>
      <c r="F365" s="146"/>
      <c r="G365" s="146"/>
      <c r="H365" s="146"/>
      <c r="I365" s="150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</row>
    <row r="366" ht="12.75" customHeight="1" spans="1:26">
      <c r="A366" s="146"/>
      <c r="B366" s="146"/>
      <c r="C366" s="146"/>
      <c r="D366" s="146"/>
      <c r="E366" s="146"/>
      <c r="F366" s="146"/>
      <c r="G366" s="146"/>
      <c r="H366" s="146"/>
      <c r="I366" s="150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</row>
    <row r="367" ht="12.75" customHeight="1" spans="1:26">
      <c r="A367" s="146"/>
      <c r="B367" s="146"/>
      <c r="C367" s="146"/>
      <c r="D367" s="146"/>
      <c r="E367" s="146"/>
      <c r="F367" s="146"/>
      <c r="G367" s="146"/>
      <c r="H367" s="146"/>
      <c r="I367" s="150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</row>
    <row r="368" ht="12.75" customHeight="1" spans="1:26">
      <c r="A368" s="146"/>
      <c r="B368" s="146"/>
      <c r="C368" s="146"/>
      <c r="D368" s="146"/>
      <c r="E368" s="146"/>
      <c r="F368" s="146"/>
      <c r="G368" s="146"/>
      <c r="H368" s="146"/>
      <c r="I368" s="150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</row>
    <row r="369" ht="12.75" customHeight="1" spans="1:26">
      <c r="A369" s="146"/>
      <c r="B369" s="146"/>
      <c r="C369" s="146"/>
      <c r="D369" s="146"/>
      <c r="E369" s="146"/>
      <c r="F369" s="146"/>
      <c r="G369" s="146"/>
      <c r="H369" s="146"/>
      <c r="I369" s="150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</row>
    <row r="370" ht="12.75" customHeight="1" spans="1:26">
      <c r="A370" s="146"/>
      <c r="B370" s="146"/>
      <c r="C370" s="146"/>
      <c r="D370" s="146"/>
      <c r="E370" s="146"/>
      <c r="F370" s="146"/>
      <c r="G370" s="146"/>
      <c r="H370" s="146"/>
      <c r="I370" s="150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</row>
    <row r="371" ht="12.75" customHeight="1" spans="1:26">
      <c r="A371" s="146"/>
      <c r="B371" s="146"/>
      <c r="C371" s="146"/>
      <c r="D371" s="146"/>
      <c r="E371" s="146"/>
      <c r="F371" s="146"/>
      <c r="G371" s="146"/>
      <c r="H371" s="146"/>
      <c r="I371" s="150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</row>
    <row r="372" ht="12.75" customHeight="1" spans="1:26">
      <c r="A372" s="146"/>
      <c r="B372" s="146"/>
      <c r="C372" s="146"/>
      <c r="D372" s="146"/>
      <c r="E372" s="146"/>
      <c r="F372" s="146"/>
      <c r="G372" s="146"/>
      <c r="H372" s="146"/>
      <c r="I372" s="150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</row>
    <row r="373" ht="12.75" customHeight="1" spans="1:26">
      <c r="A373" s="146"/>
      <c r="B373" s="146"/>
      <c r="C373" s="146"/>
      <c r="D373" s="146"/>
      <c r="E373" s="146"/>
      <c r="F373" s="146"/>
      <c r="G373" s="146"/>
      <c r="H373" s="146"/>
      <c r="I373" s="150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</row>
    <row r="374" ht="12.75" customHeight="1" spans="1:26">
      <c r="A374" s="146"/>
      <c r="B374" s="146"/>
      <c r="C374" s="146"/>
      <c r="D374" s="146"/>
      <c r="E374" s="146"/>
      <c r="F374" s="146"/>
      <c r="G374" s="146"/>
      <c r="H374" s="146"/>
      <c r="I374" s="150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</row>
    <row r="375" ht="12.75" customHeight="1" spans="1:26">
      <c r="A375" s="146"/>
      <c r="B375" s="146"/>
      <c r="C375" s="146"/>
      <c r="D375" s="146"/>
      <c r="E375" s="146"/>
      <c r="F375" s="146"/>
      <c r="G375" s="146"/>
      <c r="H375" s="146"/>
      <c r="I375" s="150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</row>
    <row r="376" ht="12.75" customHeight="1" spans="1:26">
      <c r="A376" s="146"/>
      <c r="B376" s="146"/>
      <c r="C376" s="146"/>
      <c r="D376" s="146"/>
      <c r="E376" s="146"/>
      <c r="F376" s="146"/>
      <c r="G376" s="146"/>
      <c r="H376" s="146"/>
      <c r="I376" s="150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</row>
    <row r="377" ht="12.75" customHeight="1" spans="1:26">
      <c r="A377" s="146"/>
      <c r="B377" s="146"/>
      <c r="C377" s="146"/>
      <c r="D377" s="146"/>
      <c r="E377" s="146"/>
      <c r="F377" s="146"/>
      <c r="G377" s="146"/>
      <c r="H377" s="146"/>
      <c r="I377" s="150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</row>
    <row r="378" ht="12.75" customHeight="1" spans="1:26">
      <c r="A378" s="146"/>
      <c r="B378" s="146"/>
      <c r="C378" s="146"/>
      <c r="D378" s="146"/>
      <c r="E378" s="146"/>
      <c r="F378" s="146"/>
      <c r="G378" s="146"/>
      <c r="H378" s="146"/>
      <c r="I378" s="150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</row>
    <row r="379" ht="12.75" customHeight="1" spans="1:26">
      <c r="A379" s="146"/>
      <c r="B379" s="146"/>
      <c r="C379" s="146"/>
      <c r="D379" s="146"/>
      <c r="E379" s="146"/>
      <c r="F379" s="146"/>
      <c r="G379" s="146"/>
      <c r="H379" s="146"/>
      <c r="I379" s="150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</row>
    <row r="380" ht="12.75" customHeight="1" spans="1:26">
      <c r="A380" s="146"/>
      <c r="B380" s="146"/>
      <c r="C380" s="146"/>
      <c r="D380" s="146"/>
      <c r="E380" s="146"/>
      <c r="F380" s="146"/>
      <c r="G380" s="146"/>
      <c r="H380" s="146"/>
      <c r="I380" s="150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</row>
    <row r="381" ht="12.75" customHeight="1" spans="1:26">
      <c r="A381" s="146"/>
      <c r="B381" s="146"/>
      <c r="C381" s="146"/>
      <c r="D381" s="146"/>
      <c r="E381" s="146"/>
      <c r="F381" s="146"/>
      <c r="G381" s="146"/>
      <c r="H381" s="146"/>
      <c r="I381" s="150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</row>
    <row r="382" ht="12.75" customHeight="1" spans="1:26">
      <c r="A382" s="146"/>
      <c r="B382" s="146"/>
      <c r="C382" s="146"/>
      <c r="D382" s="146"/>
      <c r="E382" s="146"/>
      <c r="F382" s="146"/>
      <c r="G382" s="146"/>
      <c r="H382" s="146"/>
      <c r="I382" s="150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</row>
    <row r="383" ht="12.75" customHeight="1" spans="1:26">
      <c r="A383" s="146"/>
      <c r="B383" s="146"/>
      <c r="C383" s="146"/>
      <c r="D383" s="146"/>
      <c r="E383" s="146"/>
      <c r="F383" s="146"/>
      <c r="G383" s="146"/>
      <c r="H383" s="146"/>
      <c r="I383" s="150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</row>
    <row r="384" ht="12.75" customHeight="1" spans="1:26">
      <c r="A384" s="146"/>
      <c r="B384" s="146"/>
      <c r="C384" s="146"/>
      <c r="D384" s="146"/>
      <c r="E384" s="146"/>
      <c r="F384" s="146"/>
      <c r="G384" s="146"/>
      <c r="H384" s="146"/>
      <c r="I384" s="150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</row>
    <row r="385" ht="12.75" customHeight="1" spans="1:26">
      <c r="A385" s="146"/>
      <c r="B385" s="146"/>
      <c r="C385" s="146"/>
      <c r="D385" s="146"/>
      <c r="E385" s="146"/>
      <c r="F385" s="146"/>
      <c r="G385" s="146"/>
      <c r="H385" s="146"/>
      <c r="I385" s="150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</row>
    <row r="386" ht="12.75" customHeight="1" spans="1:26">
      <c r="A386" s="146"/>
      <c r="B386" s="146"/>
      <c r="C386" s="146"/>
      <c r="D386" s="146"/>
      <c r="E386" s="146"/>
      <c r="F386" s="146"/>
      <c r="G386" s="146"/>
      <c r="H386" s="146"/>
      <c r="I386" s="150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</row>
    <row r="387" ht="12.75" customHeight="1" spans="1:26">
      <c r="A387" s="146"/>
      <c r="B387" s="146"/>
      <c r="C387" s="146"/>
      <c r="D387" s="146"/>
      <c r="E387" s="146"/>
      <c r="F387" s="146"/>
      <c r="G387" s="146"/>
      <c r="H387" s="146"/>
      <c r="I387" s="150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</row>
    <row r="388" ht="12.75" customHeight="1" spans="1:26">
      <c r="A388" s="146"/>
      <c r="B388" s="146"/>
      <c r="C388" s="146"/>
      <c r="D388" s="146"/>
      <c r="E388" s="146"/>
      <c r="F388" s="146"/>
      <c r="G388" s="146"/>
      <c r="H388" s="146"/>
      <c r="I388" s="150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</row>
    <row r="389" ht="12.75" customHeight="1" spans="1:26">
      <c r="A389" s="146"/>
      <c r="B389" s="146"/>
      <c r="C389" s="146"/>
      <c r="D389" s="146"/>
      <c r="E389" s="146"/>
      <c r="F389" s="146"/>
      <c r="G389" s="146"/>
      <c r="H389" s="146"/>
      <c r="I389" s="150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</row>
    <row r="390" ht="12.75" customHeight="1" spans="1:26">
      <c r="A390" s="146"/>
      <c r="B390" s="146"/>
      <c r="C390" s="146"/>
      <c r="D390" s="146"/>
      <c r="E390" s="146"/>
      <c r="F390" s="146"/>
      <c r="G390" s="146"/>
      <c r="H390" s="146"/>
      <c r="I390" s="150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</row>
    <row r="391" ht="12.75" customHeight="1" spans="1:26">
      <c r="A391" s="146"/>
      <c r="B391" s="146"/>
      <c r="C391" s="146"/>
      <c r="D391" s="146"/>
      <c r="E391" s="146"/>
      <c r="F391" s="146"/>
      <c r="G391" s="146"/>
      <c r="H391" s="146"/>
      <c r="I391" s="150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</row>
    <row r="392" ht="12.75" customHeight="1" spans="1:26">
      <c r="A392" s="146"/>
      <c r="B392" s="146"/>
      <c r="C392" s="146"/>
      <c r="D392" s="146"/>
      <c r="E392" s="146"/>
      <c r="F392" s="146"/>
      <c r="G392" s="146"/>
      <c r="H392" s="146"/>
      <c r="I392" s="150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</row>
    <row r="393" ht="12.75" customHeight="1" spans="1:26">
      <c r="A393" s="146"/>
      <c r="B393" s="146"/>
      <c r="C393" s="146"/>
      <c r="D393" s="146"/>
      <c r="E393" s="146"/>
      <c r="F393" s="146"/>
      <c r="G393" s="146"/>
      <c r="H393" s="146"/>
      <c r="I393" s="150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</row>
    <row r="394" ht="12.75" customHeight="1" spans="1:26">
      <c r="A394" s="146"/>
      <c r="B394" s="146"/>
      <c r="C394" s="146"/>
      <c r="D394" s="146"/>
      <c r="E394" s="146"/>
      <c r="F394" s="146"/>
      <c r="G394" s="146"/>
      <c r="H394" s="146"/>
      <c r="I394" s="150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</row>
    <row r="395" ht="12.75" customHeight="1" spans="1:26">
      <c r="A395" s="146"/>
      <c r="B395" s="146"/>
      <c r="C395" s="146"/>
      <c r="D395" s="146"/>
      <c r="E395" s="146"/>
      <c r="F395" s="146"/>
      <c r="G395" s="146"/>
      <c r="H395" s="146"/>
      <c r="I395" s="150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</row>
    <row r="396" ht="12.75" customHeight="1" spans="1:26">
      <c r="A396" s="146"/>
      <c r="B396" s="146"/>
      <c r="C396" s="146"/>
      <c r="D396" s="146"/>
      <c r="E396" s="146"/>
      <c r="F396" s="146"/>
      <c r="G396" s="146"/>
      <c r="H396" s="146"/>
      <c r="I396" s="150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</row>
    <row r="397" ht="12.75" customHeight="1" spans="1:26">
      <c r="A397" s="146"/>
      <c r="B397" s="146"/>
      <c r="C397" s="146"/>
      <c r="D397" s="146"/>
      <c r="E397" s="146"/>
      <c r="F397" s="146"/>
      <c r="G397" s="146"/>
      <c r="H397" s="146"/>
      <c r="I397" s="150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</row>
    <row r="398" ht="12.75" customHeight="1" spans="1:26">
      <c r="A398" s="146"/>
      <c r="B398" s="146"/>
      <c r="C398" s="146"/>
      <c r="D398" s="146"/>
      <c r="E398" s="146"/>
      <c r="F398" s="146"/>
      <c r="G398" s="146"/>
      <c r="H398" s="146"/>
      <c r="I398" s="150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</row>
    <row r="399" ht="12.75" customHeight="1" spans="1:26">
      <c r="A399" s="146"/>
      <c r="B399" s="146"/>
      <c r="C399" s="146"/>
      <c r="D399" s="146"/>
      <c r="E399" s="146"/>
      <c r="F399" s="146"/>
      <c r="G399" s="146"/>
      <c r="H399" s="146"/>
      <c r="I399" s="150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</row>
    <row r="400" ht="12.75" customHeight="1" spans="1:26">
      <c r="A400" s="146"/>
      <c r="B400" s="146"/>
      <c r="C400" s="146"/>
      <c r="D400" s="146"/>
      <c r="E400" s="146"/>
      <c r="F400" s="146"/>
      <c r="G400" s="146"/>
      <c r="H400" s="146"/>
      <c r="I400" s="150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</row>
    <row r="401" ht="12.75" customHeight="1" spans="1:26">
      <c r="A401" s="146"/>
      <c r="B401" s="146"/>
      <c r="C401" s="146"/>
      <c r="D401" s="146"/>
      <c r="E401" s="146"/>
      <c r="F401" s="146"/>
      <c r="G401" s="146"/>
      <c r="H401" s="146"/>
      <c r="I401" s="150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</row>
    <row r="402" ht="12.75" customHeight="1" spans="1:26">
      <c r="A402" s="146"/>
      <c r="B402" s="146"/>
      <c r="C402" s="146"/>
      <c r="D402" s="146"/>
      <c r="E402" s="146"/>
      <c r="F402" s="146"/>
      <c r="G402" s="146"/>
      <c r="H402" s="146"/>
      <c r="I402" s="150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</row>
    <row r="403" ht="12.75" customHeight="1" spans="1:26">
      <c r="A403" s="146"/>
      <c r="B403" s="146"/>
      <c r="C403" s="146"/>
      <c r="D403" s="146"/>
      <c r="E403" s="146"/>
      <c r="F403" s="146"/>
      <c r="G403" s="146"/>
      <c r="H403" s="146"/>
      <c r="I403" s="150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</row>
    <row r="404" ht="12.75" customHeight="1" spans="1:26">
      <c r="A404" s="146"/>
      <c r="B404" s="146"/>
      <c r="C404" s="146"/>
      <c r="D404" s="146"/>
      <c r="E404" s="146"/>
      <c r="F404" s="146"/>
      <c r="G404" s="146"/>
      <c r="H404" s="146"/>
      <c r="I404" s="150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</row>
    <row r="405" ht="12.75" customHeight="1" spans="1:26">
      <c r="A405" s="146"/>
      <c r="B405" s="146"/>
      <c r="C405" s="146"/>
      <c r="D405" s="146"/>
      <c r="E405" s="146"/>
      <c r="F405" s="146"/>
      <c r="G405" s="146"/>
      <c r="H405" s="146"/>
      <c r="I405" s="150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</row>
    <row r="406" ht="12.75" customHeight="1" spans="1:26">
      <c r="A406" s="146"/>
      <c r="B406" s="146"/>
      <c r="C406" s="146"/>
      <c r="D406" s="146"/>
      <c r="E406" s="146"/>
      <c r="F406" s="146"/>
      <c r="G406" s="146"/>
      <c r="H406" s="146"/>
      <c r="I406" s="150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</row>
    <row r="407" ht="12.75" customHeight="1" spans="1:26">
      <c r="A407" s="146"/>
      <c r="B407" s="146"/>
      <c r="C407" s="146"/>
      <c r="D407" s="146"/>
      <c r="E407" s="146"/>
      <c r="F407" s="146"/>
      <c r="G407" s="146"/>
      <c r="H407" s="146"/>
      <c r="I407" s="150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</row>
    <row r="408" ht="12.75" customHeight="1" spans="1:26">
      <c r="A408" s="146"/>
      <c r="B408" s="146"/>
      <c r="C408" s="146"/>
      <c r="D408" s="146"/>
      <c r="E408" s="146"/>
      <c r="F408" s="146"/>
      <c r="G408" s="146"/>
      <c r="H408" s="146"/>
      <c r="I408" s="150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</row>
    <row r="409" ht="12.75" customHeight="1" spans="1:26">
      <c r="A409" s="146"/>
      <c r="B409" s="146"/>
      <c r="C409" s="146"/>
      <c r="D409" s="146"/>
      <c r="E409" s="146"/>
      <c r="F409" s="146"/>
      <c r="G409" s="146"/>
      <c r="H409" s="146"/>
      <c r="I409" s="150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</row>
    <row r="410" ht="12.75" customHeight="1" spans="1:26">
      <c r="A410" s="146"/>
      <c r="B410" s="146"/>
      <c r="C410" s="146"/>
      <c r="D410" s="146"/>
      <c r="E410" s="146"/>
      <c r="F410" s="146"/>
      <c r="G410" s="146"/>
      <c r="H410" s="146"/>
      <c r="I410" s="150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</row>
    <row r="411" ht="12.75" customHeight="1" spans="1:26">
      <c r="A411" s="146"/>
      <c r="B411" s="146"/>
      <c r="C411" s="146"/>
      <c r="D411" s="146"/>
      <c r="E411" s="146"/>
      <c r="F411" s="146"/>
      <c r="G411" s="146"/>
      <c r="H411" s="146"/>
      <c r="I411" s="150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</row>
    <row r="412" ht="12.75" customHeight="1" spans="1:26">
      <c r="A412" s="146"/>
      <c r="B412" s="146"/>
      <c r="C412" s="146"/>
      <c r="D412" s="146"/>
      <c r="E412" s="146"/>
      <c r="F412" s="146"/>
      <c r="G412" s="146"/>
      <c r="H412" s="146"/>
      <c r="I412" s="150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</row>
    <row r="413" ht="12.75" customHeight="1" spans="1:26">
      <c r="A413" s="146"/>
      <c r="B413" s="146"/>
      <c r="C413" s="146"/>
      <c r="D413" s="146"/>
      <c r="E413" s="146"/>
      <c r="F413" s="146"/>
      <c r="G413" s="146"/>
      <c r="H413" s="146"/>
      <c r="I413" s="150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</row>
    <row r="414" ht="12.75" customHeight="1" spans="1:26">
      <c r="A414" s="146"/>
      <c r="B414" s="146"/>
      <c r="C414" s="146"/>
      <c r="D414" s="146"/>
      <c r="E414" s="146"/>
      <c r="F414" s="146"/>
      <c r="G414" s="146"/>
      <c r="H414" s="146"/>
      <c r="I414" s="150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</row>
    <row r="415" ht="12.75" customHeight="1" spans="1:26">
      <c r="A415" s="146"/>
      <c r="B415" s="146"/>
      <c r="C415" s="146"/>
      <c r="D415" s="146"/>
      <c r="E415" s="146"/>
      <c r="F415" s="146"/>
      <c r="G415" s="146"/>
      <c r="H415" s="146"/>
      <c r="I415" s="150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</row>
    <row r="416" ht="12.75" customHeight="1" spans="1:26">
      <c r="A416" s="146"/>
      <c r="B416" s="146"/>
      <c r="C416" s="146"/>
      <c r="D416" s="146"/>
      <c r="E416" s="146"/>
      <c r="F416" s="146"/>
      <c r="G416" s="146"/>
      <c r="H416" s="146"/>
      <c r="I416" s="150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</row>
    <row r="417" ht="12.75" customHeight="1" spans="1:26">
      <c r="A417" s="146"/>
      <c r="B417" s="146"/>
      <c r="C417" s="146"/>
      <c r="D417" s="146"/>
      <c r="E417" s="146"/>
      <c r="F417" s="146"/>
      <c r="G417" s="146"/>
      <c r="H417" s="146"/>
      <c r="I417" s="150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</row>
    <row r="418" ht="12.75" customHeight="1" spans="1:26">
      <c r="A418" s="146"/>
      <c r="B418" s="146"/>
      <c r="C418" s="146"/>
      <c r="D418" s="146"/>
      <c r="E418" s="146"/>
      <c r="F418" s="146"/>
      <c r="G418" s="146"/>
      <c r="H418" s="146"/>
      <c r="I418" s="150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</row>
    <row r="419" ht="12.75" customHeight="1" spans="1:26">
      <c r="A419" s="146"/>
      <c r="B419" s="146"/>
      <c r="C419" s="146"/>
      <c r="D419" s="146"/>
      <c r="E419" s="146"/>
      <c r="F419" s="146"/>
      <c r="G419" s="146"/>
      <c r="H419" s="146"/>
      <c r="I419" s="150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</row>
    <row r="420" ht="12.75" customHeight="1" spans="1:26">
      <c r="A420" s="146"/>
      <c r="B420" s="146"/>
      <c r="C420" s="146"/>
      <c r="D420" s="146"/>
      <c r="E420" s="146"/>
      <c r="F420" s="146"/>
      <c r="G420" s="146"/>
      <c r="H420" s="146"/>
      <c r="I420" s="150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</row>
    <row r="421" ht="12.75" customHeight="1" spans="1:26">
      <c r="A421" s="146"/>
      <c r="B421" s="146"/>
      <c r="C421" s="146"/>
      <c r="D421" s="146"/>
      <c r="E421" s="146"/>
      <c r="F421" s="146"/>
      <c r="G421" s="146"/>
      <c r="H421" s="146"/>
      <c r="I421" s="150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</row>
    <row r="422" ht="12.75" customHeight="1" spans="1:26">
      <c r="A422" s="146"/>
      <c r="B422" s="146"/>
      <c r="C422" s="146"/>
      <c r="D422" s="146"/>
      <c r="E422" s="146"/>
      <c r="F422" s="146"/>
      <c r="G422" s="146"/>
      <c r="H422" s="146"/>
      <c r="I422" s="150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</row>
    <row r="423" ht="12.75" customHeight="1" spans="1:26">
      <c r="A423" s="146"/>
      <c r="B423" s="146"/>
      <c r="C423" s="146"/>
      <c r="D423" s="146"/>
      <c r="E423" s="146"/>
      <c r="F423" s="146"/>
      <c r="G423" s="146"/>
      <c r="H423" s="146"/>
      <c r="I423" s="150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</row>
    <row r="424" ht="12.75" customHeight="1" spans="1:26">
      <c r="A424" s="146"/>
      <c r="B424" s="146"/>
      <c r="C424" s="146"/>
      <c r="D424" s="146"/>
      <c r="E424" s="146"/>
      <c r="F424" s="146"/>
      <c r="G424" s="146"/>
      <c r="H424" s="146"/>
      <c r="I424" s="150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</row>
    <row r="425" ht="12.75" customHeight="1" spans="1:26">
      <c r="A425" s="146"/>
      <c r="B425" s="146"/>
      <c r="C425" s="146"/>
      <c r="D425" s="146"/>
      <c r="E425" s="146"/>
      <c r="F425" s="146"/>
      <c r="G425" s="146"/>
      <c r="H425" s="146"/>
      <c r="I425" s="150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</row>
    <row r="426" ht="12.75" customHeight="1" spans="1:26">
      <c r="A426" s="146"/>
      <c r="B426" s="146"/>
      <c r="C426" s="146"/>
      <c r="D426" s="146"/>
      <c r="E426" s="146"/>
      <c r="F426" s="146"/>
      <c r="G426" s="146"/>
      <c r="H426" s="146"/>
      <c r="I426" s="150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</row>
    <row r="427" ht="12.75" customHeight="1" spans="1:26">
      <c r="A427" s="146"/>
      <c r="B427" s="146"/>
      <c r="C427" s="146"/>
      <c r="D427" s="146"/>
      <c r="E427" s="146"/>
      <c r="F427" s="146"/>
      <c r="G427" s="146"/>
      <c r="H427" s="146"/>
      <c r="I427" s="150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</row>
    <row r="428" ht="12.75" customHeight="1" spans="1:26">
      <c r="A428" s="146"/>
      <c r="B428" s="146"/>
      <c r="C428" s="146"/>
      <c r="D428" s="146"/>
      <c r="E428" s="146"/>
      <c r="F428" s="146"/>
      <c r="G428" s="146"/>
      <c r="H428" s="146"/>
      <c r="I428" s="150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</row>
    <row r="429" ht="12.75" customHeight="1" spans="1:26">
      <c r="A429" s="146"/>
      <c r="B429" s="146"/>
      <c r="C429" s="146"/>
      <c r="D429" s="146"/>
      <c r="E429" s="146"/>
      <c r="F429" s="146"/>
      <c r="G429" s="146"/>
      <c r="H429" s="146"/>
      <c r="I429" s="150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</row>
    <row r="430" ht="12.75" customHeight="1" spans="1:26">
      <c r="A430" s="146"/>
      <c r="B430" s="146"/>
      <c r="C430" s="146"/>
      <c r="D430" s="146"/>
      <c r="E430" s="146"/>
      <c r="F430" s="146"/>
      <c r="G430" s="146"/>
      <c r="H430" s="146"/>
      <c r="I430" s="150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</row>
    <row r="431" ht="12.75" customHeight="1" spans="1:26">
      <c r="A431" s="146"/>
      <c r="B431" s="146"/>
      <c r="C431" s="146"/>
      <c r="D431" s="146"/>
      <c r="E431" s="146"/>
      <c r="F431" s="146"/>
      <c r="G431" s="146"/>
      <c r="H431" s="146"/>
      <c r="I431" s="150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</row>
    <row r="432" ht="12.75" customHeight="1" spans="1:26">
      <c r="A432" s="146"/>
      <c r="B432" s="146"/>
      <c r="C432" s="146"/>
      <c r="D432" s="146"/>
      <c r="E432" s="146"/>
      <c r="F432" s="146"/>
      <c r="G432" s="146"/>
      <c r="H432" s="146"/>
      <c r="I432" s="150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</row>
    <row r="433" ht="12.75" customHeight="1" spans="1:26">
      <c r="A433" s="146"/>
      <c r="B433" s="146"/>
      <c r="C433" s="146"/>
      <c r="D433" s="146"/>
      <c r="E433" s="146"/>
      <c r="F433" s="146"/>
      <c r="G433" s="146"/>
      <c r="H433" s="146"/>
      <c r="I433" s="150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</row>
    <row r="434" ht="12.75" customHeight="1" spans="1:26">
      <c r="A434" s="146"/>
      <c r="B434" s="146"/>
      <c r="C434" s="146"/>
      <c r="D434" s="146"/>
      <c r="E434" s="146"/>
      <c r="F434" s="146"/>
      <c r="G434" s="146"/>
      <c r="H434" s="146"/>
      <c r="I434" s="150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</row>
    <row r="435" ht="12.75" customHeight="1" spans="1:26">
      <c r="A435" s="146"/>
      <c r="B435" s="146"/>
      <c r="C435" s="146"/>
      <c r="D435" s="146"/>
      <c r="E435" s="146"/>
      <c r="F435" s="146"/>
      <c r="G435" s="146"/>
      <c r="H435" s="146"/>
      <c r="I435" s="150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</row>
    <row r="436" ht="12.75" customHeight="1" spans="1:26">
      <c r="A436" s="146"/>
      <c r="B436" s="146"/>
      <c r="C436" s="146"/>
      <c r="D436" s="146"/>
      <c r="E436" s="146"/>
      <c r="F436" s="146"/>
      <c r="G436" s="146"/>
      <c r="H436" s="146"/>
      <c r="I436" s="150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</row>
    <row r="437" ht="12.75" customHeight="1" spans="1:26">
      <c r="A437" s="146"/>
      <c r="B437" s="146"/>
      <c r="C437" s="146"/>
      <c r="D437" s="146"/>
      <c r="E437" s="146"/>
      <c r="F437" s="146"/>
      <c r="G437" s="146"/>
      <c r="H437" s="146"/>
      <c r="I437" s="150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</row>
    <row r="438" ht="12.75" customHeight="1" spans="1:26">
      <c r="A438" s="146"/>
      <c r="B438" s="146"/>
      <c r="C438" s="146"/>
      <c r="D438" s="146"/>
      <c r="E438" s="146"/>
      <c r="F438" s="146"/>
      <c r="G438" s="146"/>
      <c r="H438" s="146"/>
      <c r="I438" s="150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</row>
    <row r="439" ht="12.75" customHeight="1" spans="1:26">
      <c r="A439" s="146"/>
      <c r="B439" s="146"/>
      <c r="C439" s="146"/>
      <c r="D439" s="146"/>
      <c r="E439" s="146"/>
      <c r="F439" s="146"/>
      <c r="G439" s="146"/>
      <c r="H439" s="146"/>
      <c r="I439" s="150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</row>
    <row r="440" ht="12.75" customHeight="1" spans="1:26">
      <c r="A440" s="146"/>
      <c r="B440" s="146"/>
      <c r="C440" s="146"/>
      <c r="D440" s="146"/>
      <c r="E440" s="146"/>
      <c r="F440" s="146"/>
      <c r="G440" s="146"/>
      <c r="H440" s="146"/>
      <c r="I440" s="150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</row>
    <row r="441" ht="12.75" customHeight="1" spans="1:26">
      <c r="A441" s="146"/>
      <c r="B441" s="146"/>
      <c r="C441" s="146"/>
      <c r="D441" s="146"/>
      <c r="E441" s="146"/>
      <c r="F441" s="146"/>
      <c r="G441" s="146"/>
      <c r="H441" s="146"/>
      <c r="I441" s="150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</row>
    <row r="442" ht="12.75" customHeight="1" spans="1:26">
      <c r="A442" s="146"/>
      <c r="B442" s="146"/>
      <c r="C442" s="146"/>
      <c r="D442" s="146"/>
      <c r="E442" s="146"/>
      <c r="F442" s="146"/>
      <c r="G442" s="146"/>
      <c r="H442" s="146"/>
      <c r="I442" s="150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</row>
    <row r="443" ht="12.75" customHeight="1" spans="1:26">
      <c r="A443" s="146"/>
      <c r="B443" s="146"/>
      <c r="C443" s="146"/>
      <c r="D443" s="146"/>
      <c r="E443" s="146"/>
      <c r="F443" s="146"/>
      <c r="G443" s="146"/>
      <c r="H443" s="146"/>
      <c r="I443" s="150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</row>
    <row r="444" ht="12.75" customHeight="1" spans="1:26">
      <c r="A444" s="146"/>
      <c r="B444" s="146"/>
      <c r="C444" s="146"/>
      <c r="D444" s="146"/>
      <c r="E444" s="146"/>
      <c r="F444" s="146"/>
      <c r="G444" s="146"/>
      <c r="H444" s="146"/>
      <c r="I444" s="150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</row>
    <row r="445" ht="12.75" customHeight="1" spans="1:26">
      <c r="A445" s="146"/>
      <c r="B445" s="146"/>
      <c r="C445" s="146"/>
      <c r="D445" s="146"/>
      <c r="E445" s="146"/>
      <c r="F445" s="146"/>
      <c r="G445" s="146"/>
      <c r="H445" s="146"/>
      <c r="I445" s="150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</row>
    <row r="446" ht="12.75" customHeight="1" spans="1:26">
      <c r="A446" s="146"/>
      <c r="B446" s="146"/>
      <c r="C446" s="146"/>
      <c r="D446" s="146"/>
      <c r="E446" s="146"/>
      <c r="F446" s="146"/>
      <c r="G446" s="146"/>
      <c r="H446" s="146"/>
      <c r="I446" s="150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</row>
    <row r="447" ht="12.75" customHeight="1" spans="1:26">
      <c r="A447" s="146"/>
      <c r="B447" s="146"/>
      <c r="C447" s="146"/>
      <c r="D447" s="146"/>
      <c r="E447" s="146"/>
      <c r="F447" s="146"/>
      <c r="G447" s="146"/>
      <c r="H447" s="146"/>
      <c r="I447" s="150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</row>
    <row r="448" ht="12.75" customHeight="1" spans="1:26">
      <c r="A448" s="146"/>
      <c r="B448" s="146"/>
      <c r="C448" s="146"/>
      <c r="D448" s="146"/>
      <c r="E448" s="146"/>
      <c r="F448" s="146"/>
      <c r="G448" s="146"/>
      <c r="H448" s="146"/>
      <c r="I448" s="150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</row>
    <row r="449" ht="12.75" customHeight="1" spans="1:26">
      <c r="A449" s="146"/>
      <c r="B449" s="146"/>
      <c r="C449" s="146"/>
      <c r="D449" s="146"/>
      <c r="E449" s="146"/>
      <c r="F449" s="146"/>
      <c r="G449" s="146"/>
      <c r="H449" s="146"/>
      <c r="I449" s="150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</row>
    <row r="450" ht="12.75" customHeight="1" spans="1:26">
      <c r="A450" s="146"/>
      <c r="B450" s="146"/>
      <c r="C450" s="146"/>
      <c r="D450" s="146"/>
      <c r="E450" s="146"/>
      <c r="F450" s="146"/>
      <c r="G450" s="146"/>
      <c r="H450" s="146"/>
      <c r="I450" s="150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</row>
    <row r="451" ht="12.75" customHeight="1" spans="1:26">
      <c r="A451" s="146"/>
      <c r="B451" s="146"/>
      <c r="C451" s="146"/>
      <c r="D451" s="146"/>
      <c r="E451" s="146"/>
      <c r="F451" s="146"/>
      <c r="G451" s="146"/>
      <c r="H451" s="146"/>
      <c r="I451" s="150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</row>
    <row r="452" ht="12.75" customHeight="1" spans="1:26">
      <c r="A452" s="146"/>
      <c r="B452" s="146"/>
      <c r="C452" s="146"/>
      <c r="D452" s="146"/>
      <c r="E452" s="146"/>
      <c r="F452" s="146"/>
      <c r="G452" s="146"/>
      <c r="H452" s="146"/>
      <c r="I452" s="150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</row>
    <row r="453" ht="12.75" customHeight="1" spans="1:26">
      <c r="A453" s="146"/>
      <c r="B453" s="146"/>
      <c r="C453" s="146"/>
      <c r="D453" s="146"/>
      <c r="E453" s="146"/>
      <c r="F453" s="146"/>
      <c r="G453" s="146"/>
      <c r="H453" s="146"/>
      <c r="I453" s="150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</row>
    <row r="454" ht="12.75" customHeight="1" spans="1:26">
      <c r="A454" s="146"/>
      <c r="B454" s="146"/>
      <c r="C454" s="146"/>
      <c r="D454" s="146"/>
      <c r="E454" s="146"/>
      <c r="F454" s="146"/>
      <c r="G454" s="146"/>
      <c r="H454" s="146"/>
      <c r="I454" s="150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</row>
    <row r="455" ht="12.75" customHeight="1" spans="1:26">
      <c r="A455" s="146"/>
      <c r="B455" s="146"/>
      <c r="C455" s="146"/>
      <c r="D455" s="146"/>
      <c r="E455" s="146"/>
      <c r="F455" s="146"/>
      <c r="G455" s="146"/>
      <c r="H455" s="146"/>
      <c r="I455" s="150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</row>
    <row r="456" ht="12.75" customHeight="1" spans="1:26">
      <c r="A456" s="146"/>
      <c r="B456" s="146"/>
      <c r="C456" s="146"/>
      <c r="D456" s="146"/>
      <c r="E456" s="146"/>
      <c r="F456" s="146"/>
      <c r="G456" s="146"/>
      <c r="H456" s="146"/>
      <c r="I456" s="150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</row>
    <row r="457" ht="12.75" customHeight="1" spans="1:26">
      <c r="A457" s="146"/>
      <c r="B457" s="146"/>
      <c r="C457" s="146"/>
      <c r="D457" s="146"/>
      <c r="E457" s="146"/>
      <c r="F457" s="146"/>
      <c r="G457" s="146"/>
      <c r="H457" s="146"/>
      <c r="I457" s="150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</row>
    <row r="458" ht="12.75" customHeight="1" spans="1:26">
      <c r="A458" s="146"/>
      <c r="B458" s="146"/>
      <c r="C458" s="146"/>
      <c r="D458" s="146"/>
      <c r="E458" s="146"/>
      <c r="F458" s="146"/>
      <c r="G458" s="146"/>
      <c r="H458" s="146"/>
      <c r="I458" s="150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</row>
    <row r="459" ht="12.75" customHeight="1" spans="1:26">
      <c r="A459" s="146"/>
      <c r="B459" s="146"/>
      <c r="C459" s="146"/>
      <c r="D459" s="146"/>
      <c r="E459" s="146"/>
      <c r="F459" s="146"/>
      <c r="G459" s="146"/>
      <c r="H459" s="146"/>
      <c r="I459" s="150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</row>
    <row r="460" ht="12.75" customHeight="1" spans="1:26">
      <c r="A460" s="146"/>
      <c r="B460" s="146"/>
      <c r="C460" s="146"/>
      <c r="D460" s="146"/>
      <c r="E460" s="146"/>
      <c r="F460" s="146"/>
      <c r="G460" s="146"/>
      <c r="H460" s="146"/>
      <c r="I460" s="150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</row>
    <row r="461" ht="12.75" customHeight="1" spans="1:26">
      <c r="A461" s="146"/>
      <c r="B461" s="146"/>
      <c r="C461" s="146"/>
      <c r="D461" s="146"/>
      <c r="E461" s="146"/>
      <c r="F461" s="146"/>
      <c r="G461" s="146"/>
      <c r="H461" s="146"/>
      <c r="I461" s="150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</row>
    <row r="462" ht="12.75" customHeight="1" spans="1:26">
      <c r="A462" s="146"/>
      <c r="B462" s="146"/>
      <c r="C462" s="146"/>
      <c r="D462" s="146"/>
      <c r="E462" s="146"/>
      <c r="F462" s="146"/>
      <c r="G462" s="146"/>
      <c r="H462" s="146"/>
      <c r="I462" s="150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</row>
    <row r="463" ht="12.75" customHeight="1" spans="1:26">
      <c r="A463" s="146"/>
      <c r="B463" s="146"/>
      <c r="C463" s="146"/>
      <c r="D463" s="146"/>
      <c r="E463" s="146"/>
      <c r="F463" s="146"/>
      <c r="G463" s="146"/>
      <c r="H463" s="146"/>
      <c r="I463" s="150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</row>
    <row r="464" ht="12.75" customHeight="1" spans="1:26">
      <c r="A464" s="146"/>
      <c r="B464" s="146"/>
      <c r="C464" s="146"/>
      <c r="D464" s="146"/>
      <c r="E464" s="146"/>
      <c r="F464" s="146"/>
      <c r="G464" s="146"/>
      <c r="H464" s="146"/>
      <c r="I464" s="150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</row>
    <row r="465" ht="12.75" customHeight="1" spans="1:26">
      <c r="A465" s="146"/>
      <c r="B465" s="146"/>
      <c r="C465" s="146"/>
      <c r="D465" s="146"/>
      <c r="E465" s="146"/>
      <c r="F465" s="146"/>
      <c r="G465" s="146"/>
      <c r="H465" s="146"/>
      <c r="I465" s="150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</row>
    <row r="466" ht="12.75" customHeight="1" spans="1:26">
      <c r="A466" s="146"/>
      <c r="B466" s="146"/>
      <c r="C466" s="146"/>
      <c r="D466" s="146"/>
      <c r="E466" s="146"/>
      <c r="F466" s="146"/>
      <c r="G466" s="146"/>
      <c r="H466" s="146"/>
      <c r="I466" s="150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</row>
    <row r="467" ht="12.75" customHeight="1" spans="1:26">
      <c r="A467" s="146"/>
      <c r="B467" s="146"/>
      <c r="C467" s="146"/>
      <c r="D467" s="146"/>
      <c r="E467" s="146"/>
      <c r="F467" s="146"/>
      <c r="G467" s="146"/>
      <c r="H467" s="146"/>
      <c r="I467" s="150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</row>
    <row r="468" ht="12.75" customHeight="1" spans="1:26">
      <c r="A468" s="146"/>
      <c r="B468" s="146"/>
      <c r="C468" s="146"/>
      <c r="D468" s="146"/>
      <c r="E468" s="146"/>
      <c r="F468" s="146"/>
      <c r="G468" s="146"/>
      <c r="H468" s="146"/>
      <c r="I468" s="150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</row>
    <row r="469" ht="12.75" customHeight="1" spans="1:26">
      <c r="A469" s="146"/>
      <c r="B469" s="146"/>
      <c r="C469" s="146"/>
      <c r="D469" s="146"/>
      <c r="E469" s="146"/>
      <c r="F469" s="146"/>
      <c r="G469" s="146"/>
      <c r="H469" s="146"/>
      <c r="I469" s="150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</row>
    <row r="470" ht="12.75" customHeight="1" spans="1:26">
      <c r="A470" s="146"/>
      <c r="B470" s="146"/>
      <c r="C470" s="146"/>
      <c r="D470" s="146"/>
      <c r="E470" s="146"/>
      <c r="F470" s="146"/>
      <c r="G470" s="146"/>
      <c r="H470" s="146"/>
      <c r="I470" s="150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</row>
    <row r="471" ht="12.75" customHeight="1" spans="1:26">
      <c r="A471" s="146"/>
      <c r="B471" s="146"/>
      <c r="C471" s="146"/>
      <c r="D471" s="146"/>
      <c r="E471" s="146"/>
      <c r="F471" s="146"/>
      <c r="G471" s="146"/>
      <c r="H471" s="146"/>
      <c r="I471" s="150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</row>
    <row r="472" ht="12.75" customHeight="1" spans="1:26">
      <c r="A472" s="146"/>
      <c r="B472" s="146"/>
      <c r="C472" s="146"/>
      <c r="D472" s="146"/>
      <c r="E472" s="146"/>
      <c r="F472" s="146"/>
      <c r="G472" s="146"/>
      <c r="H472" s="146"/>
      <c r="I472" s="150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</row>
    <row r="473" ht="12.75" customHeight="1" spans="1:26">
      <c r="A473" s="146"/>
      <c r="B473" s="146"/>
      <c r="C473" s="146"/>
      <c r="D473" s="146"/>
      <c r="E473" s="146"/>
      <c r="F473" s="146"/>
      <c r="G473" s="146"/>
      <c r="H473" s="146"/>
      <c r="I473" s="150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</row>
    <row r="474" ht="12.75" customHeight="1" spans="1:26">
      <c r="A474" s="146"/>
      <c r="B474" s="146"/>
      <c r="C474" s="146"/>
      <c r="D474" s="146"/>
      <c r="E474" s="146"/>
      <c r="F474" s="146"/>
      <c r="G474" s="146"/>
      <c r="H474" s="146"/>
      <c r="I474" s="150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</row>
    <row r="475" ht="12.75" customHeight="1" spans="1:26">
      <c r="A475" s="146"/>
      <c r="B475" s="146"/>
      <c r="C475" s="146"/>
      <c r="D475" s="146"/>
      <c r="E475" s="146"/>
      <c r="F475" s="146"/>
      <c r="G475" s="146"/>
      <c r="H475" s="146"/>
      <c r="I475" s="150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</row>
    <row r="476" ht="12.75" customHeight="1" spans="1:26">
      <c r="A476" s="146"/>
      <c r="B476" s="146"/>
      <c r="C476" s="146"/>
      <c r="D476" s="146"/>
      <c r="E476" s="146"/>
      <c r="F476" s="146"/>
      <c r="G476" s="146"/>
      <c r="H476" s="146"/>
      <c r="I476" s="150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</row>
    <row r="477" ht="12.75" customHeight="1" spans="1:26">
      <c r="A477" s="146"/>
      <c r="B477" s="146"/>
      <c r="C477" s="146"/>
      <c r="D477" s="146"/>
      <c r="E477" s="146"/>
      <c r="F477" s="146"/>
      <c r="G477" s="146"/>
      <c r="H477" s="146"/>
      <c r="I477" s="150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</row>
    <row r="478" ht="12.75" customHeight="1" spans="1:26">
      <c r="A478" s="146"/>
      <c r="B478" s="146"/>
      <c r="C478" s="146"/>
      <c r="D478" s="146"/>
      <c r="E478" s="146"/>
      <c r="F478" s="146"/>
      <c r="G478" s="146"/>
      <c r="H478" s="146"/>
      <c r="I478" s="150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</row>
    <row r="479" ht="12.75" customHeight="1" spans="1:26">
      <c r="A479" s="146"/>
      <c r="B479" s="146"/>
      <c r="C479" s="146"/>
      <c r="D479" s="146"/>
      <c r="E479" s="146"/>
      <c r="F479" s="146"/>
      <c r="G479" s="146"/>
      <c r="H479" s="146"/>
      <c r="I479" s="150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</row>
    <row r="480" ht="12.75" customHeight="1" spans="1:26">
      <c r="A480" s="146"/>
      <c r="B480" s="146"/>
      <c r="C480" s="146"/>
      <c r="D480" s="146"/>
      <c r="E480" s="146"/>
      <c r="F480" s="146"/>
      <c r="G480" s="146"/>
      <c r="H480" s="146"/>
      <c r="I480" s="150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</row>
    <row r="481" ht="12.75" customHeight="1" spans="1:26">
      <c r="A481" s="146"/>
      <c r="B481" s="146"/>
      <c r="C481" s="146"/>
      <c r="D481" s="146"/>
      <c r="E481" s="146"/>
      <c r="F481" s="146"/>
      <c r="G481" s="146"/>
      <c r="H481" s="146"/>
      <c r="I481" s="150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</row>
    <row r="482" ht="12.75" customHeight="1" spans="1:26">
      <c r="A482" s="146"/>
      <c r="B482" s="146"/>
      <c r="C482" s="146"/>
      <c r="D482" s="146"/>
      <c r="E482" s="146"/>
      <c r="F482" s="146"/>
      <c r="G482" s="146"/>
      <c r="H482" s="146"/>
      <c r="I482" s="150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</row>
    <row r="483" ht="12.75" customHeight="1" spans="1:26">
      <c r="A483" s="146"/>
      <c r="B483" s="146"/>
      <c r="C483" s="146"/>
      <c r="D483" s="146"/>
      <c r="E483" s="146"/>
      <c r="F483" s="146"/>
      <c r="G483" s="146"/>
      <c r="H483" s="146"/>
      <c r="I483" s="150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</row>
    <row r="484" ht="12.75" customHeight="1" spans="1:26">
      <c r="A484" s="146"/>
      <c r="B484" s="146"/>
      <c r="C484" s="146"/>
      <c r="D484" s="146"/>
      <c r="E484" s="146"/>
      <c r="F484" s="146"/>
      <c r="G484" s="146"/>
      <c r="H484" s="146"/>
      <c r="I484" s="150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</row>
    <row r="485" ht="12.75" customHeight="1" spans="1:26">
      <c r="A485" s="146"/>
      <c r="B485" s="146"/>
      <c r="C485" s="146"/>
      <c r="D485" s="146"/>
      <c r="E485" s="146"/>
      <c r="F485" s="146"/>
      <c r="G485" s="146"/>
      <c r="H485" s="146"/>
      <c r="I485" s="150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</row>
    <row r="486" ht="12.75" customHeight="1" spans="1:26">
      <c r="A486" s="146"/>
      <c r="B486" s="146"/>
      <c r="C486" s="146"/>
      <c r="D486" s="146"/>
      <c r="E486" s="146"/>
      <c r="F486" s="146"/>
      <c r="G486" s="146"/>
      <c r="H486" s="146"/>
      <c r="I486" s="150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</row>
    <row r="487" ht="12.75" customHeight="1" spans="1:26">
      <c r="A487" s="146"/>
      <c r="B487" s="146"/>
      <c r="C487" s="146"/>
      <c r="D487" s="146"/>
      <c r="E487" s="146"/>
      <c r="F487" s="146"/>
      <c r="G487" s="146"/>
      <c r="H487" s="146"/>
      <c r="I487" s="150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</row>
    <row r="488" ht="12.75" customHeight="1" spans="1:26">
      <c r="A488" s="146"/>
      <c r="B488" s="146"/>
      <c r="C488" s="146"/>
      <c r="D488" s="146"/>
      <c r="E488" s="146"/>
      <c r="F488" s="146"/>
      <c r="G488" s="146"/>
      <c r="H488" s="146"/>
      <c r="I488" s="150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</row>
    <row r="489" ht="12.75" customHeight="1" spans="1:26">
      <c r="A489" s="146"/>
      <c r="B489" s="146"/>
      <c r="C489" s="146"/>
      <c r="D489" s="146"/>
      <c r="E489" s="146"/>
      <c r="F489" s="146"/>
      <c r="G489" s="146"/>
      <c r="H489" s="146"/>
      <c r="I489" s="150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</row>
    <row r="490" ht="12.75" customHeight="1" spans="1:26">
      <c r="A490" s="146"/>
      <c r="B490" s="146"/>
      <c r="C490" s="146"/>
      <c r="D490" s="146"/>
      <c r="E490" s="146"/>
      <c r="F490" s="146"/>
      <c r="G490" s="146"/>
      <c r="H490" s="146"/>
      <c r="I490" s="150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</row>
    <row r="491" ht="12.75" customHeight="1" spans="1:26">
      <c r="A491" s="146"/>
      <c r="B491" s="146"/>
      <c r="C491" s="146"/>
      <c r="D491" s="146"/>
      <c r="E491" s="146"/>
      <c r="F491" s="146"/>
      <c r="G491" s="146"/>
      <c r="H491" s="146"/>
      <c r="I491" s="150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</row>
    <row r="492" ht="12.75" customHeight="1" spans="1:26">
      <c r="A492" s="146"/>
      <c r="B492" s="146"/>
      <c r="C492" s="146"/>
      <c r="D492" s="146"/>
      <c r="E492" s="146"/>
      <c r="F492" s="146"/>
      <c r="G492" s="146"/>
      <c r="H492" s="146"/>
      <c r="I492" s="150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</row>
    <row r="493" ht="12.75" customHeight="1" spans="1:26">
      <c r="A493" s="146"/>
      <c r="B493" s="146"/>
      <c r="C493" s="146"/>
      <c r="D493" s="146"/>
      <c r="E493" s="146"/>
      <c r="F493" s="146"/>
      <c r="G493" s="146"/>
      <c r="H493" s="146"/>
      <c r="I493" s="150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</row>
    <row r="494" ht="12.75" customHeight="1" spans="1:26">
      <c r="A494" s="146"/>
      <c r="B494" s="146"/>
      <c r="C494" s="146"/>
      <c r="D494" s="146"/>
      <c r="E494" s="146"/>
      <c r="F494" s="146"/>
      <c r="G494" s="146"/>
      <c r="H494" s="146"/>
      <c r="I494" s="150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</row>
    <row r="495" ht="12.75" customHeight="1" spans="1:26">
      <c r="A495" s="146"/>
      <c r="B495" s="146"/>
      <c r="C495" s="146"/>
      <c r="D495" s="146"/>
      <c r="E495" s="146"/>
      <c r="F495" s="146"/>
      <c r="G495" s="146"/>
      <c r="H495" s="146"/>
      <c r="I495" s="150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</row>
    <row r="496" ht="12.75" customHeight="1" spans="1:26">
      <c r="A496" s="146"/>
      <c r="B496" s="146"/>
      <c r="C496" s="146"/>
      <c r="D496" s="146"/>
      <c r="E496" s="146"/>
      <c r="F496" s="146"/>
      <c r="G496" s="146"/>
      <c r="H496" s="146"/>
      <c r="I496" s="150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</row>
    <row r="497" ht="12.75" customHeight="1" spans="1:26">
      <c r="A497" s="146"/>
      <c r="B497" s="146"/>
      <c r="C497" s="146"/>
      <c r="D497" s="146"/>
      <c r="E497" s="146"/>
      <c r="F497" s="146"/>
      <c r="G497" s="146"/>
      <c r="H497" s="146"/>
      <c r="I497" s="150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</row>
    <row r="498" ht="12.75" customHeight="1" spans="1:26">
      <c r="A498" s="146"/>
      <c r="B498" s="146"/>
      <c r="C498" s="146"/>
      <c r="D498" s="146"/>
      <c r="E498" s="146"/>
      <c r="F498" s="146"/>
      <c r="G498" s="146"/>
      <c r="H498" s="146"/>
      <c r="I498" s="150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</row>
    <row r="499" ht="12.75" customHeight="1" spans="1:26">
      <c r="A499" s="146"/>
      <c r="B499" s="146"/>
      <c r="C499" s="146"/>
      <c r="D499" s="146"/>
      <c r="E499" s="146"/>
      <c r="F499" s="146"/>
      <c r="G499" s="146"/>
      <c r="H499" s="146"/>
      <c r="I499" s="150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</row>
    <row r="500" ht="12.75" customHeight="1" spans="1:26">
      <c r="A500" s="146"/>
      <c r="B500" s="146"/>
      <c r="C500" s="146"/>
      <c r="D500" s="146"/>
      <c r="E500" s="146"/>
      <c r="F500" s="146"/>
      <c r="G500" s="146"/>
      <c r="H500" s="146"/>
      <c r="I500" s="150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</row>
    <row r="501" ht="12.75" customHeight="1" spans="1:26">
      <c r="A501" s="146"/>
      <c r="B501" s="146"/>
      <c r="C501" s="146"/>
      <c r="D501" s="146"/>
      <c r="E501" s="146"/>
      <c r="F501" s="146"/>
      <c r="G501" s="146"/>
      <c r="H501" s="146"/>
      <c r="I501" s="150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</row>
    <row r="502" ht="12.75" customHeight="1" spans="1:26">
      <c r="A502" s="146"/>
      <c r="B502" s="146"/>
      <c r="C502" s="146"/>
      <c r="D502" s="146"/>
      <c r="E502" s="146"/>
      <c r="F502" s="146"/>
      <c r="G502" s="146"/>
      <c r="H502" s="146"/>
      <c r="I502" s="150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</row>
    <row r="503" ht="12.75" customHeight="1" spans="1:26">
      <c r="A503" s="146"/>
      <c r="B503" s="146"/>
      <c r="C503" s="146"/>
      <c r="D503" s="146"/>
      <c r="E503" s="146"/>
      <c r="F503" s="146"/>
      <c r="G503" s="146"/>
      <c r="H503" s="146"/>
      <c r="I503" s="150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</row>
    <row r="504" ht="12.75" customHeight="1" spans="1:26">
      <c r="A504" s="146"/>
      <c r="B504" s="146"/>
      <c r="C504" s="146"/>
      <c r="D504" s="146"/>
      <c r="E504" s="146"/>
      <c r="F504" s="146"/>
      <c r="G504" s="146"/>
      <c r="H504" s="146"/>
      <c r="I504" s="150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</row>
    <row r="505" ht="12.75" customHeight="1" spans="1:26">
      <c r="A505" s="146"/>
      <c r="B505" s="146"/>
      <c r="C505" s="146"/>
      <c r="D505" s="146"/>
      <c r="E505" s="146"/>
      <c r="F505" s="146"/>
      <c r="G505" s="146"/>
      <c r="H505" s="146"/>
      <c r="I505" s="150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</row>
    <row r="506" ht="12.75" customHeight="1" spans="1:26">
      <c r="A506" s="146"/>
      <c r="B506" s="146"/>
      <c r="C506" s="146"/>
      <c r="D506" s="146"/>
      <c r="E506" s="146"/>
      <c r="F506" s="146"/>
      <c r="G506" s="146"/>
      <c r="H506" s="146"/>
      <c r="I506" s="150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</row>
    <row r="507" ht="12.75" customHeight="1" spans="1:26">
      <c r="A507" s="146"/>
      <c r="B507" s="146"/>
      <c r="C507" s="146"/>
      <c r="D507" s="146"/>
      <c r="E507" s="146"/>
      <c r="F507" s="146"/>
      <c r="G507" s="146"/>
      <c r="H507" s="146"/>
      <c r="I507" s="150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</row>
    <row r="508" ht="12.75" customHeight="1" spans="1:26">
      <c r="A508" s="146"/>
      <c r="B508" s="146"/>
      <c r="C508" s="146"/>
      <c r="D508" s="146"/>
      <c r="E508" s="146"/>
      <c r="F508" s="146"/>
      <c r="G508" s="146"/>
      <c r="H508" s="146"/>
      <c r="I508" s="150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</row>
    <row r="509" ht="12.75" customHeight="1" spans="1:26">
      <c r="A509" s="146"/>
      <c r="B509" s="146"/>
      <c r="C509" s="146"/>
      <c r="D509" s="146"/>
      <c r="E509" s="146"/>
      <c r="F509" s="146"/>
      <c r="G509" s="146"/>
      <c r="H509" s="146"/>
      <c r="I509" s="150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</row>
    <row r="510" ht="12.75" customHeight="1" spans="1:26">
      <c r="A510" s="146"/>
      <c r="B510" s="146"/>
      <c r="C510" s="146"/>
      <c r="D510" s="146"/>
      <c r="E510" s="146"/>
      <c r="F510" s="146"/>
      <c r="G510" s="146"/>
      <c r="H510" s="146"/>
      <c r="I510" s="150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</row>
    <row r="511" ht="12.75" customHeight="1" spans="1:26">
      <c r="A511" s="146"/>
      <c r="B511" s="146"/>
      <c r="C511" s="146"/>
      <c r="D511" s="146"/>
      <c r="E511" s="146"/>
      <c r="F511" s="146"/>
      <c r="G511" s="146"/>
      <c r="H511" s="146"/>
      <c r="I511" s="150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</row>
    <row r="512" ht="12.75" customHeight="1" spans="1:26">
      <c r="A512" s="146"/>
      <c r="B512" s="146"/>
      <c r="C512" s="146"/>
      <c r="D512" s="146"/>
      <c r="E512" s="146"/>
      <c r="F512" s="146"/>
      <c r="G512" s="146"/>
      <c r="H512" s="146"/>
      <c r="I512" s="150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</row>
    <row r="513" ht="12.75" customHeight="1" spans="1:26">
      <c r="A513" s="146"/>
      <c r="B513" s="146"/>
      <c r="C513" s="146"/>
      <c r="D513" s="146"/>
      <c r="E513" s="146"/>
      <c r="F513" s="146"/>
      <c r="G513" s="146"/>
      <c r="H513" s="146"/>
      <c r="I513" s="150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</row>
    <row r="514" ht="12.75" customHeight="1" spans="1:26">
      <c r="A514" s="146"/>
      <c r="B514" s="146"/>
      <c r="C514" s="146"/>
      <c r="D514" s="146"/>
      <c r="E514" s="146"/>
      <c r="F514" s="146"/>
      <c r="G514" s="146"/>
      <c r="H514" s="146"/>
      <c r="I514" s="150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</row>
    <row r="515" ht="12.75" customHeight="1" spans="1:26">
      <c r="A515" s="146"/>
      <c r="B515" s="146"/>
      <c r="C515" s="146"/>
      <c r="D515" s="146"/>
      <c r="E515" s="146"/>
      <c r="F515" s="146"/>
      <c r="G515" s="146"/>
      <c r="H515" s="146"/>
      <c r="I515" s="150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</row>
    <row r="516" ht="12.75" customHeight="1" spans="1:26">
      <c r="A516" s="146"/>
      <c r="B516" s="146"/>
      <c r="C516" s="146"/>
      <c r="D516" s="146"/>
      <c r="E516" s="146"/>
      <c r="F516" s="146"/>
      <c r="G516" s="146"/>
      <c r="H516" s="146"/>
      <c r="I516" s="150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</row>
    <row r="517" ht="12.75" customHeight="1" spans="1:26">
      <c r="A517" s="146"/>
      <c r="B517" s="146"/>
      <c r="C517" s="146"/>
      <c r="D517" s="146"/>
      <c r="E517" s="146"/>
      <c r="F517" s="146"/>
      <c r="G517" s="146"/>
      <c r="H517" s="146"/>
      <c r="I517" s="150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</row>
    <row r="518" ht="12.75" customHeight="1" spans="1:26">
      <c r="A518" s="146"/>
      <c r="B518" s="146"/>
      <c r="C518" s="146"/>
      <c r="D518" s="146"/>
      <c r="E518" s="146"/>
      <c r="F518" s="146"/>
      <c r="G518" s="146"/>
      <c r="H518" s="146"/>
      <c r="I518" s="150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</row>
    <row r="519" ht="12.75" customHeight="1" spans="1:26">
      <c r="A519" s="146"/>
      <c r="B519" s="146"/>
      <c r="C519" s="146"/>
      <c r="D519" s="146"/>
      <c r="E519" s="146"/>
      <c r="F519" s="146"/>
      <c r="G519" s="146"/>
      <c r="H519" s="146"/>
      <c r="I519" s="150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</row>
    <row r="520" ht="12.75" customHeight="1" spans="1:26">
      <c r="A520" s="146"/>
      <c r="B520" s="146"/>
      <c r="C520" s="146"/>
      <c r="D520" s="146"/>
      <c r="E520" s="146"/>
      <c r="F520" s="146"/>
      <c r="G520" s="146"/>
      <c r="H520" s="146"/>
      <c r="I520" s="150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</row>
    <row r="521" ht="12.75" customHeight="1" spans="1:26">
      <c r="A521" s="146"/>
      <c r="B521" s="146"/>
      <c r="C521" s="146"/>
      <c r="D521" s="146"/>
      <c r="E521" s="146"/>
      <c r="F521" s="146"/>
      <c r="G521" s="146"/>
      <c r="H521" s="146"/>
      <c r="I521" s="150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</row>
    <row r="522" ht="12.75" customHeight="1" spans="1:26">
      <c r="A522" s="146"/>
      <c r="B522" s="146"/>
      <c r="C522" s="146"/>
      <c r="D522" s="146"/>
      <c r="E522" s="146"/>
      <c r="F522" s="146"/>
      <c r="G522" s="146"/>
      <c r="H522" s="146"/>
      <c r="I522" s="150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</row>
    <row r="523" ht="12.75" customHeight="1" spans="1:26">
      <c r="A523" s="146"/>
      <c r="B523" s="146"/>
      <c r="C523" s="146"/>
      <c r="D523" s="146"/>
      <c r="E523" s="146"/>
      <c r="F523" s="146"/>
      <c r="G523" s="146"/>
      <c r="H523" s="146"/>
      <c r="I523" s="150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</row>
    <row r="524" ht="12.75" customHeight="1" spans="1:26">
      <c r="A524" s="146"/>
      <c r="B524" s="146"/>
      <c r="C524" s="146"/>
      <c r="D524" s="146"/>
      <c r="E524" s="146"/>
      <c r="F524" s="146"/>
      <c r="G524" s="146"/>
      <c r="H524" s="146"/>
      <c r="I524" s="150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</row>
    <row r="525" ht="12.75" customHeight="1" spans="1:26">
      <c r="A525" s="146"/>
      <c r="B525" s="146"/>
      <c r="C525" s="146"/>
      <c r="D525" s="146"/>
      <c r="E525" s="146"/>
      <c r="F525" s="146"/>
      <c r="G525" s="146"/>
      <c r="H525" s="146"/>
      <c r="I525" s="150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</row>
    <row r="526" ht="12.75" customHeight="1" spans="1:26">
      <c r="A526" s="146"/>
      <c r="B526" s="146"/>
      <c r="C526" s="146"/>
      <c r="D526" s="146"/>
      <c r="E526" s="146"/>
      <c r="F526" s="146"/>
      <c r="G526" s="146"/>
      <c r="H526" s="146"/>
      <c r="I526" s="150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</row>
    <row r="527" ht="12.75" customHeight="1" spans="1:26">
      <c r="A527" s="146"/>
      <c r="B527" s="146"/>
      <c r="C527" s="146"/>
      <c r="D527" s="146"/>
      <c r="E527" s="146"/>
      <c r="F527" s="146"/>
      <c r="G527" s="146"/>
      <c r="H527" s="146"/>
      <c r="I527" s="150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</row>
    <row r="528" ht="12.75" customHeight="1" spans="1:26">
      <c r="A528" s="146"/>
      <c r="B528" s="146"/>
      <c r="C528" s="146"/>
      <c r="D528" s="146"/>
      <c r="E528" s="146"/>
      <c r="F528" s="146"/>
      <c r="G528" s="146"/>
      <c r="H528" s="146"/>
      <c r="I528" s="150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</row>
    <row r="529" ht="12.75" customHeight="1" spans="1:26">
      <c r="A529" s="146"/>
      <c r="B529" s="146"/>
      <c r="C529" s="146"/>
      <c r="D529" s="146"/>
      <c r="E529" s="146"/>
      <c r="F529" s="146"/>
      <c r="G529" s="146"/>
      <c r="H529" s="146"/>
      <c r="I529" s="150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</row>
    <row r="530" ht="12.75" customHeight="1" spans="1:26">
      <c r="A530" s="146"/>
      <c r="B530" s="146"/>
      <c r="C530" s="146"/>
      <c r="D530" s="146"/>
      <c r="E530" s="146"/>
      <c r="F530" s="146"/>
      <c r="G530" s="146"/>
      <c r="H530" s="146"/>
      <c r="I530" s="150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</row>
    <row r="531" ht="12.75" customHeight="1" spans="1:26">
      <c r="A531" s="146"/>
      <c r="B531" s="146"/>
      <c r="C531" s="146"/>
      <c r="D531" s="146"/>
      <c r="E531" s="146"/>
      <c r="F531" s="146"/>
      <c r="G531" s="146"/>
      <c r="H531" s="146"/>
      <c r="I531" s="150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</row>
    <row r="532" ht="12.75" customHeight="1" spans="1:26">
      <c r="A532" s="146"/>
      <c r="B532" s="146"/>
      <c r="C532" s="146"/>
      <c r="D532" s="146"/>
      <c r="E532" s="146"/>
      <c r="F532" s="146"/>
      <c r="G532" s="146"/>
      <c r="H532" s="146"/>
      <c r="I532" s="150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</row>
    <row r="533" ht="12.75" customHeight="1" spans="1:26">
      <c r="A533" s="146"/>
      <c r="B533" s="146"/>
      <c r="C533" s="146"/>
      <c r="D533" s="146"/>
      <c r="E533" s="146"/>
      <c r="F533" s="146"/>
      <c r="G533" s="146"/>
      <c r="H533" s="146"/>
      <c r="I533" s="150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</row>
    <row r="534" ht="12.75" customHeight="1" spans="1:26">
      <c r="A534" s="146"/>
      <c r="B534" s="146"/>
      <c r="C534" s="146"/>
      <c r="D534" s="146"/>
      <c r="E534" s="146"/>
      <c r="F534" s="146"/>
      <c r="G534" s="146"/>
      <c r="H534" s="146"/>
      <c r="I534" s="150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</row>
    <row r="535" ht="12.75" customHeight="1" spans="1:26">
      <c r="A535" s="146"/>
      <c r="B535" s="146"/>
      <c r="C535" s="146"/>
      <c r="D535" s="146"/>
      <c r="E535" s="146"/>
      <c r="F535" s="146"/>
      <c r="G535" s="146"/>
      <c r="H535" s="146"/>
      <c r="I535" s="150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</row>
    <row r="536" ht="12.75" customHeight="1" spans="1:26">
      <c r="A536" s="146"/>
      <c r="B536" s="146"/>
      <c r="C536" s="146"/>
      <c r="D536" s="146"/>
      <c r="E536" s="146"/>
      <c r="F536" s="146"/>
      <c r="G536" s="146"/>
      <c r="H536" s="146"/>
      <c r="I536" s="150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</row>
    <row r="537" ht="12.75" customHeight="1" spans="1:26">
      <c r="A537" s="146"/>
      <c r="B537" s="146"/>
      <c r="C537" s="146"/>
      <c r="D537" s="146"/>
      <c r="E537" s="146"/>
      <c r="F537" s="146"/>
      <c r="G537" s="146"/>
      <c r="H537" s="146"/>
      <c r="I537" s="150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</row>
    <row r="538" ht="12.75" customHeight="1" spans="1:26">
      <c r="A538" s="146"/>
      <c r="B538" s="146"/>
      <c r="C538" s="146"/>
      <c r="D538" s="146"/>
      <c r="E538" s="146"/>
      <c r="F538" s="146"/>
      <c r="G538" s="146"/>
      <c r="H538" s="146"/>
      <c r="I538" s="150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</row>
    <row r="539" ht="12.75" customHeight="1" spans="1:26">
      <c r="A539" s="146"/>
      <c r="B539" s="146"/>
      <c r="C539" s="146"/>
      <c r="D539" s="146"/>
      <c r="E539" s="146"/>
      <c r="F539" s="146"/>
      <c r="G539" s="146"/>
      <c r="H539" s="146"/>
      <c r="I539" s="150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</row>
    <row r="540" ht="12.75" customHeight="1" spans="1:26">
      <c r="A540" s="146"/>
      <c r="B540" s="146"/>
      <c r="C540" s="146"/>
      <c r="D540" s="146"/>
      <c r="E540" s="146"/>
      <c r="F540" s="146"/>
      <c r="G540" s="146"/>
      <c r="H540" s="146"/>
      <c r="I540" s="150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</row>
    <row r="541" ht="12.75" customHeight="1" spans="1:26">
      <c r="A541" s="146"/>
      <c r="B541" s="146"/>
      <c r="C541" s="146"/>
      <c r="D541" s="146"/>
      <c r="E541" s="146"/>
      <c r="F541" s="146"/>
      <c r="G541" s="146"/>
      <c r="H541" s="146"/>
      <c r="I541" s="150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</row>
    <row r="542" ht="12.75" customHeight="1" spans="1:26">
      <c r="A542" s="146"/>
      <c r="B542" s="146"/>
      <c r="C542" s="146"/>
      <c r="D542" s="146"/>
      <c r="E542" s="146"/>
      <c r="F542" s="146"/>
      <c r="G542" s="146"/>
      <c r="H542" s="146"/>
      <c r="I542" s="150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</row>
    <row r="543" ht="12.75" customHeight="1" spans="1:26">
      <c r="A543" s="146"/>
      <c r="B543" s="146"/>
      <c r="C543" s="146"/>
      <c r="D543" s="146"/>
      <c r="E543" s="146"/>
      <c r="F543" s="146"/>
      <c r="G543" s="146"/>
      <c r="H543" s="146"/>
      <c r="I543" s="150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</row>
    <row r="544" ht="12.75" customHeight="1" spans="1:26">
      <c r="A544" s="146"/>
      <c r="B544" s="146"/>
      <c r="C544" s="146"/>
      <c r="D544" s="146"/>
      <c r="E544" s="146"/>
      <c r="F544" s="146"/>
      <c r="G544" s="146"/>
      <c r="H544" s="146"/>
      <c r="I544" s="150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</row>
    <row r="545" ht="12.75" customHeight="1" spans="1:26">
      <c r="A545" s="146"/>
      <c r="B545" s="146"/>
      <c r="C545" s="146"/>
      <c r="D545" s="146"/>
      <c r="E545" s="146"/>
      <c r="F545" s="146"/>
      <c r="G545" s="146"/>
      <c r="H545" s="146"/>
      <c r="I545" s="150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</row>
    <row r="546" ht="12.75" customHeight="1" spans="1:26">
      <c r="A546" s="146"/>
      <c r="B546" s="146"/>
      <c r="C546" s="146"/>
      <c r="D546" s="146"/>
      <c r="E546" s="146"/>
      <c r="F546" s="146"/>
      <c r="G546" s="146"/>
      <c r="H546" s="146"/>
      <c r="I546" s="150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</row>
    <row r="547" ht="12.75" customHeight="1" spans="1:26">
      <c r="A547" s="146"/>
      <c r="B547" s="146"/>
      <c r="C547" s="146"/>
      <c r="D547" s="146"/>
      <c r="E547" s="146"/>
      <c r="F547" s="146"/>
      <c r="G547" s="146"/>
      <c r="H547" s="146"/>
      <c r="I547" s="150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</row>
    <row r="548" ht="12.75" customHeight="1" spans="1:26">
      <c r="A548" s="146"/>
      <c r="B548" s="146"/>
      <c r="C548" s="146"/>
      <c r="D548" s="146"/>
      <c r="E548" s="146"/>
      <c r="F548" s="146"/>
      <c r="G548" s="146"/>
      <c r="H548" s="146"/>
      <c r="I548" s="150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</row>
    <row r="549" ht="12.75" customHeight="1" spans="1:26">
      <c r="A549" s="146"/>
      <c r="B549" s="146"/>
      <c r="C549" s="146"/>
      <c r="D549" s="146"/>
      <c r="E549" s="146"/>
      <c r="F549" s="146"/>
      <c r="G549" s="146"/>
      <c r="H549" s="146"/>
      <c r="I549" s="150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</row>
    <row r="550" ht="12.75" customHeight="1" spans="1:26">
      <c r="A550" s="146"/>
      <c r="B550" s="146"/>
      <c r="C550" s="146"/>
      <c r="D550" s="146"/>
      <c r="E550" s="146"/>
      <c r="F550" s="146"/>
      <c r="G550" s="146"/>
      <c r="H550" s="146"/>
      <c r="I550" s="150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</row>
    <row r="551" ht="12.75" customHeight="1" spans="1:26">
      <c r="A551" s="146"/>
      <c r="B551" s="146"/>
      <c r="C551" s="146"/>
      <c r="D551" s="146"/>
      <c r="E551" s="146"/>
      <c r="F551" s="146"/>
      <c r="G551" s="146"/>
      <c r="H551" s="146"/>
      <c r="I551" s="150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</row>
    <row r="552" ht="12.75" customHeight="1" spans="1:26">
      <c r="A552" s="146"/>
      <c r="B552" s="146"/>
      <c r="C552" s="146"/>
      <c r="D552" s="146"/>
      <c r="E552" s="146"/>
      <c r="F552" s="146"/>
      <c r="G552" s="146"/>
      <c r="H552" s="146"/>
      <c r="I552" s="150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</row>
    <row r="553" ht="12.75" customHeight="1" spans="1:26">
      <c r="A553" s="146"/>
      <c r="B553" s="146"/>
      <c r="C553" s="146"/>
      <c r="D553" s="146"/>
      <c r="E553" s="146"/>
      <c r="F553" s="146"/>
      <c r="G553" s="146"/>
      <c r="H553" s="146"/>
      <c r="I553" s="150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</row>
    <row r="554" ht="12.75" customHeight="1" spans="1:26">
      <c r="A554" s="146"/>
      <c r="B554" s="146"/>
      <c r="C554" s="146"/>
      <c r="D554" s="146"/>
      <c r="E554" s="146"/>
      <c r="F554" s="146"/>
      <c r="G554" s="146"/>
      <c r="H554" s="146"/>
      <c r="I554" s="150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</row>
    <row r="555" ht="12.75" customHeight="1" spans="1:26">
      <c r="A555" s="146"/>
      <c r="B555" s="146"/>
      <c r="C555" s="146"/>
      <c r="D555" s="146"/>
      <c r="E555" s="146"/>
      <c r="F555" s="146"/>
      <c r="G555" s="146"/>
      <c r="H555" s="146"/>
      <c r="I555" s="150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</row>
    <row r="556" ht="12.75" customHeight="1" spans="1:26">
      <c r="A556" s="146"/>
      <c r="B556" s="146"/>
      <c r="C556" s="146"/>
      <c r="D556" s="146"/>
      <c r="E556" s="146"/>
      <c r="F556" s="146"/>
      <c r="G556" s="146"/>
      <c r="H556" s="146"/>
      <c r="I556" s="150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</row>
    <row r="557" ht="12.75" customHeight="1" spans="1:26">
      <c r="A557" s="146"/>
      <c r="B557" s="146"/>
      <c r="C557" s="146"/>
      <c r="D557" s="146"/>
      <c r="E557" s="146"/>
      <c r="F557" s="146"/>
      <c r="G557" s="146"/>
      <c r="H557" s="146"/>
      <c r="I557" s="150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</row>
    <row r="558" ht="12.75" customHeight="1" spans="1:26">
      <c r="A558" s="146"/>
      <c r="B558" s="146"/>
      <c r="C558" s="146"/>
      <c r="D558" s="146"/>
      <c r="E558" s="146"/>
      <c r="F558" s="146"/>
      <c r="G558" s="146"/>
      <c r="H558" s="146"/>
      <c r="I558" s="150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</row>
    <row r="559" ht="12.75" customHeight="1" spans="1:26">
      <c r="A559" s="146"/>
      <c r="B559" s="146"/>
      <c r="C559" s="146"/>
      <c r="D559" s="146"/>
      <c r="E559" s="146"/>
      <c r="F559" s="146"/>
      <c r="G559" s="146"/>
      <c r="H559" s="146"/>
      <c r="I559" s="150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</row>
    <row r="560" ht="12.75" customHeight="1" spans="1:26">
      <c r="A560" s="146"/>
      <c r="B560" s="146"/>
      <c r="C560" s="146"/>
      <c r="D560" s="146"/>
      <c r="E560" s="146"/>
      <c r="F560" s="146"/>
      <c r="G560" s="146"/>
      <c r="H560" s="146"/>
      <c r="I560" s="150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</row>
    <row r="561" ht="12.75" customHeight="1" spans="1:26">
      <c r="A561" s="146"/>
      <c r="B561" s="146"/>
      <c r="C561" s="146"/>
      <c r="D561" s="146"/>
      <c r="E561" s="146"/>
      <c r="F561" s="146"/>
      <c r="G561" s="146"/>
      <c r="H561" s="146"/>
      <c r="I561" s="150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</row>
    <row r="562" ht="12.75" customHeight="1" spans="1:26">
      <c r="A562" s="146"/>
      <c r="B562" s="146"/>
      <c r="C562" s="146"/>
      <c r="D562" s="146"/>
      <c r="E562" s="146"/>
      <c r="F562" s="146"/>
      <c r="G562" s="146"/>
      <c r="H562" s="146"/>
      <c r="I562" s="150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</row>
    <row r="563" ht="12.75" customHeight="1" spans="1:26">
      <c r="A563" s="146"/>
      <c r="B563" s="146"/>
      <c r="C563" s="146"/>
      <c r="D563" s="146"/>
      <c r="E563" s="146"/>
      <c r="F563" s="146"/>
      <c r="G563" s="146"/>
      <c r="H563" s="146"/>
      <c r="I563" s="150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</row>
    <row r="564" ht="12.75" customHeight="1" spans="1:26">
      <c r="A564" s="146"/>
      <c r="B564" s="146"/>
      <c r="C564" s="146"/>
      <c r="D564" s="146"/>
      <c r="E564" s="146"/>
      <c r="F564" s="146"/>
      <c r="G564" s="146"/>
      <c r="H564" s="146"/>
      <c r="I564" s="150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</row>
    <row r="565" ht="12.75" customHeight="1" spans="1:26">
      <c r="A565" s="146"/>
      <c r="B565" s="146"/>
      <c r="C565" s="146"/>
      <c r="D565" s="146"/>
      <c r="E565" s="146"/>
      <c r="F565" s="146"/>
      <c r="G565" s="146"/>
      <c r="H565" s="146"/>
      <c r="I565" s="150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</row>
    <row r="566" ht="12.75" customHeight="1" spans="1:26">
      <c r="A566" s="146"/>
      <c r="B566" s="146"/>
      <c r="C566" s="146"/>
      <c r="D566" s="146"/>
      <c r="E566" s="146"/>
      <c r="F566" s="146"/>
      <c r="G566" s="146"/>
      <c r="H566" s="146"/>
      <c r="I566" s="150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</row>
    <row r="567" ht="12.75" customHeight="1" spans="1:26">
      <c r="A567" s="146"/>
      <c r="B567" s="146"/>
      <c r="C567" s="146"/>
      <c r="D567" s="146"/>
      <c r="E567" s="146"/>
      <c r="F567" s="146"/>
      <c r="G567" s="146"/>
      <c r="H567" s="146"/>
      <c r="I567" s="150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</row>
    <row r="568" ht="12.75" customHeight="1" spans="1:26">
      <c r="A568" s="146"/>
      <c r="B568" s="146"/>
      <c r="C568" s="146"/>
      <c r="D568" s="146"/>
      <c r="E568" s="146"/>
      <c r="F568" s="146"/>
      <c r="G568" s="146"/>
      <c r="H568" s="146"/>
      <c r="I568" s="150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</row>
    <row r="569" ht="12.75" customHeight="1" spans="1:26">
      <c r="A569" s="146"/>
      <c r="B569" s="146"/>
      <c r="C569" s="146"/>
      <c r="D569" s="146"/>
      <c r="E569" s="146"/>
      <c r="F569" s="146"/>
      <c r="G569" s="146"/>
      <c r="H569" s="146"/>
      <c r="I569" s="150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</row>
    <row r="570" ht="12.75" customHeight="1" spans="1:26">
      <c r="A570" s="146"/>
      <c r="B570" s="146"/>
      <c r="C570" s="146"/>
      <c r="D570" s="146"/>
      <c r="E570" s="146"/>
      <c r="F570" s="146"/>
      <c r="G570" s="146"/>
      <c r="H570" s="146"/>
      <c r="I570" s="150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</row>
    <row r="571" ht="12.75" customHeight="1" spans="1:26">
      <c r="A571" s="146"/>
      <c r="B571" s="146"/>
      <c r="C571" s="146"/>
      <c r="D571" s="146"/>
      <c r="E571" s="146"/>
      <c r="F571" s="146"/>
      <c r="G571" s="146"/>
      <c r="H571" s="146"/>
      <c r="I571" s="150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</row>
    <row r="572" ht="12.75" customHeight="1" spans="1:26">
      <c r="A572" s="146"/>
      <c r="B572" s="146"/>
      <c r="C572" s="146"/>
      <c r="D572" s="146"/>
      <c r="E572" s="146"/>
      <c r="F572" s="146"/>
      <c r="G572" s="146"/>
      <c r="H572" s="146"/>
      <c r="I572" s="150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</row>
    <row r="573" ht="12.75" customHeight="1" spans="1:26">
      <c r="A573" s="146"/>
      <c r="B573" s="146"/>
      <c r="C573" s="146"/>
      <c r="D573" s="146"/>
      <c r="E573" s="146"/>
      <c r="F573" s="146"/>
      <c r="G573" s="146"/>
      <c r="H573" s="146"/>
      <c r="I573" s="150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</row>
    <row r="574" ht="12.75" customHeight="1" spans="1:26">
      <c r="A574" s="146"/>
      <c r="B574" s="146"/>
      <c r="C574" s="146"/>
      <c r="D574" s="146"/>
      <c r="E574" s="146"/>
      <c r="F574" s="146"/>
      <c r="G574" s="146"/>
      <c r="H574" s="146"/>
      <c r="I574" s="150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</row>
    <row r="575" ht="12.75" customHeight="1" spans="1:26">
      <c r="A575" s="146"/>
      <c r="B575" s="146"/>
      <c r="C575" s="146"/>
      <c r="D575" s="146"/>
      <c r="E575" s="146"/>
      <c r="F575" s="146"/>
      <c r="G575" s="146"/>
      <c r="H575" s="146"/>
      <c r="I575" s="150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</row>
    <row r="576" ht="12.75" customHeight="1" spans="1:26">
      <c r="A576" s="146"/>
      <c r="B576" s="146"/>
      <c r="C576" s="146"/>
      <c r="D576" s="146"/>
      <c r="E576" s="146"/>
      <c r="F576" s="146"/>
      <c r="G576" s="146"/>
      <c r="H576" s="146"/>
      <c r="I576" s="150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</row>
    <row r="577" ht="12.75" customHeight="1" spans="1:26">
      <c r="A577" s="146"/>
      <c r="B577" s="146"/>
      <c r="C577" s="146"/>
      <c r="D577" s="146"/>
      <c r="E577" s="146"/>
      <c r="F577" s="146"/>
      <c r="G577" s="146"/>
      <c r="H577" s="146"/>
      <c r="I577" s="150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</row>
    <row r="578" ht="12.75" customHeight="1" spans="1:26">
      <c r="A578" s="146"/>
      <c r="B578" s="146"/>
      <c r="C578" s="146"/>
      <c r="D578" s="146"/>
      <c r="E578" s="146"/>
      <c r="F578" s="146"/>
      <c r="G578" s="146"/>
      <c r="H578" s="146"/>
      <c r="I578" s="150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</row>
    <row r="579" ht="12.75" customHeight="1" spans="1:26">
      <c r="A579" s="146"/>
      <c r="B579" s="146"/>
      <c r="C579" s="146"/>
      <c r="D579" s="146"/>
      <c r="E579" s="146"/>
      <c r="F579" s="146"/>
      <c r="G579" s="146"/>
      <c r="H579" s="146"/>
      <c r="I579" s="150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</row>
    <row r="580" ht="12.75" customHeight="1" spans="1:26">
      <c r="A580" s="146"/>
      <c r="B580" s="146"/>
      <c r="C580" s="146"/>
      <c r="D580" s="146"/>
      <c r="E580" s="146"/>
      <c r="F580" s="146"/>
      <c r="G580" s="146"/>
      <c r="H580" s="146"/>
      <c r="I580" s="150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</row>
    <row r="581" ht="12.75" customHeight="1" spans="1:26">
      <c r="A581" s="146"/>
      <c r="B581" s="146"/>
      <c r="C581" s="146"/>
      <c r="D581" s="146"/>
      <c r="E581" s="146"/>
      <c r="F581" s="146"/>
      <c r="G581" s="146"/>
      <c r="H581" s="146"/>
      <c r="I581" s="150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</row>
    <row r="582" ht="12.75" customHeight="1" spans="1:26">
      <c r="A582" s="146"/>
      <c r="B582" s="146"/>
      <c r="C582" s="146"/>
      <c r="D582" s="146"/>
      <c r="E582" s="146"/>
      <c r="F582" s="146"/>
      <c r="G582" s="146"/>
      <c r="H582" s="146"/>
      <c r="I582" s="150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</row>
    <row r="583" ht="12.75" customHeight="1" spans="1:26">
      <c r="A583" s="146"/>
      <c r="B583" s="146"/>
      <c r="C583" s="146"/>
      <c r="D583" s="146"/>
      <c r="E583" s="146"/>
      <c r="F583" s="146"/>
      <c r="G583" s="146"/>
      <c r="H583" s="146"/>
      <c r="I583" s="150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</row>
    <row r="584" ht="12.75" customHeight="1" spans="1:26">
      <c r="A584" s="146"/>
      <c r="B584" s="146"/>
      <c r="C584" s="146"/>
      <c r="D584" s="146"/>
      <c r="E584" s="146"/>
      <c r="F584" s="146"/>
      <c r="G584" s="146"/>
      <c r="H584" s="146"/>
      <c r="I584" s="150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</row>
    <row r="585" ht="12.75" customHeight="1" spans="1:26">
      <c r="A585" s="146"/>
      <c r="B585" s="146"/>
      <c r="C585" s="146"/>
      <c r="D585" s="146"/>
      <c r="E585" s="146"/>
      <c r="F585" s="146"/>
      <c r="G585" s="146"/>
      <c r="H585" s="146"/>
      <c r="I585" s="150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</row>
    <row r="586" ht="12.75" customHeight="1" spans="1:26">
      <c r="A586" s="146"/>
      <c r="B586" s="146"/>
      <c r="C586" s="146"/>
      <c r="D586" s="146"/>
      <c r="E586" s="146"/>
      <c r="F586" s="146"/>
      <c r="G586" s="146"/>
      <c r="H586" s="146"/>
      <c r="I586" s="150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</row>
    <row r="587" ht="12.75" customHeight="1" spans="1:26">
      <c r="A587" s="146"/>
      <c r="B587" s="146"/>
      <c r="C587" s="146"/>
      <c r="D587" s="146"/>
      <c r="E587" s="146"/>
      <c r="F587" s="146"/>
      <c r="G587" s="146"/>
      <c r="H587" s="146"/>
      <c r="I587" s="150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</row>
    <row r="588" ht="12.75" customHeight="1" spans="1:26">
      <c r="A588" s="146"/>
      <c r="B588" s="146"/>
      <c r="C588" s="146"/>
      <c r="D588" s="146"/>
      <c r="E588" s="146"/>
      <c r="F588" s="146"/>
      <c r="G588" s="146"/>
      <c r="H588" s="146"/>
      <c r="I588" s="150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</row>
    <row r="589" ht="12.75" customHeight="1" spans="1:26">
      <c r="A589" s="146"/>
      <c r="B589" s="146"/>
      <c r="C589" s="146"/>
      <c r="D589" s="146"/>
      <c r="E589" s="146"/>
      <c r="F589" s="146"/>
      <c r="G589" s="146"/>
      <c r="H589" s="146"/>
      <c r="I589" s="150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</row>
    <row r="590" ht="12.75" customHeight="1" spans="1:26">
      <c r="A590" s="146"/>
      <c r="B590" s="146"/>
      <c r="C590" s="146"/>
      <c r="D590" s="146"/>
      <c r="E590" s="146"/>
      <c r="F590" s="146"/>
      <c r="G590" s="146"/>
      <c r="H590" s="146"/>
      <c r="I590" s="150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</row>
    <row r="591" ht="12.75" customHeight="1" spans="1:26">
      <c r="A591" s="146"/>
      <c r="B591" s="146"/>
      <c r="C591" s="146"/>
      <c r="D591" s="146"/>
      <c r="E591" s="146"/>
      <c r="F591" s="146"/>
      <c r="G591" s="146"/>
      <c r="H591" s="146"/>
      <c r="I591" s="150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</row>
    <row r="592" ht="12.75" customHeight="1" spans="1:26">
      <c r="A592" s="146"/>
      <c r="B592" s="146"/>
      <c r="C592" s="146"/>
      <c r="D592" s="146"/>
      <c r="E592" s="146"/>
      <c r="F592" s="146"/>
      <c r="G592" s="146"/>
      <c r="H592" s="146"/>
      <c r="I592" s="150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</row>
    <row r="593" ht="12.75" customHeight="1" spans="1:26">
      <c r="A593" s="146"/>
      <c r="B593" s="146"/>
      <c r="C593" s="146"/>
      <c r="D593" s="146"/>
      <c r="E593" s="146"/>
      <c r="F593" s="146"/>
      <c r="G593" s="146"/>
      <c r="H593" s="146"/>
      <c r="I593" s="150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</row>
    <row r="594" ht="12.75" customHeight="1" spans="1:26">
      <c r="A594" s="146"/>
      <c r="B594" s="146"/>
      <c r="C594" s="146"/>
      <c r="D594" s="146"/>
      <c r="E594" s="146"/>
      <c r="F594" s="146"/>
      <c r="G594" s="146"/>
      <c r="H594" s="146"/>
      <c r="I594" s="150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</row>
    <row r="595" ht="12.75" customHeight="1" spans="1:26">
      <c r="A595" s="146"/>
      <c r="B595" s="146"/>
      <c r="C595" s="146"/>
      <c r="D595" s="146"/>
      <c r="E595" s="146"/>
      <c r="F595" s="146"/>
      <c r="G595" s="146"/>
      <c r="H595" s="146"/>
      <c r="I595" s="150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</row>
    <row r="596" ht="12.75" customHeight="1" spans="1:26">
      <c r="A596" s="146"/>
      <c r="B596" s="146"/>
      <c r="C596" s="146"/>
      <c r="D596" s="146"/>
      <c r="E596" s="146"/>
      <c r="F596" s="146"/>
      <c r="G596" s="146"/>
      <c r="H596" s="146"/>
      <c r="I596" s="150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</row>
    <row r="597" ht="12.75" customHeight="1" spans="1:26">
      <c r="A597" s="146"/>
      <c r="B597" s="146"/>
      <c r="C597" s="146"/>
      <c r="D597" s="146"/>
      <c r="E597" s="146"/>
      <c r="F597" s="146"/>
      <c r="G597" s="146"/>
      <c r="H597" s="146"/>
      <c r="I597" s="150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</row>
    <row r="598" ht="12.75" customHeight="1" spans="1:26">
      <c r="A598" s="146"/>
      <c r="B598" s="146"/>
      <c r="C598" s="146"/>
      <c r="D598" s="146"/>
      <c r="E598" s="146"/>
      <c r="F598" s="146"/>
      <c r="G598" s="146"/>
      <c r="H598" s="146"/>
      <c r="I598" s="150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</row>
    <row r="599" ht="12.75" customHeight="1" spans="1:26">
      <c r="A599" s="146"/>
      <c r="B599" s="146"/>
      <c r="C599" s="146"/>
      <c r="D599" s="146"/>
      <c r="E599" s="146"/>
      <c r="F599" s="146"/>
      <c r="G599" s="146"/>
      <c r="H599" s="146"/>
      <c r="I599" s="150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</row>
    <row r="600" ht="12.75" customHeight="1" spans="1:26">
      <c r="A600" s="146"/>
      <c r="B600" s="146"/>
      <c r="C600" s="146"/>
      <c r="D600" s="146"/>
      <c r="E600" s="146"/>
      <c r="F600" s="146"/>
      <c r="G600" s="146"/>
      <c r="H600" s="146"/>
      <c r="I600" s="150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</row>
    <row r="601" ht="12.75" customHeight="1" spans="1:26">
      <c r="A601" s="146"/>
      <c r="B601" s="146"/>
      <c r="C601" s="146"/>
      <c r="D601" s="146"/>
      <c r="E601" s="146"/>
      <c r="F601" s="146"/>
      <c r="G601" s="146"/>
      <c r="H601" s="146"/>
      <c r="I601" s="150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</row>
    <row r="602" ht="12.75" customHeight="1" spans="1:26">
      <c r="A602" s="146"/>
      <c r="B602" s="146"/>
      <c r="C602" s="146"/>
      <c r="D602" s="146"/>
      <c r="E602" s="146"/>
      <c r="F602" s="146"/>
      <c r="G602" s="146"/>
      <c r="H602" s="146"/>
      <c r="I602" s="150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</row>
    <row r="603" ht="12.75" customHeight="1" spans="1:26">
      <c r="A603" s="146"/>
      <c r="B603" s="146"/>
      <c r="C603" s="146"/>
      <c r="D603" s="146"/>
      <c r="E603" s="146"/>
      <c r="F603" s="146"/>
      <c r="G603" s="146"/>
      <c r="H603" s="146"/>
      <c r="I603" s="150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</row>
    <row r="604" ht="12.75" customHeight="1" spans="1:26">
      <c r="A604" s="146"/>
      <c r="B604" s="146"/>
      <c r="C604" s="146"/>
      <c r="D604" s="146"/>
      <c r="E604" s="146"/>
      <c r="F604" s="146"/>
      <c r="G604" s="146"/>
      <c r="H604" s="146"/>
      <c r="I604" s="150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</row>
    <row r="605" ht="12.75" customHeight="1" spans="1:26">
      <c r="A605" s="146"/>
      <c r="B605" s="146"/>
      <c r="C605" s="146"/>
      <c r="D605" s="146"/>
      <c r="E605" s="146"/>
      <c r="F605" s="146"/>
      <c r="G605" s="146"/>
      <c r="H605" s="146"/>
      <c r="I605" s="150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</row>
    <row r="606" ht="12.75" customHeight="1" spans="1:26">
      <c r="A606" s="146"/>
      <c r="B606" s="146"/>
      <c r="C606" s="146"/>
      <c r="D606" s="146"/>
      <c r="E606" s="146"/>
      <c r="F606" s="146"/>
      <c r="G606" s="146"/>
      <c r="H606" s="146"/>
      <c r="I606" s="150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</row>
    <row r="607" ht="12.75" customHeight="1" spans="1:26">
      <c r="A607" s="146"/>
      <c r="B607" s="146"/>
      <c r="C607" s="146"/>
      <c r="D607" s="146"/>
      <c r="E607" s="146"/>
      <c r="F607" s="146"/>
      <c r="G607" s="146"/>
      <c r="H607" s="146"/>
      <c r="I607" s="150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</row>
    <row r="608" ht="12.75" customHeight="1" spans="1:26">
      <c r="A608" s="146"/>
      <c r="B608" s="146"/>
      <c r="C608" s="146"/>
      <c r="D608" s="146"/>
      <c r="E608" s="146"/>
      <c r="F608" s="146"/>
      <c r="G608" s="146"/>
      <c r="H608" s="146"/>
      <c r="I608" s="150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</row>
    <row r="609" ht="12.75" customHeight="1" spans="1:26">
      <c r="A609" s="146"/>
      <c r="B609" s="146"/>
      <c r="C609" s="146"/>
      <c r="D609" s="146"/>
      <c r="E609" s="146"/>
      <c r="F609" s="146"/>
      <c r="G609" s="146"/>
      <c r="H609" s="146"/>
      <c r="I609" s="150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</row>
    <row r="610" ht="12.75" customHeight="1" spans="1:26">
      <c r="A610" s="146"/>
      <c r="B610" s="146"/>
      <c r="C610" s="146"/>
      <c r="D610" s="146"/>
      <c r="E610" s="146"/>
      <c r="F610" s="146"/>
      <c r="G610" s="146"/>
      <c r="H610" s="146"/>
      <c r="I610" s="150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</row>
    <row r="611" ht="12.75" customHeight="1" spans="1:26">
      <c r="A611" s="146"/>
      <c r="B611" s="146"/>
      <c r="C611" s="146"/>
      <c r="D611" s="146"/>
      <c r="E611" s="146"/>
      <c r="F611" s="146"/>
      <c r="G611" s="146"/>
      <c r="H611" s="146"/>
      <c r="I611" s="150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</row>
    <row r="612" ht="12.75" customHeight="1" spans="1:26">
      <c r="A612" s="146"/>
      <c r="B612" s="146"/>
      <c r="C612" s="146"/>
      <c r="D612" s="146"/>
      <c r="E612" s="146"/>
      <c r="F612" s="146"/>
      <c r="G612" s="146"/>
      <c r="H612" s="146"/>
      <c r="I612" s="150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</row>
    <row r="613" ht="12.75" customHeight="1" spans="1:26">
      <c r="A613" s="146"/>
      <c r="B613" s="146"/>
      <c r="C613" s="146"/>
      <c r="D613" s="146"/>
      <c r="E613" s="146"/>
      <c r="F613" s="146"/>
      <c r="G613" s="146"/>
      <c r="H613" s="146"/>
      <c r="I613" s="150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</row>
    <row r="614" ht="12.75" customHeight="1" spans="1:26">
      <c r="A614" s="146"/>
      <c r="B614" s="146"/>
      <c r="C614" s="146"/>
      <c r="D614" s="146"/>
      <c r="E614" s="146"/>
      <c r="F614" s="146"/>
      <c r="G614" s="146"/>
      <c r="H614" s="146"/>
      <c r="I614" s="150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</row>
    <row r="615" ht="12.75" customHeight="1" spans="1:26">
      <c r="A615" s="146"/>
      <c r="B615" s="146"/>
      <c r="C615" s="146"/>
      <c r="D615" s="146"/>
      <c r="E615" s="146"/>
      <c r="F615" s="146"/>
      <c r="G615" s="146"/>
      <c r="H615" s="146"/>
      <c r="I615" s="150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</row>
    <row r="616" ht="12.75" customHeight="1" spans="1:26">
      <c r="A616" s="146"/>
      <c r="B616" s="146"/>
      <c r="C616" s="146"/>
      <c r="D616" s="146"/>
      <c r="E616" s="146"/>
      <c r="F616" s="146"/>
      <c r="G616" s="146"/>
      <c r="H616" s="146"/>
      <c r="I616" s="150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</row>
    <row r="617" ht="12.75" customHeight="1" spans="1:26">
      <c r="A617" s="146"/>
      <c r="B617" s="146"/>
      <c r="C617" s="146"/>
      <c r="D617" s="146"/>
      <c r="E617" s="146"/>
      <c r="F617" s="146"/>
      <c r="G617" s="146"/>
      <c r="H617" s="146"/>
      <c r="I617" s="150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</row>
    <row r="618" ht="12.75" customHeight="1" spans="1:26">
      <c r="A618" s="146"/>
      <c r="B618" s="146"/>
      <c r="C618" s="146"/>
      <c r="D618" s="146"/>
      <c r="E618" s="146"/>
      <c r="F618" s="146"/>
      <c r="G618" s="146"/>
      <c r="H618" s="146"/>
      <c r="I618" s="150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</row>
    <row r="619" ht="12.75" customHeight="1" spans="1:26">
      <c r="A619" s="146"/>
      <c r="B619" s="146"/>
      <c r="C619" s="146"/>
      <c r="D619" s="146"/>
      <c r="E619" s="146"/>
      <c r="F619" s="146"/>
      <c r="G619" s="146"/>
      <c r="H619" s="146"/>
      <c r="I619" s="150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</row>
    <row r="620" ht="12.75" customHeight="1" spans="1:26">
      <c r="A620" s="146"/>
      <c r="B620" s="146"/>
      <c r="C620" s="146"/>
      <c r="D620" s="146"/>
      <c r="E620" s="146"/>
      <c r="F620" s="146"/>
      <c r="G620" s="146"/>
      <c r="H620" s="146"/>
      <c r="I620" s="150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</row>
    <row r="621" ht="12.75" customHeight="1" spans="1:26">
      <c r="A621" s="146"/>
      <c r="B621" s="146"/>
      <c r="C621" s="146"/>
      <c r="D621" s="146"/>
      <c r="E621" s="146"/>
      <c r="F621" s="146"/>
      <c r="G621" s="146"/>
      <c r="H621" s="146"/>
      <c r="I621" s="150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</row>
    <row r="622" ht="12.75" customHeight="1" spans="1:26">
      <c r="A622" s="146"/>
      <c r="B622" s="146"/>
      <c r="C622" s="146"/>
      <c r="D622" s="146"/>
      <c r="E622" s="146"/>
      <c r="F622" s="146"/>
      <c r="G622" s="146"/>
      <c r="H622" s="146"/>
      <c r="I622" s="150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</row>
    <row r="623" ht="12.75" customHeight="1" spans="1:26">
      <c r="A623" s="146"/>
      <c r="B623" s="146"/>
      <c r="C623" s="146"/>
      <c r="D623" s="146"/>
      <c r="E623" s="146"/>
      <c r="F623" s="146"/>
      <c r="G623" s="146"/>
      <c r="H623" s="146"/>
      <c r="I623" s="150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</row>
    <row r="624" ht="12.75" customHeight="1" spans="1:26">
      <c r="A624" s="146"/>
      <c r="B624" s="146"/>
      <c r="C624" s="146"/>
      <c r="D624" s="146"/>
      <c r="E624" s="146"/>
      <c r="F624" s="146"/>
      <c r="G624" s="146"/>
      <c r="H624" s="146"/>
      <c r="I624" s="150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</row>
    <row r="625" ht="12.75" customHeight="1" spans="1:26">
      <c r="A625" s="146"/>
      <c r="B625" s="146"/>
      <c r="C625" s="146"/>
      <c r="D625" s="146"/>
      <c r="E625" s="146"/>
      <c r="F625" s="146"/>
      <c r="G625" s="146"/>
      <c r="H625" s="146"/>
      <c r="I625" s="150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</row>
    <row r="626" ht="12.75" customHeight="1" spans="1:26">
      <c r="A626" s="146"/>
      <c r="B626" s="146"/>
      <c r="C626" s="146"/>
      <c r="D626" s="146"/>
      <c r="E626" s="146"/>
      <c r="F626" s="146"/>
      <c r="G626" s="146"/>
      <c r="H626" s="146"/>
      <c r="I626" s="150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</row>
    <row r="627" ht="12.75" customHeight="1" spans="1:26">
      <c r="A627" s="146"/>
      <c r="B627" s="146"/>
      <c r="C627" s="146"/>
      <c r="D627" s="146"/>
      <c r="E627" s="146"/>
      <c r="F627" s="146"/>
      <c r="G627" s="146"/>
      <c r="H627" s="146"/>
      <c r="I627" s="150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</row>
    <row r="628" ht="12.75" customHeight="1" spans="1:26">
      <c r="A628" s="146"/>
      <c r="B628" s="146"/>
      <c r="C628" s="146"/>
      <c r="D628" s="146"/>
      <c r="E628" s="146"/>
      <c r="F628" s="146"/>
      <c r="G628" s="146"/>
      <c r="H628" s="146"/>
      <c r="I628" s="150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</row>
    <row r="629" ht="12.75" customHeight="1" spans="1:26">
      <c r="A629" s="146"/>
      <c r="B629" s="146"/>
      <c r="C629" s="146"/>
      <c r="D629" s="146"/>
      <c r="E629" s="146"/>
      <c r="F629" s="146"/>
      <c r="G629" s="146"/>
      <c r="H629" s="146"/>
      <c r="I629" s="150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</row>
    <row r="630" ht="12.75" customHeight="1" spans="1:26">
      <c r="A630" s="146"/>
      <c r="B630" s="146"/>
      <c r="C630" s="146"/>
      <c r="D630" s="146"/>
      <c r="E630" s="146"/>
      <c r="F630" s="146"/>
      <c r="G630" s="146"/>
      <c r="H630" s="146"/>
      <c r="I630" s="150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</row>
    <row r="631" ht="12.75" customHeight="1" spans="1:26">
      <c r="A631" s="146"/>
      <c r="B631" s="146"/>
      <c r="C631" s="146"/>
      <c r="D631" s="146"/>
      <c r="E631" s="146"/>
      <c r="F631" s="146"/>
      <c r="G631" s="146"/>
      <c r="H631" s="146"/>
      <c r="I631" s="150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</row>
    <row r="632" ht="12.75" customHeight="1" spans="1:26">
      <c r="A632" s="146"/>
      <c r="B632" s="146"/>
      <c r="C632" s="146"/>
      <c r="D632" s="146"/>
      <c r="E632" s="146"/>
      <c r="F632" s="146"/>
      <c r="G632" s="146"/>
      <c r="H632" s="146"/>
      <c r="I632" s="150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</row>
    <row r="633" ht="12.75" customHeight="1" spans="1:26">
      <c r="A633" s="146"/>
      <c r="B633" s="146"/>
      <c r="C633" s="146"/>
      <c r="D633" s="146"/>
      <c r="E633" s="146"/>
      <c r="F633" s="146"/>
      <c r="G633" s="146"/>
      <c r="H633" s="146"/>
      <c r="I633" s="150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</row>
    <row r="634" ht="12.75" customHeight="1" spans="1:26">
      <c r="A634" s="146"/>
      <c r="B634" s="146"/>
      <c r="C634" s="146"/>
      <c r="D634" s="146"/>
      <c r="E634" s="146"/>
      <c r="F634" s="146"/>
      <c r="G634" s="146"/>
      <c r="H634" s="146"/>
      <c r="I634" s="150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</row>
    <row r="635" ht="12.75" customHeight="1" spans="1:26">
      <c r="A635" s="146"/>
      <c r="B635" s="146"/>
      <c r="C635" s="146"/>
      <c r="D635" s="146"/>
      <c r="E635" s="146"/>
      <c r="F635" s="146"/>
      <c r="G635" s="146"/>
      <c r="H635" s="146"/>
      <c r="I635" s="150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</row>
    <row r="636" ht="12.75" customHeight="1" spans="1:26">
      <c r="A636" s="146"/>
      <c r="B636" s="146"/>
      <c r="C636" s="146"/>
      <c r="D636" s="146"/>
      <c r="E636" s="146"/>
      <c r="F636" s="146"/>
      <c r="G636" s="146"/>
      <c r="H636" s="146"/>
      <c r="I636" s="150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</row>
    <row r="637" ht="12.75" customHeight="1" spans="1:26">
      <c r="A637" s="146"/>
      <c r="B637" s="146"/>
      <c r="C637" s="146"/>
      <c r="D637" s="146"/>
      <c r="E637" s="146"/>
      <c r="F637" s="146"/>
      <c r="G637" s="146"/>
      <c r="H637" s="146"/>
      <c r="I637" s="150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</row>
    <row r="638" ht="12.75" customHeight="1" spans="1:26">
      <c r="A638" s="146"/>
      <c r="B638" s="146"/>
      <c r="C638" s="146"/>
      <c r="D638" s="146"/>
      <c r="E638" s="146"/>
      <c r="F638" s="146"/>
      <c r="G638" s="146"/>
      <c r="H638" s="146"/>
      <c r="I638" s="150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</row>
    <row r="639" ht="12.75" customHeight="1" spans="1:26">
      <c r="A639" s="146"/>
      <c r="B639" s="146"/>
      <c r="C639" s="146"/>
      <c r="D639" s="146"/>
      <c r="E639" s="146"/>
      <c r="F639" s="146"/>
      <c r="G639" s="146"/>
      <c r="H639" s="146"/>
      <c r="I639" s="150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</row>
    <row r="640" ht="12.75" customHeight="1" spans="1:26">
      <c r="A640" s="146"/>
      <c r="B640" s="146"/>
      <c r="C640" s="146"/>
      <c r="D640" s="146"/>
      <c r="E640" s="146"/>
      <c r="F640" s="146"/>
      <c r="G640" s="146"/>
      <c r="H640" s="146"/>
      <c r="I640" s="150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</row>
    <row r="641" ht="12.75" customHeight="1" spans="1:26">
      <c r="A641" s="146"/>
      <c r="B641" s="146"/>
      <c r="C641" s="146"/>
      <c r="D641" s="146"/>
      <c r="E641" s="146"/>
      <c r="F641" s="146"/>
      <c r="G641" s="146"/>
      <c r="H641" s="146"/>
      <c r="I641" s="150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</row>
    <row r="642" ht="12.75" customHeight="1" spans="1:26">
      <c r="A642" s="146"/>
      <c r="B642" s="146"/>
      <c r="C642" s="146"/>
      <c r="D642" s="146"/>
      <c r="E642" s="146"/>
      <c r="F642" s="146"/>
      <c r="G642" s="146"/>
      <c r="H642" s="146"/>
      <c r="I642" s="150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</row>
    <row r="643" ht="12.75" customHeight="1" spans="1:26">
      <c r="A643" s="146"/>
      <c r="B643" s="146"/>
      <c r="C643" s="146"/>
      <c r="D643" s="146"/>
      <c r="E643" s="146"/>
      <c r="F643" s="146"/>
      <c r="G643" s="146"/>
      <c r="H643" s="146"/>
      <c r="I643" s="150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</row>
    <row r="644" ht="12.75" customHeight="1" spans="1:26">
      <c r="A644" s="146"/>
      <c r="B644" s="146"/>
      <c r="C644" s="146"/>
      <c r="D644" s="146"/>
      <c r="E644" s="146"/>
      <c r="F644" s="146"/>
      <c r="G644" s="146"/>
      <c r="H644" s="146"/>
      <c r="I644" s="150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</row>
    <row r="645" ht="12.75" customHeight="1" spans="1:26">
      <c r="A645" s="146"/>
      <c r="B645" s="146"/>
      <c r="C645" s="146"/>
      <c r="D645" s="146"/>
      <c r="E645" s="146"/>
      <c r="F645" s="146"/>
      <c r="G645" s="146"/>
      <c r="H645" s="146"/>
      <c r="I645" s="150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</row>
    <row r="646" ht="12.75" customHeight="1" spans="1:26">
      <c r="A646" s="146"/>
      <c r="B646" s="146"/>
      <c r="C646" s="146"/>
      <c r="D646" s="146"/>
      <c r="E646" s="146"/>
      <c r="F646" s="146"/>
      <c r="G646" s="146"/>
      <c r="H646" s="146"/>
      <c r="I646" s="150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</row>
    <row r="647" ht="12.75" customHeight="1" spans="1:26">
      <c r="A647" s="146"/>
      <c r="B647" s="146"/>
      <c r="C647" s="146"/>
      <c r="D647" s="146"/>
      <c r="E647" s="146"/>
      <c r="F647" s="146"/>
      <c r="G647" s="146"/>
      <c r="H647" s="146"/>
      <c r="I647" s="150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</row>
    <row r="648" ht="12.75" customHeight="1" spans="1:26">
      <c r="A648" s="146"/>
      <c r="B648" s="146"/>
      <c r="C648" s="146"/>
      <c r="D648" s="146"/>
      <c r="E648" s="146"/>
      <c r="F648" s="146"/>
      <c r="G648" s="146"/>
      <c r="H648" s="146"/>
      <c r="I648" s="150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</row>
    <row r="649" ht="12.75" customHeight="1" spans="1:26">
      <c r="A649" s="146"/>
      <c r="B649" s="146"/>
      <c r="C649" s="146"/>
      <c r="D649" s="146"/>
      <c r="E649" s="146"/>
      <c r="F649" s="146"/>
      <c r="G649" s="146"/>
      <c r="H649" s="146"/>
      <c r="I649" s="150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</row>
    <row r="650" ht="12.75" customHeight="1" spans="1:26">
      <c r="A650" s="146"/>
      <c r="B650" s="146"/>
      <c r="C650" s="146"/>
      <c r="D650" s="146"/>
      <c r="E650" s="146"/>
      <c r="F650" s="146"/>
      <c r="G650" s="146"/>
      <c r="H650" s="146"/>
      <c r="I650" s="150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</row>
    <row r="651" ht="12.75" customHeight="1" spans="1:26">
      <c r="A651" s="146"/>
      <c r="B651" s="146"/>
      <c r="C651" s="146"/>
      <c r="D651" s="146"/>
      <c r="E651" s="146"/>
      <c r="F651" s="146"/>
      <c r="G651" s="146"/>
      <c r="H651" s="146"/>
      <c r="I651" s="150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</row>
    <row r="652" ht="12.75" customHeight="1" spans="1:26">
      <c r="A652" s="146"/>
      <c r="B652" s="146"/>
      <c r="C652" s="146"/>
      <c r="D652" s="146"/>
      <c r="E652" s="146"/>
      <c r="F652" s="146"/>
      <c r="G652" s="146"/>
      <c r="H652" s="146"/>
      <c r="I652" s="150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</row>
    <row r="653" ht="12.75" customHeight="1" spans="1:26">
      <c r="A653" s="146"/>
      <c r="B653" s="146"/>
      <c r="C653" s="146"/>
      <c r="D653" s="146"/>
      <c r="E653" s="146"/>
      <c r="F653" s="146"/>
      <c r="G653" s="146"/>
      <c r="H653" s="146"/>
      <c r="I653" s="150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</row>
    <row r="654" ht="12.75" customHeight="1" spans="1:26">
      <c r="A654" s="146"/>
      <c r="B654" s="146"/>
      <c r="C654" s="146"/>
      <c r="D654" s="146"/>
      <c r="E654" s="146"/>
      <c r="F654" s="146"/>
      <c r="G654" s="146"/>
      <c r="H654" s="146"/>
      <c r="I654" s="150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</row>
    <row r="655" ht="12.75" customHeight="1" spans="1:26">
      <c r="A655" s="146"/>
      <c r="B655" s="146"/>
      <c r="C655" s="146"/>
      <c r="D655" s="146"/>
      <c r="E655" s="146"/>
      <c r="F655" s="146"/>
      <c r="G655" s="146"/>
      <c r="H655" s="146"/>
      <c r="I655" s="150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</row>
    <row r="656" ht="12.75" customHeight="1" spans="1:26">
      <c r="A656" s="146"/>
      <c r="B656" s="146"/>
      <c r="C656" s="146"/>
      <c r="D656" s="146"/>
      <c r="E656" s="146"/>
      <c r="F656" s="146"/>
      <c r="G656" s="146"/>
      <c r="H656" s="146"/>
      <c r="I656" s="150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</row>
    <row r="657" ht="12.75" customHeight="1" spans="1:26">
      <c r="A657" s="146"/>
      <c r="B657" s="146"/>
      <c r="C657" s="146"/>
      <c r="D657" s="146"/>
      <c r="E657" s="146"/>
      <c r="F657" s="146"/>
      <c r="G657" s="146"/>
      <c r="H657" s="146"/>
      <c r="I657" s="150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</row>
    <row r="658" ht="12.75" customHeight="1" spans="1:26">
      <c r="A658" s="146"/>
      <c r="B658" s="146"/>
      <c r="C658" s="146"/>
      <c r="D658" s="146"/>
      <c r="E658" s="146"/>
      <c r="F658" s="146"/>
      <c r="G658" s="146"/>
      <c r="H658" s="146"/>
      <c r="I658" s="150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</row>
    <row r="659" ht="12.75" customHeight="1" spans="1:26">
      <c r="A659" s="146"/>
      <c r="B659" s="146"/>
      <c r="C659" s="146"/>
      <c r="D659" s="146"/>
      <c r="E659" s="146"/>
      <c r="F659" s="146"/>
      <c r="G659" s="146"/>
      <c r="H659" s="146"/>
      <c r="I659" s="150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</row>
    <row r="660" ht="12.75" customHeight="1" spans="1:26">
      <c r="A660" s="146"/>
      <c r="B660" s="146"/>
      <c r="C660" s="146"/>
      <c r="D660" s="146"/>
      <c r="E660" s="146"/>
      <c r="F660" s="146"/>
      <c r="G660" s="146"/>
      <c r="H660" s="146"/>
      <c r="I660" s="150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</row>
    <row r="661" ht="12.75" customHeight="1" spans="1:26">
      <c r="A661" s="146"/>
      <c r="B661" s="146"/>
      <c r="C661" s="146"/>
      <c r="D661" s="146"/>
      <c r="E661" s="146"/>
      <c r="F661" s="146"/>
      <c r="G661" s="146"/>
      <c r="H661" s="146"/>
      <c r="I661" s="150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</row>
    <row r="662" ht="12.75" customHeight="1" spans="1:26">
      <c r="A662" s="146"/>
      <c r="B662" s="146"/>
      <c r="C662" s="146"/>
      <c r="D662" s="146"/>
      <c r="E662" s="146"/>
      <c r="F662" s="146"/>
      <c r="G662" s="146"/>
      <c r="H662" s="146"/>
      <c r="I662" s="150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</row>
    <row r="663" ht="12.75" customHeight="1" spans="1:26">
      <c r="A663" s="146"/>
      <c r="B663" s="146"/>
      <c r="C663" s="146"/>
      <c r="D663" s="146"/>
      <c r="E663" s="146"/>
      <c r="F663" s="146"/>
      <c r="G663" s="146"/>
      <c r="H663" s="146"/>
      <c r="I663" s="150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</row>
    <row r="664" ht="12.75" customHeight="1" spans="1:26">
      <c r="A664" s="146"/>
      <c r="B664" s="146"/>
      <c r="C664" s="146"/>
      <c r="D664" s="146"/>
      <c r="E664" s="146"/>
      <c r="F664" s="146"/>
      <c r="G664" s="146"/>
      <c r="H664" s="146"/>
      <c r="I664" s="150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</row>
    <row r="665" ht="12.75" customHeight="1" spans="1:26">
      <c r="A665" s="146"/>
      <c r="B665" s="146"/>
      <c r="C665" s="146"/>
      <c r="D665" s="146"/>
      <c r="E665" s="146"/>
      <c r="F665" s="146"/>
      <c r="G665" s="146"/>
      <c r="H665" s="146"/>
      <c r="I665" s="150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</row>
    <row r="666" ht="12.75" customHeight="1" spans="1:26">
      <c r="A666" s="146"/>
      <c r="B666" s="146"/>
      <c r="C666" s="146"/>
      <c r="D666" s="146"/>
      <c r="E666" s="146"/>
      <c r="F666" s="146"/>
      <c r="G666" s="146"/>
      <c r="H666" s="146"/>
      <c r="I666" s="150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</row>
    <row r="667" ht="12.75" customHeight="1" spans="1:26">
      <c r="A667" s="146"/>
      <c r="B667" s="146"/>
      <c r="C667" s="146"/>
      <c r="D667" s="146"/>
      <c r="E667" s="146"/>
      <c r="F667" s="146"/>
      <c r="G667" s="146"/>
      <c r="H667" s="146"/>
      <c r="I667" s="150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</row>
    <row r="668" ht="12.75" customHeight="1" spans="1:26">
      <c r="A668" s="146"/>
      <c r="B668" s="146"/>
      <c r="C668" s="146"/>
      <c r="D668" s="146"/>
      <c r="E668" s="146"/>
      <c r="F668" s="146"/>
      <c r="G668" s="146"/>
      <c r="H668" s="146"/>
      <c r="I668" s="150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</row>
    <row r="669" ht="12.75" customHeight="1" spans="1:26">
      <c r="A669" s="146"/>
      <c r="B669" s="146"/>
      <c r="C669" s="146"/>
      <c r="D669" s="146"/>
      <c r="E669" s="146"/>
      <c r="F669" s="146"/>
      <c r="G669" s="146"/>
      <c r="H669" s="146"/>
      <c r="I669" s="150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</row>
    <row r="670" ht="12.75" customHeight="1" spans="1:26">
      <c r="A670" s="146"/>
      <c r="B670" s="146"/>
      <c r="C670" s="146"/>
      <c r="D670" s="146"/>
      <c r="E670" s="146"/>
      <c r="F670" s="146"/>
      <c r="G670" s="146"/>
      <c r="H670" s="146"/>
      <c r="I670" s="150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</row>
    <row r="671" ht="12.75" customHeight="1" spans="1:26">
      <c r="A671" s="146"/>
      <c r="B671" s="146"/>
      <c r="C671" s="146"/>
      <c r="D671" s="146"/>
      <c r="E671" s="146"/>
      <c r="F671" s="146"/>
      <c r="G671" s="146"/>
      <c r="H671" s="146"/>
      <c r="I671" s="150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</row>
    <row r="672" ht="12.75" customHeight="1" spans="1:26">
      <c r="A672" s="146"/>
      <c r="B672" s="146"/>
      <c r="C672" s="146"/>
      <c r="D672" s="146"/>
      <c r="E672" s="146"/>
      <c r="F672" s="146"/>
      <c r="G672" s="146"/>
      <c r="H672" s="146"/>
      <c r="I672" s="150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</row>
    <row r="673" ht="12.75" customHeight="1" spans="1:26">
      <c r="A673" s="146"/>
      <c r="B673" s="146"/>
      <c r="C673" s="146"/>
      <c r="D673" s="146"/>
      <c r="E673" s="146"/>
      <c r="F673" s="146"/>
      <c r="G673" s="146"/>
      <c r="H673" s="146"/>
      <c r="I673" s="150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</row>
    <row r="674" ht="12.75" customHeight="1" spans="1:26">
      <c r="A674" s="146"/>
      <c r="B674" s="146"/>
      <c r="C674" s="146"/>
      <c r="D674" s="146"/>
      <c r="E674" s="146"/>
      <c r="F674" s="146"/>
      <c r="G674" s="146"/>
      <c r="H674" s="146"/>
      <c r="I674" s="150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</row>
    <row r="675" ht="12.75" customHeight="1" spans="1:26">
      <c r="A675" s="146"/>
      <c r="B675" s="146"/>
      <c r="C675" s="146"/>
      <c r="D675" s="146"/>
      <c r="E675" s="146"/>
      <c r="F675" s="146"/>
      <c r="G675" s="146"/>
      <c r="H675" s="146"/>
      <c r="I675" s="150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</row>
    <row r="676" ht="12.75" customHeight="1" spans="1:26">
      <c r="A676" s="146"/>
      <c r="B676" s="146"/>
      <c r="C676" s="146"/>
      <c r="D676" s="146"/>
      <c r="E676" s="146"/>
      <c r="F676" s="146"/>
      <c r="G676" s="146"/>
      <c r="H676" s="146"/>
      <c r="I676" s="150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</row>
    <row r="677" ht="12.75" customHeight="1" spans="1:26">
      <c r="A677" s="146"/>
      <c r="B677" s="146"/>
      <c r="C677" s="146"/>
      <c r="D677" s="146"/>
      <c r="E677" s="146"/>
      <c r="F677" s="146"/>
      <c r="G677" s="146"/>
      <c r="H677" s="146"/>
      <c r="I677" s="150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</row>
    <row r="678" ht="12.75" customHeight="1" spans="1:26">
      <c r="A678" s="146"/>
      <c r="B678" s="146"/>
      <c r="C678" s="146"/>
      <c r="D678" s="146"/>
      <c r="E678" s="146"/>
      <c r="F678" s="146"/>
      <c r="G678" s="146"/>
      <c r="H678" s="146"/>
      <c r="I678" s="150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</row>
    <row r="679" ht="12.75" customHeight="1" spans="1:26">
      <c r="A679" s="146"/>
      <c r="B679" s="146"/>
      <c r="C679" s="146"/>
      <c r="D679" s="146"/>
      <c r="E679" s="146"/>
      <c r="F679" s="146"/>
      <c r="G679" s="146"/>
      <c r="H679" s="146"/>
      <c r="I679" s="150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</row>
    <row r="680" ht="12.75" customHeight="1" spans="1:26">
      <c r="A680" s="146"/>
      <c r="B680" s="146"/>
      <c r="C680" s="146"/>
      <c r="D680" s="146"/>
      <c r="E680" s="146"/>
      <c r="F680" s="146"/>
      <c r="G680" s="146"/>
      <c r="H680" s="146"/>
      <c r="I680" s="150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</row>
    <row r="681" ht="12.75" customHeight="1" spans="1:26">
      <c r="A681" s="146"/>
      <c r="B681" s="146"/>
      <c r="C681" s="146"/>
      <c r="D681" s="146"/>
      <c r="E681" s="146"/>
      <c r="F681" s="146"/>
      <c r="G681" s="146"/>
      <c r="H681" s="146"/>
      <c r="I681" s="150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</row>
    <row r="682" ht="12.75" customHeight="1" spans="1:26">
      <c r="A682" s="146"/>
      <c r="B682" s="146"/>
      <c r="C682" s="146"/>
      <c r="D682" s="146"/>
      <c r="E682" s="146"/>
      <c r="F682" s="146"/>
      <c r="G682" s="146"/>
      <c r="H682" s="146"/>
      <c r="I682" s="150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</row>
    <row r="683" ht="12.75" customHeight="1" spans="1:26">
      <c r="A683" s="146"/>
      <c r="B683" s="146"/>
      <c r="C683" s="146"/>
      <c r="D683" s="146"/>
      <c r="E683" s="146"/>
      <c r="F683" s="146"/>
      <c r="G683" s="146"/>
      <c r="H683" s="146"/>
      <c r="I683" s="150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</row>
    <row r="684" ht="12.75" customHeight="1" spans="1:26">
      <c r="A684" s="146"/>
      <c r="B684" s="146"/>
      <c r="C684" s="146"/>
      <c r="D684" s="146"/>
      <c r="E684" s="146"/>
      <c r="F684" s="146"/>
      <c r="G684" s="146"/>
      <c r="H684" s="146"/>
      <c r="I684" s="150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</row>
    <row r="685" ht="12.75" customHeight="1" spans="1:26">
      <c r="A685" s="146"/>
      <c r="B685" s="146"/>
      <c r="C685" s="146"/>
      <c r="D685" s="146"/>
      <c r="E685" s="146"/>
      <c r="F685" s="146"/>
      <c r="G685" s="146"/>
      <c r="H685" s="146"/>
      <c r="I685" s="150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</row>
    <row r="686" ht="12.75" customHeight="1" spans="1:26">
      <c r="A686" s="146"/>
      <c r="B686" s="146"/>
      <c r="C686" s="146"/>
      <c r="D686" s="146"/>
      <c r="E686" s="146"/>
      <c r="F686" s="146"/>
      <c r="G686" s="146"/>
      <c r="H686" s="146"/>
      <c r="I686" s="150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</row>
    <row r="687" ht="12.75" customHeight="1" spans="1:26">
      <c r="A687" s="146"/>
      <c r="B687" s="146"/>
      <c r="C687" s="146"/>
      <c r="D687" s="146"/>
      <c r="E687" s="146"/>
      <c r="F687" s="146"/>
      <c r="G687" s="146"/>
      <c r="H687" s="146"/>
      <c r="I687" s="150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</row>
    <row r="688" ht="12.75" customHeight="1" spans="1:26">
      <c r="A688" s="146"/>
      <c r="B688" s="146"/>
      <c r="C688" s="146"/>
      <c r="D688" s="146"/>
      <c r="E688" s="146"/>
      <c r="F688" s="146"/>
      <c r="G688" s="146"/>
      <c r="H688" s="146"/>
      <c r="I688" s="150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</row>
    <row r="689" ht="12.75" customHeight="1" spans="1:26">
      <c r="A689" s="146"/>
      <c r="B689" s="146"/>
      <c r="C689" s="146"/>
      <c r="D689" s="146"/>
      <c r="E689" s="146"/>
      <c r="F689" s="146"/>
      <c r="G689" s="146"/>
      <c r="H689" s="146"/>
      <c r="I689" s="150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</row>
    <row r="690" ht="12.75" customHeight="1" spans="1:26">
      <c r="A690" s="146"/>
      <c r="B690" s="146"/>
      <c r="C690" s="146"/>
      <c r="D690" s="146"/>
      <c r="E690" s="146"/>
      <c r="F690" s="146"/>
      <c r="G690" s="146"/>
      <c r="H690" s="146"/>
      <c r="I690" s="150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</row>
    <row r="691" ht="12.75" customHeight="1" spans="1:26">
      <c r="A691" s="146"/>
      <c r="B691" s="146"/>
      <c r="C691" s="146"/>
      <c r="D691" s="146"/>
      <c r="E691" s="146"/>
      <c r="F691" s="146"/>
      <c r="G691" s="146"/>
      <c r="H691" s="146"/>
      <c r="I691" s="150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</row>
    <row r="692" ht="12.75" customHeight="1" spans="1:26">
      <c r="A692" s="146"/>
      <c r="B692" s="146"/>
      <c r="C692" s="146"/>
      <c r="D692" s="146"/>
      <c r="E692" s="146"/>
      <c r="F692" s="146"/>
      <c r="G692" s="146"/>
      <c r="H692" s="146"/>
      <c r="I692" s="150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</row>
    <row r="693" ht="12.75" customHeight="1" spans="1:26">
      <c r="A693" s="146"/>
      <c r="B693" s="146"/>
      <c r="C693" s="146"/>
      <c r="D693" s="146"/>
      <c r="E693" s="146"/>
      <c r="F693" s="146"/>
      <c r="G693" s="146"/>
      <c r="H693" s="146"/>
      <c r="I693" s="150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</row>
    <row r="694" ht="12.75" customHeight="1" spans="1:26">
      <c r="A694" s="146"/>
      <c r="B694" s="146"/>
      <c r="C694" s="146"/>
      <c r="D694" s="146"/>
      <c r="E694" s="146"/>
      <c r="F694" s="146"/>
      <c r="G694" s="146"/>
      <c r="H694" s="146"/>
      <c r="I694" s="150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</row>
    <row r="695" ht="12.75" customHeight="1" spans="1:26">
      <c r="A695" s="146"/>
      <c r="B695" s="146"/>
      <c r="C695" s="146"/>
      <c r="D695" s="146"/>
      <c r="E695" s="146"/>
      <c r="F695" s="146"/>
      <c r="G695" s="146"/>
      <c r="H695" s="146"/>
      <c r="I695" s="150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</row>
    <row r="696" ht="12.75" customHeight="1" spans="1:26">
      <c r="A696" s="146"/>
      <c r="B696" s="146"/>
      <c r="C696" s="146"/>
      <c r="D696" s="146"/>
      <c r="E696" s="146"/>
      <c r="F696" s="146"/>
      <c r="G696" s="146"/>
      <c r="H696" s="146"/>
      <c r="I696" s="150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</row>
    <row r="697" ht="12.75" customHeight="1" spans="1:26">
      <c r="A697" s="146"/>
      <c r="B697" s="146"/>
      <c r="C697" s="146"/>
      <c r="D697" s="146"/>
      <c r="E697" s="146"/>
      <c r="F697" s="146"/>
      <c r="G697" s="146"/>
      <c r="H697" s="146"/>
      <c r="I697" s="150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</row>
    <row r="698" ht="12.75" customHeight="1" spans="1:26">
      <c r="A698" s="146"/>
      <c r="B698" s="146"/>
      <c r="C698" s="146"/>
      <c r="D698" s="146"/>
      <c r="E698" s="146"/>
      <c r="F698" s="146"/>
      <c r="G698" s="146"/>
      <c r="H698" s="146"/>
      <c r="I698" s="150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</row>
    <row r="699" ht="12.75" customHeight="1" spans="1:26">
      <c r="A699" s="146"/>
      <c r="B699" s="146"/>
      <c r="C699" s="146"/>
      <c r="D699" s="146"/>
      <c r="E699" s="146"/>
      <c r="F699" s="146"/>
      <c r="G699" s="146"/>
      <c r="H699" s="146"/>
      <c r="I699" s="150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</row>
    <row r="700" ht="12.75" customHeight="1" spans="1:26">
      <c r="A700" s="146"/>
      <c r="B700" s="146"/>
      <c r="C700" s="146"/>
      <c r="D700" s="146"/>
      <c r="E700" s="146"/>
      <c r="F700" s="146"/>
      <c r="G700" s="146"/>
      <c r="H700" s="146"/>
      <c r="I700" s="150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</row>
    <row r="701" ht="12.75" customHeight="1" spans="1:26">
      <c r="A701" s="146"/>
      <c r="B701" s="146"/>
      <c r="C701" s="146"/>
      <c r="D701" s="146"/>
      <c r="E701" s="146"/>
      <c r="F701" s="146"/>
      <c r="G701" s="146"/>
      <c r="H701" s="146"/>
      <c r="I701" s="150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</row>
    <row r="702" ht="12.75" customHeight="1" spans="1:26">
      <c r="A702" s="146"/>
      <c r="B702" s="146"/>
      <c r="C702" s="146"/>
      <c r="D702" s="146"/>
      <c r="E702" s="146"/>
      <c r="F702" s="146"/>
      <c r="G702" s="146"/>
      <c r="H702" s="146"/>
      <c r="I702" s="150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</row>
    <row r="703" ht="12.75" customHeight="1" spans="1:26">
      <c r="A703" s="146"/>
      <c r="B703" s="146"/>
      <c r="C703" s="146"/>
      <c r="D703" s="146"/>
      <c r="E703" s="146"/>
      <c r="F703" s="146"/>
      <c r="G703" s="146"/>
      <c r="H703" s="146"/>
      <c r="I703" s="150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</row>
    <row r="704" ht="12.75" customHeight="1" spans="1:26">
      <c r="A704" s="146"/>
      <c r="B704" s="146"/>
      <c r="C704" s="146"/>
      <c r="D704" s="146"/>
      <c r="E704" s="146"/>
      <c r="F704" s="146"/>
      <c r="G704" s="146"/>
      <c r="H704" s="146"/>
      <c r="I704" s="150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</row>
    <row r="705" ht="12.75" customHeight="1" spans="1:26">
      <c r="A705" s="146"/>
      <c r="B705" s="146"/>
      <c r="C705" s="146"/>
      <c r="D705" s="146"/>
      <c r="E705" s="146"/>
      <c r="F705" s="146"/>
      <c r="G705" s="146"/>
      <c r="H705" s="146"/>
      <c r="I705" s="150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</row>
    <row r="706" ht="12.75" customHeight="1" spans="1:26">
      <c r="A706" s="146"/>
      <c r="B706" s="146"/>
      <c r="C706" s="146"/>
      <c r="D706" s="146"/>
      <c r="E706" s="146"/>
      <c r="F706" s="146"/>
      <c r="G706" s="146"/>
      <c r="H706" s="146"/>
      <c r="I706" s="150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</row>
    <row r="707" ht="12.75" customHeight="1" spans="1:26">
      <c r="A707" s="146"/>
      <c r="B707" s="146"/>
      <c r="C707" s="146"/>
      <c r="D707" s="146"/>
      <c r="E707" s="146"/>
      <c r="F707" s="146"/>
      <c r="G707" s="146"/>
      <c r="H707" s="146"/>
      <c r="I707" s="150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</row>
    <row r="708" ht="12.75" customHeight="1" spans="1:26">
      <c r="A708" s="146"/>
      <c r="B708" s="146"/>
      <c r="C708" s="146"/>
      <c r="D708" s="146"/>
      <c r="E708" s="146"/>
      <c r="F708" s="146"/>
      <c r="G708" s="146"/>
      <c r="H708" s="146"/>
      <c r="I708" s="150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</row>
    <row r="709" ht="12.75" customHeight="1" spans="1:26">
      <c r="A709" s="146"/>
      <c r="B709" s="146"/>
      <c r="C709" s="146"/>
      <c r="D709" s="146"/>
      <c r="E709" s="146"/>
      <c r="F709" s="146"/>
      <c r="G709" s="146"/>
      <c r="H709" s="146"/>
      <c r="I709" s="150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</row>
    <row r="710" ht="12.75" customHeight="1" spans="1:26">
      <c r="A710" s="146"/>
      <c r="B710" s="146"/>
      <c r="C710" s="146"/>
      <c r="D710" s="146"/>
      <c r="E710" s="146"/>
      <c r="F710" s="146"/>
      <c r="G710" s="146"/>
      <c r="H710" s="146"/>
      <c r="I710" s="150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</row>
    <row r="711" ht="12.75" customHeight="1" spans="1:26">
      <c r="A711" s="146"/>
      <c r="B711" s="146"/>
      <c r="C711" s="146"/>
      <c r="D711" s="146"/>
      <c r="E711" s="146"/>
      <c r="F711" s="146"/>
      <c r="G711" s="146"/>
      <c r="H711" s="146"/>
      <c r="I711" s="150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</row>
    <row r="712" ht="12.75" customHeight="1" spans="1:26">
      <c r="A712" s="146"/>
      <c r="B712" s="146"/>
      <c r="C712" s="146"/>
      <c r="D712" s="146"/>
      <c r="E712" s="146"/>
      <c r="F712" s="146"/>
      <c r="G712" s="146"/>
      <c r="H712" s="146"/>
      <c r="I712" s="150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</row>
    <row r="713" ht="12.75" customHeight="1" spans="1:26">
      <c r="A713" s="146"/>
      <c r="B713" s="146"/>
      <c r="C713" s="146"/>
      <c r="D713" s="146"/>
      <c r="E713" s="146"/>
      <c r="F713" s="146"/>
      <c r="G713" s="146"/>
      <c r="H713" s="146"/>
      <c r="I713" s="150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</row>
    <row r="714" ht="12.75" customHeight="1" spans="1:26">
      <c r="A714" s="146"/>
      <c r="B714" s="146"/>
      <c r="C714" s="146"/>
      <c r="D714" s="146"/>
      <c r="E714" s="146"/>
      <c r="F714" s="146"/>
      <c r="G714" s="146"/>
      <c r="H714" s="146"/>
      <c r="I714" s="150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</row>
    <row r="715" ht="12.75" customHeight="1" spans="1:26">
      <c r="A715" s="146"/>
      <c r="B715" s="146"/>
      <c r="C715" s="146"/>
      <c r="D715" s="146"/>
      <c r="E715" s="146"/>
      <c r="F715" s="146"/>
      <c r="G715" s="146"/>
      <c r="H715" s="146"/>
      <c r="I715" s="150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</row>
    <row r="716" ht="12.75" customHeight="1" spans="1:26">
      <c r="A716" s="146"/>
      <c r="B716" s="146"/>
      <c r="C716" s="146"/>
      <c r="D716" s="146"/>
      <c r="E716" s="146"/>
      <c r="F716" s="146"/>
      <c r="G716" s="146"/>
      <c r="H716" s="146"/>
      <c r="I716" s="150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</row>
    <row r="717" ht="12.75" customHeight="1" spans="1:26">
      <c r="A717" s="146"/>
      <c r="B717" s="146"/>
      <c r="C717" s="146"/>
      <c r="D717" s="146"/>
      <c r="E717" s="146"/>
      <c r="F717" s="146"/>
      <c r="G717" s="146"/>
      <c r="H717" s="146"/>
      <c r="I717" s="150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</row>
    <row r="718" ht="12.75" customHeight="1" spans="1:26">
      <c r="A718" s="146"/>
      <c r="B718" s="146"/>
      <c r="C718" s="146"/>
      <c r="D718" s="146"/>
      <c r="E718" s="146"/>
      <c r="F718" s="146"/>
      <c r="G718" s="146"/>
      <c r="H718" s="146"/>
      <c r="I718" s="150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</row>
    <row r="719" ht="12.75" customHeight="1" spans="1:26">
      <c r="A719" s="146"/>
      <c r="B719" s="146"/>
      <c r="C719" s="146"/>
      <c r="D719" s="146"/>
      <c r="E719" s="146"/>
      <c r="F719" s="146"/>
      <c r="G719" s="146"/>
      <c r="H719" s="146"/>
      <c r="I719" s="150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</row>
    <row r="720" ht="12.75" customHeight="1" spans="1:26">
      <c r="A720" s="146"/>
      <c r="B720" s="146"/>
      <c r="C720" s="146"/>
      <c r="D720" s="146"/>
      <c r="E720" s="146"/>
      <c r="F720" s="146"/>
      <c r="G720" s="146"/>
      <c r="H720" s="146"/>
      <c r="I720" s="150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</row>
    <row r="721" ht="12.75" customHeight="1" spans="1:26">
      <c r="A721" s="146"/>
      <c r="B721" s="146"/>
      <c r="C721" s="146"/>
      <c r="D721" s="146"/>
      <c r="E721" s="146"/>
      <c r="F721" s="146"/>
      <c r="G721" s="146"/>
      <c r="H721" s="146"/>
      <c r="I721" s="150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</row>
    <row r="722" ht="12.75" customHeight="1" spans="1:26">
      <c r="A722" s="146"/>
      <c r="B722" s="146"/>
      <c r="C722" s="146"/>
      <c r="D722" s="146"/>
      <c r="E722" s="146"/>
      <c r="F722" s="146"/>
      <c r="G722" s="146"/>
      <c r="H722" s="146"/>
      <c r="I722" s="150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</row>
    <row r="723" ht="12.75" customHeight="1" spans="1:26">
      <c r="A723" s="146"/>
      <c r="B723" s="146"/>
      <c r="C723" s="146"/>
      <c r="D723" s="146"/>
      <c r="E723" s="146"/>
      <c r="F723" s="146"/>
      <c r="G723" s="146"/>
      <c r="H723" s="146"/>
      <c r="I723" s="150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</row>
    <row r="724" ht="12.75" customHeight="1" spans="1:26">
      <c r="A724" s="146"/>
      <c r="B724" s="146"/>
      <c r="C724" s="146"/>
      <c r="D724" s="146"/>
      <c r="E724" s="146"/>
      <c r="F724" s="146"/>
      <c r="G724" s="146"/>
      <c r="H724" s="146"/>
      <c r="I724" s="150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</row>
    <row r="725" ht="12.75" customHeight="1" spans="1:26">
      <c r="A725" s="146"/>
      <c r="B725" s="146"/>
      <c r="C725" s="146"/>
      <c r="D725" s="146"/>
      <c r="E725" s="146"/>
      <c r="F725" s="146"/>
      <c r="G725" s="146"/>
      <c r="H725" s="146"/>
      <c r="I725" s="150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</row>
    <row r="726" ht="12.75" customHeight="1" spans="1:26">
      <c r="A726" s="146"/>
      <c r="B726" s="146"/>
      <c r="C726" s="146"/>
      <c r="D726" s="146"/>
      <c r="E726" s="146"/>
      <c r="F726" s="146"/>
      <c r="G726" s="146"/>
      <c r="H726" s="146"/>
      <c r="I726" s="150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</row>
    <row r="727" ht="12.75" customHeight="1" spans="1:26">
      <c r="A727" s="146"/>
      <c r="B727" s="146"/>
      <c r="C727" s="146"/>
      <c r="D727" s="146"/>
      <c r="E727" s="146"/>
      <c r="F727" s="146"/>
      <c r="G727" s="146"/>
      <c r="H727" s="146"/>
      <c r="I727" s="150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</row>
    <row r="728" ht="12.75" customHeight="1" spans="1:26">
      <c r="A728" s="146"/>
      <c r="B728" s="146"/>
      <c r="C728" s="146"/>
      <c r="D728" s="146"/>
      <c r="E728" s="146"/>
      <c r="F728" s="146"/>
      <c r="G728" s="146"/>
      <c r="H728" s="146"/>
      <c r="I728" s="150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</row>
    <row r="729" ht="12.75" customHeight="1" spans="1:26">
      <c r="A729" s="146"/>
      <c r="B729" s="146"/>
      <c r="C729" s="146"/>
      <c r="D729" s="146"/>
      <c r="E729" s="146"/>
      <c r="F729" s="146"/>
      <c r="G729" s="146"/>
      <c r="H729" s="146"/>
      <c r="I729" s="150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</row>
    <row r="730" ht="12.75" customHeight="1" spans="1:26">
      <c r="A730" s="146"/>
      <c r="B730" s="146"/>
      <c r="C730" s="146"/>
      <c r="D730" s="146"/>
      <c r="E730" s="146"/>
      <c r="F730" s="146"/>
      <c r="G730" s="146"/>
      <c r="H730" s="146"/>
      <c r="I730" s="150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</row>
    <row r="731" ht="12.75" customHeight="1" spans="1:26">
      <c r="A731" s="146"/>
      <c r="B731" s="146"/>
      <c r="C731" s="146"/>
      <c r="D731" s="146"/>
      <c r="E731" s="146"/>
      <c r="F731" s="146"/>
      <c r="G731" s="146"/>
      <c r="H731" s="146"/>
      <c r="I731" s="150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</row>
    <row r="732" ht="12.75" customHeight="1" spans="1:26">
      <c r="A732" s="146"/>
      <c r="B732" s="146"/>
      <c r="C732" s="146"/>
      <c r="D732" s="146"/>
      <c r="E732" s="146"/>
      <c r="F732" s="146"/>
      <c r="G732" s="146"/>
      <c r="H732" s="146"/>
      <c r="I732" s="150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</row>
    <row r="733" ht="12.75" customHeight="1" spans="1:26">
      <c r="A733" s="146"/>
      <c r="B733" s="146"/>
      <c r="C733" s="146"/>
      <c r="D733" s="146"/>
      <c r="E733" s="146"/>
      <c r="F733" s="146"/>
      <c r="G733" s="146"/>
      <c r="H733" s="146"/>
      <c r="I733" s="150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</row>
    <row r="734" ht="12.75" customHeight="1" spans="1:26">
      <c r="A734" s="146"/>
      <c r="B734" s="146"/>
      <c r="C734" s="146"/>
      <c r="D734" s="146"/>
      <c r="E734" s="146"/>
      <c r="F734" s="146"/>
      <c r="G734" s="146"/>
      <c r="H734" s="146"/>
      <c r="I734" s="150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</row>
    <row r="735" ht="12.75" customHeight="1" spans="1:26">
      <c r="A735" s="146"/>
      <c r="B735" s="146"/>
      <c r="C735" s="146"/>
      <c r="D735" s="146"/>
      <c r="E735" s="146"/>
      <c r="F735" s="146"/>
      <c r="G735" s="146"/>
      <c r="H735" s="146"/>
      <c r="I735" s="150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</row>
    <row r="736" ht="12.75" customHeight="1" spans="1:26">
      <c r="A736" s="146"/>
      <c r="B736" s="146"/>
      <c r="C736" s="146"/>
      <c r="D736" s="146"/>
      <c r="E736" s="146"/>
      <c r="F736" s="146"/>
      <c r="G736" s="146"/>
      <c r="H736" s="146"/>
      <c r="I736" s="150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</row>
    <row r="737" ht="12.75" customHeight="1" spans="1:26">
      <c r="A737" s="146"/>
      <c r="B737" s="146"/>
      <c r="C737" s="146"/>
      <c r="D737" s="146"/>
      <c r="E737" s="146"/>
      <c r="F737" s="146"/>
      <c r="G737" s="146"/>
      <c r="H737" s="146"/>
      <c r="I737" s="150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</row>
    <row r="738" ht="12.75" customHeight="1" spans="1:26">
      <c r="A738" s="146"/>
      <c r="B738" s="146"/>
      <c r="C738" s="146"/>
      <c r="D738" s="146"/>
      <c r="E738" s="146"/>
      <c r="F738" s="146"/>
      <c r="G738" s="146"/>
      <c r="H738" s="146"/>
      <c r="I738" s="150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</row>
    <row r="739" ht="12.75" customHeight="1" spans="1:26">
      <c r="A739" s="146"/>
      <c r="B739" s="146"/>
      <c r="C739" s="146"/>
      <c r="D739" s="146"/>
      <c r="E739" s="146"/>
      <c r="F739" s="146"/>
      <c r="G739" s="146"/>
      <c r="H739" s="146"/>
      <c r="I739" s="150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</row>
    <row r="740" ht="12.75" customHeight="1" spans="1:26">
      <c r="A740" s="146"/>
      <c r="B740" s="146"/>
      <c r="C740" s="146"/>
      <c r="D740" s="146"/>
      <c r="E740" s="146"/>
      <c r="F740" s="146"/>
      <c r="G740" s="146"/>
      <c r="H740" s="146"/>
      <c r="I740" s="150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</row>
    <row r="741" ht="12.75" customHeight="1" spans="1:26">
      <c r="A741" s="146"/>
      <c r="B741" s="146"/>
      <c r="C741" s="146"/>
      <c r="D741" s="146"/>
      <c r="E741" s="146"/>
      <c r="F741" s="146"/>
      <c r="G741" s="146"/>
      <c r="H741" s="146"/>
      <c r="I741" s="150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</row>
    <row r="742" ht="12.75" customHeight="1" spans="1:26">
      <c r="A742" s="146"/>
      <c r="B742" s="146"/>
      <c r="C742" s="146"/>
      <c r="D742" s="146"/>
      <c r="E742" s="146"/>
      <c r="F742" s="146"/>
      <c r="G742" s="146"/>
      <c r="H742" s="146"/>
      <c r="I742" s="150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</row>
    <row r="743" ht="12.75" customHeight="1" spans="1:26">
      <c r="A743" s="146"/>
      <c r="B743" s="146"/>
      <c r="C743" s="146"/>
      <c r="D743" s="146"/>
      <c r="E743" s="146"/>
      <c r="F743" s="146"/>
      <c r="G743" s="146"/>
      <c r="H743" s="146"/>
      <c r="I743" s="150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</row>
    <row r="744" ht="12.75" customHeight="1" spans="1:26">
      <c r="A744" s="146"/>
      <c r="B744" s="146"/>
      <c r="C744" s="146"/>
      <c r="D744" s="146"/>
      <c r="E744" s="146"/>
      <c r="F744" s="146"/>
      <c r="G744" s="146"/>
      <c r="H744" s="146"/>
      <c r="I744" s="150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</row>
    <row r="745" ht="12.75" customHeight="1" spans="1:26">
      <c r="A745" s="146"/>
      <c r="B745" s="146"/>
      <c r="C745" s="146"/>
      <c r="D745" s="146"/>
      <c r="E745" s="146"/>
      <c r="F745" s="146"/>
      <c r="G745" s="146"/>
      <c r="H745" s="146"/>
      <c r="I745" s="150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</row>
    <row r="746" ht="12.75" customHeight="1" spans="1:26">
      <c r="A746" s="146"/>
      <c r="B746" s="146"/>
      <c r="C746" s="146"/>
      <c r="D746" s="146"/>
      <c r="E746" s="146"/>
      <c r="F746" s="146"/>
      <c r="G746" s="146"/>
      <c r="H746" s="146"/>
      <c r="I746" s="150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</row>
    <row r="747" ht="12.75" customHeight="1" spans="1:26">
      <c r="A747" s="146"/>
      <c r="B747" s="146"/>
      <c r="C747" s="146"/>
      <c r="D747" s="146"/>
      <c r="E747" s="146"/>
      <c r="F747" s="146"/>
      <c r="G747" s="146"/>
      <c r="H747" s="146"/>
      <c r="I747" s="150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</row>
    <row r="748" ht="12.75" customHeight="1" spans="1:26">
      <c r="A748" s="146"/>
      <c r="B748" s="146"/>
      <c r="C748" s="146"/>
      <c r="D748" s="146"/>
      <c r="E748" s="146"/>
      <c r="F748" s="146"/>
      <c r="G748" s="146"/>
      <c r="H748" s="146"/>
      <c r="I748" s="150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</row>
    <row r="749" ht="12.75" customHeight="1" spans="1:26">
      <c r="A749" s="146"/>
      <c r="B749" s="146"/>
      <c r="C749" s="146"/>
      <c r="D749" s="146"/>
      <c r="E749" s="146"/>
      <c r="F749" s="146"/>
      <c r="G749" s="146"/>
      <c r="H749" s="146"/>
      <c r="I749" s="150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</row>
    <row r="750" ht="12.75" customHeight="1" spans="1:26">
      <c r="A750" s="146"/>
      <c r="B750" s="146"/>
      <c r="C750" s="146"/>
      <c r="D750" s="146"/>
      <c r="E750" s="146"/>
      <c r="F750" s="146"/>
      <c r="G750" s="146"/>
      <c r="H750" s="146"/>
      <c r="I750" s="150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</row>
    <row r="751" ht="12.75" customHeight="1" spans="1:26">
      <c r="A751" s="146"/>
      <c r="B751" s="146"/>
      <c r="C751" s="146"/>
      <c r="D751" s="146"/>
      <c r="E751" s="146"/>
      <c r="F751" s="146"/>
      <c r="G751" s="146"/>
      <c r="H751" s="146"/>
      <c r="I751" s="150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</row>
    <row r="752" ht="12.75" customHeight="1" spans="1:26">
      <c r="A752" s="146"/>
      <c r="B752" s="146"/>
      <c r="C752" s="146"/>
      <c r="D752" s="146"/>
      <c r="E752" s="146"/>
      <c r="F752" s="146"/>
      <c r="G752" s="146"/>
      <c r="H752" s="146"/>
      <c r="I752" s="150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</row>
    <row r="753" ht="12.75" customHeight="1" spans="1:26">
      <c r="A753" s="146"/>
      <c r="B753" s="146"/>
      <c r="C753" s="146"/>
      <c r="D753" s="146"/>
      <c r="E753" s="146"/>
      <c r="F753" s="146"/>
      <c r="G753" s="146"/>
      <c r="H753" s="146"/>
      <c r="I753" s="150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</row>
    <row r="754" ht="12.75" customHeight="1" spans="1:26">
      <c r="A754" s="146"/>
      <c r="B754" s="146"/>
      <c r="C754" s="146"/>
      <c r="D754" s="146"/>
      <c r="E754" s="146"/>
      <c r="F754" s="146"/>
      <c r="G754" s="146"/>
      <c r="H754" s="146"/>
      <c r="I754" s="150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</row>
    <row r="755" ht="12.75" customHeight="1" spans="1:26">
      <c r="A755" s="146"/>
      <c r="B755" s="146"/>
      <c r="C755" s="146"/>
      <c r="D755" s="146"/>
      <c r="E755" s="146"/>
      <c r="F755" s="146"/>
      <c r="G755" s="146"/>
      <c r="H755" s="146"/>
      <c r="I755" s="150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</row>
    <row r="756" ht="12.75" customHeight="1" spans="1:26">
      <c r="A756" s="146"/>
      <c r="B756" s="146"/>
      <c r="C756" s="146"/>
      <c r="D756" s="146"/>
      <c r="E756" s="146"/>
      <c r="F756" s="146"/>
      <c r="G756" s="146"/>
      <c r="H756" s="146"/>
      <c r="I756" s="150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</row>
    <row r="757" ht="12.75" customHeight="1" spans="1:26">
      <c r="A757" s="146"/>
      <c r="B757" s="146"/>
      <c r="C757" s="146"/>
      <c r="D757" s="146"/>
      <c r="E757" s="146"/>
      <c r="F757" s="146"/>
      <c r="G757" s="146"/>
      <c r="H757" s="146"/>
      <c r="I757" s="150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</row>
    <row r="758" ht="12.75" customHeight="1" spans="1:26">
      <c r="A758" s="146"/>
      <c r="B758" s="146"/>
      <c r="C758" s="146"/>
      <c r="D758" s="146"/>
      <c r="E758" s="146"/>
      <c r="F758" s="146"/>
      <c r="G758" s="146"/>
      <c r="H758" s="146"/>
      <c r="I758" s="150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</row>
    <row r="759" ht="12.75" customHeight="1" spans="1:26">
      <c r="A759" s="146"/>
      <c r="B759" s="146"/>
      <c r="C759" s="146"/>
      <c r="D759" s="146"/>
      <c r="E759" s="146"/>
      <c r="F759" s="146"/>
      <c r="G759" s="146"/>
      <c r="H759" s="146"/>
      <c r="I759" s="150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</row>
    <row r="760" ht="12.75" customHeight="1" spans="1:26">
      <c r="A760" s="146"/>
      <c r="B760" s="146"/>
      <c r="C760" s="146"/>
      <c r="D760" s="146"/>
      <c r="E760" s="146"/>
      <c r="F760" s="146"/>
      <c r="G760" s="146"/>
      <c r="H760" s="146"/>
      <c r="I760" s="150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</row>
    <row r="761" ht="12.75" customHeight="1" spans="1:26">
      <c r="A761" s="146"/>
      <c r="B761" s="146"/>
      <c r="C761" s="146"/>
      <c r="D761" s="146"/>
      <c r="E761" s="146"/>
      <c r="F761" s="146"/>
      <c r="G761" s="146"/>
      <c r="H761" s="146"/>
      <c r="I761" s="150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</row>
    <row r="762" ht="12.75" customHeight="1" spans="1:26">
      <c r="A762" s="146"/>
      <c r="B762" s="146"/>
      <c r="C762" s="146"/>
      <c r="D762" s="146"/>
      <c r="E762" s="146"/>
      <c r="F762" s="146"/>
      <c r="G762" s="146"/>
      <c r="H762" s="146"/>
      <c r="I762" s="150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</row>
    <row r="763" ht="12.75" customHeight="1" spans="1:26">
      <c r="A763" s="146"/>
      <c r="B763" s="146"/>
      <c r="C763" s="146"/>
      <c r="D763" s="146"/>
      <c r="E763" s="146"/>
      <c r="F763" s="146"/>
      <c r="G763" s="146"/>
      <c r="H763" s="146"/>
      <c r="I763" s="150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</row>
    <row r="764" ht="12.75" customHeight="1" spans="1:26">
      <c r="A764" s="146"/>
      <c r="B764" s="146"/>
      <c r="C764" s="146"/>
      <c r="D764" s="146"/>
      <c r="E764" s="146"/>
      <c r="F764" s="146"/>
      <c r="G764" s="146"/>
      <c r="H764" s="146"/>
      <c r="I764" s="150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</row>
    <row r="765" ht="12.75" customHeight="1" spans="1:26">
      <c r="A765" s="146"/>
      <c r="B765" s="146"/>
      <c r="C765" s="146"/>
      <c r="D765" s="146"/>
      <c r="E765" s="146"/>
      <c r="F765" s="146"/>
      <c r="G765" s="146"/>
      <c r="H765" s="146"/>
      <c r="I765" s="150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</row>
    <row r="766" ht="12.75" customHeight="1" spans="1:26">
      <c r="A766" s="146"/>
      <c r="B766" s="146"/>
      <c r="C766" s="146"/>
      <c r="D766" s="146"/>
      <c r="E766" s="146"/>
      <c r="F766" s="146"/>
      <c r="G766" s="146"/>
      <c r="H766" s="146"/>
      <c r="I766" s="150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</row>
    <row r="767" ht="12.75" customHeight="1" spans="1:26">
      <c r="A767" s="146"/>
      <c r="B767" s="146"/>
      <c r="C767" s="146"/>
      <c r="D767" s="146"/>
      <c r="E767" s="146"/>
      <c r="F767" s="146"/>
      <c r="G767" s="146"/>
      <c r="H767" s="146"/>
      <c r="I767" s="150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</row>
    <row r="768" ht="12.75" customHeight="1" spans="1:26">
      <c r="A768" s="146"/>
      <c r="B768" s="146"/>
      <c r="C768" s="146"/>
      <c r="D768" s="146"/>
      <c r="E768" s="146"/>
      <c r="F768" s="146"/>
      <c r="G768" s="146"/>
      <c r="H768" s="146"/>
      <c r="I768" s="150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</row>
    <row r="769" ht="12.75" customHeight="1" spans="1:26">
      <c r="A769" s="146"/>
      <c r="B769" s="146"/>
      <c r="C769" s="146"/>
      <c r="D769" s="146"/>
      <c r="E769" s="146"/>
      <c r="F769" s="146"/>
      <c r="G769" s="146"/>
      <c r="H769" s="146"/>
      <c r="I769" s="150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</row>
    <row r="770" ht="12.75" customHeight="1" spans="1:26">
      <c r="A770" s="146"/>
      <c r="B770" s="146"/>
      <c r="C770" s="146"/>
      <c r="D770" s="146"/>
      <c r="E770" s="146"/>
      <c r="F770" s="146"/>
      <c r="G770" s="146"/>
      <c r="H770" s="146"/>
      <c r="I770" s="150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</row>
    <row r="771" ht="12.75" customHeight="1" spans="1:26">
      <c r="A771" s="146"/>
      <c r="B771" s="146"/>
      <c r="C771" s="146"/>
      <c r="D771" s="146"/>
      <c r="E771" s="146"/>
      <c r="F771" s="146"/>
      <c r="G771" s="146"/>
      <c r="H771" s="146"/>
      <c r="I771" s="150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</row>
    <row r="772" ht="12.75" customHeight="1" spans="1:26">
      <c r="A772" s="146"/>
      <c r="B772" s="146"/>
      <c r="C772" s="146"/>
      <c r="D772" s="146"/>
      <c r="E772" s="146"/>
      <c r="F772" s="146"/>
      <c r="G772" s="146"/>
      <c r="H772" s="146"/>
      <c r="I772" s="150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</row>
    <row r="773" ht="12.75" customHeight="1" spans="1:26">
      <c r="A773" s="146"/>
      <c r="B773" s="146"/>
      <c r="C773" s="146"/>
      <c r="D773" s="146"/>
      <c r="E773" s="146"/>
      <c r="F773" s="146"/>
      <c r="G773" s="146"/>
      <c r="H773" s="146"/>
      <c r="I773" s="150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</row>
    <row r="774" ht="12.75" customHeight="1" spans="1:26">
      <c r="A774" s="146"/>
      <c r="B774" s="146"/>
      <c r="C774" s="146"/>
      <c r="D774" s="146"/>
      <c r="E774" s="146"/>
      <c r="F774" s="146"/>
      <c r="G774" s="146"/>
      <c r="H774" s="146"/>
      <c r="I774" s="150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</row>
    <row r="775" ht="12.75" customHeight="1" spans="1:26">
      <c r="A775" s="146"/>
      <c r="B775" s="146"/>
      <c r="C775" s="146"/>
      <c r="D775" s="146"/>
      <c r="E775" s="146"/>
      <c r="F775" s="146"/>
      <c r="G775" s="146"/>
      <c r="H775" s="146"/>
      <c r="I775" s="150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</row>
    <row r="776" ht="12.75" customHeight="1" spans="1:26">
      <c r="A776" s="146"/>
      <c r="B776" s="146"/>
      <c r="C776" s="146"/>
      <c r="D776" s="146"/>
      <c r="E776" s="146"/>
      <c r="F776" s="146"/>
      <c r="G776" s="146"/>
      <c r="H776" s="146"/>
      <c r="I776" s="150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</row>
    <row r="777" ht="12.75" customHeight="1" spans="1:26">
      <c r="A777" s="146"/>
      <c r="B777" s="146"/>
      <c r="C777" s="146"/>
      <c r="D777" s="146"/>
      <c r="E777" s="146"/>
      <c r="F777" s="146"/>
      <c r="G777" s="146"/>
      <c r="H777" s="146"/>
      <c r="I777" s="150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</row>
    <row r="778" ht="12.75" customHeight="1" spans="1:26">
      <c r="A778" s="146"/>
      <c r="B778" s="146"/>
      <c r="C778" s="146"/>
      <c r="D778" s="146"/>
      <c r="E778" s="146"/>
      <c r="F778" s="146"/>
      <c r="G778" s="146"/>
      <c r="H778" s="146"/>
      <c r="I778" s="150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</row>
    <row r="779" ht="12.75" customHeight="1" spans="1:26">
      <c r="A779" s="146"/>
      <c r="B779" s="146"/>
      <c r="C779" s="146"/>
      <c r="D779" s="146"/>
      <c r="E779" s="146"/>
      <c r="F779" s="146"/>
      <c r="G779" s="146"/>
      <c r="H779" s="146"/>
      <c r="I779" s="150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</row>
    <row r="780" ht="12.75" customHeight="1" spans="1:26">
      <c r="A780" s="146"/>
      <c r="B780" s="146"/>
      <c r="C780" s="146"/>
      <c r="D780" s="146"/>
      <c r="E780" s="146"/>
      <c r="F780" s="146"/>
      <c r="G780" s="146"/>
      <c r="H780" s="146"/>
      <c r="I780" s="150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</row>
    <row r="781" ht="12.75" customHeight="1" spans="1:26">
      <c r="A781" s="146"/>
      <c r="B781" s="146"/>
      <c r="C781" s="146"/>
      <c r="D781" s="146"/>
      <c r="E781" s="146"/>
      <c r="F781" s="146"/>
      <c r="G781" s="146"/>
      <c r="H781" s="146"/>
      <c r="I781" s="150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</row>
    <row r="782" ht="12.75" customHeight="1" spans="1:26">
      <c r="A782" s="146"/>
      <c r="B782" s="146"/>
      <c r="C782" s="146"/>
      <c r="D782" s="146"/>
      <c r="E782" s="146"/>
      <c r="F782" s="146"/>
      <c r="G782" s="146"/>
      <c r="H782" s="146"/>
      <c r="I782" s="150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</row>
    <row r="783" ht="12.75" customHeight="1" spans="1:26">
      <c r="A783" s="146"/>
      <c r="B783" s="146"/>
      <c r="C783" s="146"/>
      <c r="D783" s="146"/>
      <c r="E783" s="146"/>
      <c r="F783" s="146"/>
      <c r="G783" s="146"/>
      <c r="H783" s="146"/>
      <c r="I783" s="150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</row>
    <row r="784" ht="12.75" customHeight="1" spans="1:26">
      <c r="A784" s="146"/>
      <c r="B784" s="146"/>
      <c r="C784" s="146"/>
      <c r="D784" s="146"/>
      <c r="E784" s="146"/>
      <c r="F784" s="146"/>
      <c r="G784" s="146"/>
      <c r="H784" s="146"/>
      <c r="I784" s="150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</row>
    <row r="785" ht="12.75" customHeight="1" spans="1:26">
      <c r="A785" s="146"/>
      <c r="B785" s="146"/>
      <c r="C785" s="146"/>
      <c r="D785" s="146"/>
      <c r="E785" s="146"/>
      <c r="F785" s="146"/>
      <c r="G785" s="146"/>
      <c r="H785" s="146"/>
      <c r="I785" s="150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</row>
    <row r="786" ht="12.75" customHeight="1" spans="1:26">
      <c r="A786" s="146"/>
      <c r="B786" s="146"/>
      <c r="C786" s="146"/>
      <c r="D786" s="146"/>
      <c r="E786" s="146"/>
      <c r="F786" s="146"/>
      <c r="G786" s="146"/>
      <c r="H786" s="146"/>
      <c r="I786" s="150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</row>
    <row r="787" ht="12.75" customHeight="1" spans="1:26">
      <c r="A787" s="146"/>
      <c r="B787" s="146"/>
      <c r="C787" s="146"/>
      <c r="D787" s="146"/>
      <c r="E787" s="146"/>
      <c r="F787" s="146"/>
      <c r="G787" s="146"/>
      <c r="H787" s="146"/>
      <c r="I787" s="150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</row>
    <row r="788" ht="12.75" customHeight="1" spans="1:26">
      <c r="A788" s="146"/>
      <c r="B788" s="146"/>
      <c r="C788" s="146"/>
      <c r="D788" s="146"/>
      <c r="E788" s="146"/>
      <c r="F788" s="146"/>
      <c r="G788" s="146"/>
      <c r="H788" s="146"/>
      <c r="I788" s="150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</row>
    <row r="789" ht="12.75" customHeight="1" spans="1:26">
      <c r="A789" s="146"/>
      <c r="B789" s="146"/>
      <c r="C789" s="146"/>
      <c r="D789" s="146"/>
      <c r="E789" s="146"/>
      <c r="F789" s="146"/>
      <c r="G789" s="146"/>
      <c r="H789" s="146"/>
      <c r="I789" s="150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</row>
    <row r="790" ht="12.75" customHeight="1" spans="1:26">
      <c r="A790" s="146"/>
      <c r="B790" s="146"/>
      <c r="C790" s="146"/>
      <c r="D790" s="146"/>
      <c r="E790" s="146"/>
      <c r="F790" s="146"/>
      <c r="G790" s="146"/>
      <c r="H790" s="146"/>
      <c r="I790" s="150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</row>
    <row r="791" ht="12.75" customHeight="1" spans="1:26">
      <c r="A791" s="146"/>
      <c r="B791" s="146"/>
      <c r="C791" s="146"/>
      <c r="D791" s="146"/>
      <c r="E791" s="146"/>
      <c r="F791" s="146"/>
      <c r="G791" s="146"/>
      <c r="H791" s="146"/>
      <c r="I791" s="150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</row>
    <row r="792" ht="12.75" customHeight="1" spans="1:26">
      <c r="A792" s="146"/>
      <c r="B792" s="146"/>
      <c r="C792" s="146"/>
      <c r="D792" s="146"/>
      <c r="E792" s="146"/>
      <c r="F792" s="146"/>
      <c r="G792" s="146"/>
      <c r="H792" s="146"/>
      <c r="I792" s="150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</row>
    <row r="793" ht="12.75" customHeight="1" spans="1:26">
      <c r="A793" s="146"/>
      <c r="B793" s="146"/>
      <c r="C793" s="146"/>
      <c r="D793" s="146"/>
      <c r="E793" s="146"/>
      <c r="F793" s="146"/>
      <c r="G793" s="146"/>
      <c r="H793" s="146"/>
      <c r="I793" s="150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</row>
    <row r="794" ht="12.75" customHeight="1" spans="1:26">
      <c r="A794" s="146"/>
      <c r="B794" s="146"/>
      <c r="C794" s="146"/>
      <c r="D794" s="146"/>
      <c r="E794" s="146"/>
      <c r="F794" s="146"/>
      <c r="G794" s="146"/>
      <c r="H794" s="146"/>
      <c r="I794" s="150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</row>
    <row r="795" ht="12.75" customHeight="1" spans="1:26">
      <c r="A795" s="146"/>
      <c r="B795" s="146"/>
      <c r="C795" s="146"/>
      <c r="D795" s="146"/>
      <c r="E795" s="146"/>
      <c r="F795" s="146"/>
      <c r="G795" s="146"/>
      <c r="H795" s="146"/>
      <c r="I795" s="150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</row>
    <row r="796" ht="12.75" customHeight="1" spans="1:26">
      <c r="A796" s="146"/>
      <c r="B796" s="146"/>
      <c r="C796" s="146"/>
      <c r="D796" s="146"/>
      <c r="E796" s="146"/>
      <c r="F796" s="146"/>
      <c r="G796" s="146"/>
      <c r="H796" s="146"/>
      <c r="I796" s="150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</row>
    <row r="797" ht="12.75" customHeight="1" spans="1:26">
      <c r="A797" s="146"/>
      <c r="B797" s="146"/>
      <c r="C797" s="146"/>
      <c r="D797" s="146"/>
      <c r="E797" s="146"/>
      <c r="F797" s="146"/>
      <c r="G797" s="146"/>
      <c r="H797" s="146"/>
      <c r="I797" s="150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</row>
    <row r="798" ht="12.75" customHeight="1" spans="1:26">
      <c r="A798" s="146"/>
      <c r="B798" s="146"/>
      <c r="C798" s="146"/>
      <c r="D798" s="146"/>
      <c r="E798" s="146"/>
      <c r="F798" s="146"/>
      <c r="G798" s="146"/>
      <c r="H798" s="146"/>
      <c r="I798" s="150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</row>
    <row r="799" ht="12.75" customHeight="1" spans="1:26">
      <c r="A799" s="146"/>
      <c r="B799" s="146"/>
      <c r="C799" s="146"/>
      <c r="D799" s="146"/>
      <c r="E799" s="146"/>
      <c r="F799" s="146"/>
      <c r="G799" s="146"/>
      <c r="H799" s="146"/>
      <c r="I799" s="150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</row>
    <row r="800" ht="12.75" customHeight="1" spans="1:26">
      <c r="A800" s="146"/>
      <c r="B800" s="146"/>
      <c r="C800" s="146"/>
      <c r="D800" s="146"/>
      <c r="E800" s="146"/>
      <c r="F800" s="146"/>
      <c r="G800" s="146"/>
      <c r="H800" s="146"/>
      <c r="I800" s="150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</row>
    <row r="801" ht="12.75" customHeight="1" spans="1:26">
      <c r="A801" s="146"/>
      <c r="B801" s="146"/>
      <c r="C801" s="146"/>
      <c r="D801" s="146"/>
      <c r="E801" s="146"/>
      <c r="F801" s="146"/>
      <c r="G801" s="146"/>
      <c r="H801" s="146"/>
      <c r="I801" s="150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</row>
    <row r="802" ht="12.75" customHeight="1" spans="1:26">
      <c r="A802" s="146"/>
      <c r="B802" s="146"/>
      <c r="C802" s="146"/>
      <c r="D802" s="146"/>
      <c r="E802" s="146"/>
      <c r="F802" s="146"/>
      <c r="G802" s="146"/>
      <c r="H802" s="146"/>
      <c r="I802" s="150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</row>
    <row r="803" ht="12.75" customHeight="1" spans="1:26">
      <c r="A803" s="146"/>
      <c r="B803" s="146"/>
      <c r="C803" s="146"/>
      <c r="D803" s="146"/>
      <c r="E803" s="146"/>
      <c r="F803" s="146"/>
      <c r="G803" s="146"/>
      <c r="H803" s="146"/>
      <c r="I803" s="150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</row>
    <row r="804" ht="12.75" customHeight="1" spans="1:26">
      <c r="A804" s="146"/>
      <c r="B804" s="146"/>
      <c r="C804" s="146"/>
      <c r="D804" s="146"/>
      <c r="E804" s="146"/>
      <c r="F804" s="146"/>
      <c r="G804" s="146"/>
      <c r="H804" s="146"/>
      <c r="I804" s="150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</row>
    <row r="805" ht="12.75" customHeight="1" spans="1:26">
      <c r="A805" s="146"/>
      <c r="B805" s="146"/>
      <c r="C805" s="146"/>
      <c r="D805" s="146"/>
      <c r="E805" s="146"/>
      <c r="F805" s="146"/>
      <c r="G805" s="146"/>
      <c r="H805" s="146"/>
      <c r="I805" s="150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</row>
    <row r="806" ht="12.75" customHeight="1" spans="1:26">
      <c r="A806" s="146"/>
      <c r="B806" s="146"/>
      <c r="C806" s="146"/>
      <c r="D806" s="146"/>
      <c r="E806" s="146"/>
      <c r="F806" s="146"/>
      <c r="G806" s="146"/>
      <c r="H806" s="146"/>
      <c r="I806" s="150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</row>
    <row r="807" ht="12.75" customHeight="1" spans="1:26">
      <c r="A807" s="146"/>
      <c r="B807" s="146"/>
      <c r="C807" s="146"/>
      <c r="D807" s="146"/>
      <c r="E807" s="146"/>
      <c r="F807" s="146"/>
      <c r="G807" s="146"/>
      <c r="H807" s="146"/>
      <c r="I807" s="150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</row>
    <row r="808" ht="12.75" customHeight="1" spans="1:26">
      <c r="A808" s="146"/>
      <c r="B808" s="146"/>
      <c r="C808" s="146"/>
      <c r="D808" s="146"/>
      <c r="E808" s="146"/>
      <c r="F808" s="146"/>
      <c r="G808" s="146"/>
      <c r="H808" s="146"/>
      <c r="I808" s="150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</row>
    <row r="809" ht="12.75" customHeight="1" spans="1:26">
      <c r="A809" s="146"/>
      <c r="B809" s="146"/>
      <c r="C809" s="146"/>
      <c r="D809" s="146"/>
      <c r="E809" s="146"/>
      <c r="F809" s="146"/>
      <c r="G809" s="146"/>
      <c r="H809" s="146"/>
      <c r="I809" s="150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</row>
    <row r="810" ht="12.75" customHeight="1" spans="1:26">
      <c r="A810" s="146"/>
      <c r="B810" s="146"/>
      <c r="C810" s="146"/>
      <c r="D810" s="146"/>
      <c r="E810" s="146"/>
      <c r="F810" s="146"/>
      <c r="G810" s="146"/>
      <c r="H810" s="146"/>
      <c r="I810" s="150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</row>
    <row r="811" ht="12.75" customHeight="1" spans="1:26">
      <c r="A811" s="146"/>
      <c r="B811" s="146"/>
      <c r="C811" s="146"/>
      <c r="D811" s="146"/>
      <c r="E811" s="146"/>
      <c r="F811" s="146"/>
      <c r="G811" s="146"/>
      <c r="H811" s="146"/>
      <c r="I811" s="150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</row>
    <row r="812" ht="12.75" customHeight="1" spans="1:26">
      <c r="A812" s="146"/>
      <c r="B812" s="146"/>
      <c r="C812" s="146"/>
      <c r="D812" s="146"/>
      <c r="E812" s="146"/>
      <c r="F812" s="146"/>
      <c r="G812" s="146"/>
      <c r="H812" s="146"/>
      <c r="I812" s="150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</row>
    <row r="813" ht="12.75" customHeight="1" spans="1:26">
      <c r="A813" s="146"/>
      <c r="B813" s="146"/>
      <c r="C813" s="146"/>
      <c r="D813" s="146"/>
      <c r="E813" s="146"/>
      <c r="F813" s="146"/>
      <c r="G813" s="146"/>
      <c r="H813" s="146"/>
      <c r="I813" s="150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</row>
    <row r="814" ht="12.75" customHeight="1" spans="1:26">
      <c r="A814" s="146"/>
      <c r="B814" s="146"/>
      <c r="C814" s="146"/>
      <c r="D814" s="146"/>
      <c r="E814" s="146"/>
      <c r="F814" s="146"/>
      <c r="G814" s="146"/>
      <c r="H814" s="146"/>
      <c r="I814" s="150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</row>
    <row r="815" ht="12.75" customHeight="1" spans="1:26">
      <c r="A815" s="146"/>
      <c r="B815" s="146"/>
      <c r="C815" s="146"/>
      <c r="D815" s="146"/>
      <c r="E815" s="146"/>
      <c r="F815" s="146"/>
      <c r="G815" s="146"/>
      <c r="H815" s="146"/>
      <c r="I815" s="150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</row>
    <row r="816" ht="12.75" customHeight="1" spans="1:26">
      <c r="A816" s="146"/>
      <c r="B816" s="146"/>
      <c r="C816" s="146"/>
      <c r="D816" s="146"/>
      <c r="E816" s="146"/>
      <c r="F816" s="146"/>
      <c r="G816" s="146"/>
      <c r="H816" s="146"/>
      <c r="I816" s="150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</row>
    <row r="817" ht="12.75" customHeight="1" spans="1:26">
      <c r="A817" s="146"/>
      <c r="B817" s="146"/>
      <c r="C817" s="146"/>
      <c r="D817" s="146"/>
      <c r="E817" s="146"/>
      <c r="F817" s="146"/>
      <c r="G817" s="146"/>
      <c r="H817" s="146"/>
      <c r="I817" s="150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</row>
    <row r="818" ht="12.75" customHeight="1" spans="1:26">
      <c r="A818" s="146"/>
      <c r="B818" s="146"/>
      <c r="C818" s="146"/>
      <c r="D818" s="146"/>
      <c r="E818" s="146"/>
      <c r="F818" s="146"/>
      <c r="G818" s="146"/>
      <c r="H818" s="146"/>
      <c r="I818" s="150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</row>
    <row r="819" ht="12.75" customHeight="1" spans="1:26">
      <c r="A819" s="146"/>
      <c r="B819" s="146"/>
      <c r="C819" s="146"/>
      <c r="D819" s="146"/>
      <c r="E819" s="146"/>
      <c r="F819" s="146"/>
      <c r="G819" s="146"/>
      <c r="H819" s="146"/>
      <c r="I819" s="150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</row>
    <row r="820" ht="12.75" customHeight="1" spans="1:26">
      <c r="A820" s="146"/>
      <c r="B820" s="146"/>
      <c r="C820" s="146"/>
      <c r="D820" s="146"/>
      <c r="E820" s="146"/>
      <c r="F820" s="146"/>
      <c r="G820" s="146"/>
      <c r="H820" s="146"/>
      <c r="I820" s="150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</row>
    <row r="821" ht="12.75" customHeight="1" spans="1:26">
      <c r="A821" s="146"/>
      <c r="B821" s="146"/>
      <c r="C821" s="146"/>
      <c r="D821" s="146"/>
      <c r="E821" s="146"/>
      <c r="F821" s="146"/>
      <c r="G821" s="146"/>
      <c r="H821" s="146"/>
      <c r="I821" s="150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</row>
    <row r="822" ht="12.75" customHeight="1" spans="1:26">
      <c r="A822" s="146"/>
      <c r="B822" s="146"/>
      <c r="C822" s="146"/>
      <c r="D822" s="146"/>
      <c r="E822" s="146"/>
      <c r="F822" s="146"/>
      <c r="G822" s="146"/>
      <c r="H822" s="146"/>
      <c r="I822" s="150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</row>
    <row r="823" ht="12.75" customHeight="1" spans="1:26">
      <c r="A823" s="146"/>
      <c r="B823" s="146"/>
      <c r="C823" s="146"/>
      <c r="D823" s="146"/>
      <c r="E823" s="146"/>
      <c r="F823" s="146"/>
      <c r="G823" s="146"/>
      <c r="H823" s="146"/>
      <c r="I823" s="150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</row>
    <row r="824" ht="12.75" customHeight="1" spans="1:26">
      <c r="A824" s="146"/>
      <c r="B824" s="146"/>
      <c r="C824" s="146"/>
      <c r="D824" s="146"/>
      <c r="E824" s="146"/>
      <c r="F824" s="146"/>
      <c r="G824" s="146"/>
      <c r="H824" s="146"/>
      <c r="I824" s="150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</row>
    <row r="825" ht="12.75" customHeight="1" spans="1:26">
      <c r="A825" s="146"/>
      <c r="B825" s="146"/>
      <c r="C825" s="146"/>
      <c r="D825" s="146"/>
      <c r="E825" s="146"/>
      <c r="F825" s="146"/>
      <c r="G825" s="146"/>
      <c r="H825" s="146"/>
      <c r="I825" s="150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</row>
    <row r="826" ht="12.75" customHeight="1" spans="1:26">
      <c r="A826" s="146"/>
      <c r="B826" s="146"/>
      <c r="C826" s="146"/>
      <c r="D826" s="146"/>
      <c r="E826" s="146"/>
      <c r="F826" s="146"/>
      <c r="G826" s="146"/>
      <c r="H826" s="146"/>
      <c r="I826" s="150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</row>
    <row r="827" ht="12.75" customHeight="1" spans="1:26">
      <c r="A827" s="146"/>
      <c r="B827" s="146"/>
      <c r="C827" s="146"/>
      <c r="D827" s="146"/>
      <c r="E827" s="146"/>
      <c r="F827" s="146"/>
      <c r="G827" s="146"/>
      <c r="H827" s="146"/>
      <c r="I827" s="150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</row>
    <row r="828" ht="12.75" customHeight="1" spans="1:26">
      <c r="A828" s="146"/>
      <c r="B828" s="146"/>
      <c r="C828" s="146"/>
      <c r="D828" s="146"/>
      <c r="E828" s="146"/>
      <c r="F828" s="146"/>
      <c r="G828" s="146"/>
      <c r="H828" s="146"/>
      <c r="I828" s="150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</row>
    <row r="829" ht="12.75" customHeight="1" spans="1:26">
      <c r="A829" s="146"/>
      <c r="B829" s="146"/>
      <c r="C829" s="146"/>
      <c r="D829" s="146"/>
      <c r="E829" s="146"/>
      <c r="F829" s="146"/>
      <c r="G829" s="146"/>
      <c r="H829" s="146"/>
      <c r="I829" s="150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</row>
    <row r="830" ht="12.75" customHeight="1" spans="1:26">
      <c r="A830" s="146"/>
      <c r="B830" s="146"/>
      <c r="C830" s="146"/>
      <c r="D830" s="146"/>
      <c r="E830" s="146"/>
      <c r="F830" s="146"/>
      <c r="G830" s="146"/>
      <c r="H830" s="146"/>
      <c r="I830" s="150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</row>
    <row r="831" ht="12.75" customHeight="1" spans="1:26">
      <c r="A831" s="146"/>
      <c r="B831" s="146"/>
      <c r="C831" s="146"/>
      <c r="D831" s="146"/>
      <c r="E831" s="146"/>
      <c r="F831" s="146"/>
      <c r="G831" s="146"/>
      <c r="H831" s="146"/>
      <c r="I831" s="150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</row>
    <row r="832" ht="12.75" customHeight="1" spans="1:26">
      <c r="A832" s="146"/>
      <c r="B832" s="146"/>
      <c r="C832" s="146"/>
      <c r="D832" s="146"/>
      <c r="E832" s="146"/>
      <c r="F832" s="146"/>
      <c r="G832" s="146"/>
      <c r="H832" s="146"/>
      <c r="I832" s="150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</row>
    <row r="833" ht="12.75" customHeight="1" spans="1:26">
      <c r="A833" s="146"/>
      <c r="B833" s="146"/>
      <c r="C833" s="146"/>
      <c r="D833" s="146"/>
      <c r="E833" s="146"/>
      <c r="F833" s="146"/>
      <c r="G833" s="146"/>
      <c r="H833" s="146"/>
      <c r="I833" s="150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</row>
    <row r="834" ht="12.75" customHeight="1" spans="1:26">
      <c r="A834" s="146"/>
      <c r="B834" s="146"/>
      <c r="C834" s="146"/>
      <c r="D834" s="146"/>
      <c r="E834" s="146"/>
      <c r="F834" s="146"/>
      <c r="G834" s="146"/>
      <c r="H834" s="146"/>
      <c r="I834" s="150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</row>
    <row r="835" ht="12.75" customHeight="1" spans="1:26">
      <c r="A835" s="146"/>
      <c r="B835" s="146"/>
      <c r="C835" s="146"/>
      <c r="D835" s="146"/>
      <c r="E835" s="146"/>
      <c r="F835" s="146"/>
      <c r="G835" s="146"/>
      <c r="H835" s="146"/>
      <c r="I835" s="150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</row>
    <row r="836" ht="12.75" customHeight="1" spans="1:26">
      <c r="A836" s="146"/>
      <c r="B836" s="146"/>
      <c r="C836" s="146"/>
      <c r="D836" s="146"/>
      <c r="E836" s="146"/>
      <c r="F836" s="146"/>
      <c r="G836" s="146"/>
      <c r="H836" s="146"/>
      <c r="I836" s="150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</row>
    <row r="837" ht="12.75" customHeight="1" spans="1:26">
      <c r="A837" s="146"/>
      <c r="B837" s="146"/>
      <c r="C837" s="146"/>
      <c r="D837" s="146"/>
      <c r="E837" s="146"/>
      <c r="F837" s="146"/>
      <c r="G837" s="146"/>
      <c r="H837" s="146"/>
      <c r="I837" s="150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</row>
    <row r="838" ht="12.75" customHeight="1" spans="1:26">
      <c r="A838" s="146"/>
      <c r="B838" s="146"/>
      <c r="C838" s="146"/>
      <c r="D838" s="146"/>
      <c r="E838" s="146"/>
      <c r="F838" s="146"/>
      <c r="G838" s="146"/>
      <c r="H838" s="146"/>
      <c r="I838" s="150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</row>
    <row r="839" ht="12.75" customHeight="1" spans="1:26">
      <c r="A839" s="146"/>
      <c r="B839" s="146"/>
      <c r="C839" s="146"/>
      <c r="D839" s="146"/>
      <c r="E839" s="146"/>
      <c r="F839" s="146"/>
      <c r="G839" s="146"/>
      <c r="H839" s="146"/>
      <c r="I839" s="150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</row>
    <row r="840" ht="12.75" customHeight="1" spans="1:26">
      <c r="A840" s="146"/>
      <c r="B840" s="146"/>
      <c r="C840" s="146"/>
      <c r="D840" s="146"/>
      <c r="E840" s="146"/>
      <c r="F840" s="146"/>
      <c r="G840" s="146"/>
      <c r="H840" s="146"/>
      <c r="I840" s="150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</row>
    <row r="841" ht="12.75" customHeight="1" spans="1:26">
      <c r="A841" s="146"/>
      <c r="B841" s="146"/>
      <c r="C841" s="146"/>
      <c r="D841" s="146"/>
      <c r="E841" s="146"/>
      <c r="F841" s="146"/>
      <c r="G841" s="146"/>
      <c r="H841" s="146"/>
      <c r="I841" s="150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</row>
    <row r="842" ht="12.75" customHeight="1" spans="1:26">
      <c r="A842" s="146"/>
      <c r="B842" s="146"/>
      <c r="C842" s="146"/>
      <c r="D842" s="146"/>
      <c r="E842" s="146"/>
      <c r="F842" s="146"/>
      <c r="G842" s="146"/>
      <c r="H842" s="146"/>
      <c r="I842" s="150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</row>
    <row r="843" ht="12.75" customHeight="1" spans="1:26">
      <c r="A843" s="146"/>
      <c r="B843" s="146"/>
      <c r="C843" s="146"/>
      <c r="D843" s="146"/>
      <c r="E843" s="146"/>
      <c r="F843" s="146"/>
      <c r="G843" s="146"/>
      <c r="H843" s="146"/>
      <c r="I843" s="150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</row>
    <row r="844" ht="12.75" customHeight="1" spans="1:26">
      <c r="A844" s="146"/>
      <c r="B844" s="146"/>
      <c r="C844" s="146"/>
      <c r="D844" s="146"/>
      <c r="E844" s="146"/>
      <c r="F844" s="146"/>
      <c r="G844" s="146"/>
      <c r="H844" s="146"/>
      <c r="I844" s="150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</row>
    <row r="845" ht="12.75" customHeight="1" spans="1:26">
      <c r="A845" s="146"/>
      <c r="B845" s="146"/>
      <c r="C845" s="146"/>
      <c r="D845" s="146"/>
      <c r="E845" s="146"/>
      <c r="F845" s="146"/>
      <c r="G845" s="146"/>
      <c r="H845" s="146"/>
      <c r="I845" s="150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</row>
    <row r="846" ht="12.75" customHeight="1" spans="1:26">
      <c r="A846" s="146"/>
      <c r="B846" s="146"/>
      <c r="C846" s="146"/>
      <c r="D846" s="146"/>
      <c r="E846" s="146"/>
      <c r="F846" s="146"/>
      <c r="G846" s="146"/>
      <c r="H846" s="146"/>
      <c r="I846" s="150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</row>
    <row r="847" ht="12.75" customHeight="1" spans="1:26">
      <c r="A847" s="146"/>
      <c r="B847" s="146"/>
      <c r="C847" s="146"/>
      <c r="D847" s="146"/>
      <c r="E847" s="146"/>
      <c r="F847" s="146"/>
      <c r="G847" s="146"/>
      <c r="H847" s="146"/>
      <c r="I847" s="150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</row>
    <row r="848" ht="12.75" customHeight="1" spans="1:26">
      <c r="A848" s="146"/>
      <c r="B848" s="146"/>
      <c r="C848" s="146"/>
      <c r="D848" s="146"/>
      <c r="E848" s="146"/>
      <c r="F848" s="146"/>
      <c r="G848" s="146"/>
      <c r="H848" s="146"/>
      <c r="I848" s="150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</row>
    <row r="849" ht="12.75" customHeight="1" spans="1:26">
      <c r="A849" s="146"/>
      <c r="B849" s="146"/>
      <c r="C849" s="146"/>
      <c r="D849" s="146"/>
      <c r="E849" s="146"/>
      <c r="F849" s="146"/>
      <c r="G849" s="146"/>
      <c r="H849" s="146"/>
      <c r="I849" s="150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</row>
    <row r="850" ht="12.75" customHeight="1" spans="1:26">
      <c r="A850" s="146"/>
      <c r="B850" s="146"/>
      <c r="C850" s="146"/>
      <c r="D850" s="146"/>
      <c r="E850" s="146"/>
      <c r="F850" s="146"/>
      <c r="G850" s="146"/>
      <c r="H850" s="146"/>
      <c r="I850" s="150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</row>
    <row r="851" ht="12.75" customHeight="1" spans="1:26">
      <c r="A851" s="146"/>
      <c r="B851" s="146"/>
      <c r="C851" s="146"/>
      <c r="D851" s="146"/>
      <c r="E851" s="146"/>
      <c r="F851" s="146"/>
      <c r="G851" s="146"/>
      <c r="H851" s="146"/>
      <c r="I851" s="150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</row>
    <row r="852" ht="12.75" customHeight="1" spans="1:26">
      <c r="A852" s="146"/>
      <c r="B852" s="146"/>
      <c r="C852" s="146"/>
      <c r="D852" s="146"/>
      <c r="E852" s="146"/>
      <c r="F852" s="146"/>
      <c r="G852" s="146"/>
      <c r="H852" s="146"/>
      <c r="I852" s="150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</row>
    <row r="853" ht="12.75" customHeight="1" spans="1:26">
      <c r="A853" s="146"/>
      <c r="B853" s="146"/>
      <c r="C853" s="146"/>
      <c r="D853" s="146"/>
      <c r="E853" s="146"/>
      <c r="F853" s="146"/>
      <c r="G853" s="146"/>
      <c r="H853" s="146"/>
      <c r="I853" s="150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</row>
    <row r="854" ht="12.75" customHeight="1" spans="1:26">
      <c r="A854" s="146"/>
      <c r="B854" s="146"/>
      <c r="C854" s="146"/>
      <c r="D854" s="146"/>
      <c r="E854" s="146"/>
      <c r="F854" s="146"/>
      <c r="G854" s="146"/>
      <c r="H854" s="146"/>
      <c r="I854" s="150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</row>
    <row r="855" ht="12.75" customHeight="1" spans="1:26">
      <c r="A855" s="146"/>
      <c r="B855" s="146"/>
      <c r="C855" s="146"/>
      <c r="D855" s="146"/>
      <c r="E855" s="146"/>
      <c r="F855" s="146"/>
      <c r="G855" s="146"/>
      <c r="H855" s="146"/>
      <c r="I855" s="150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</row>
    <row r="856" ht="12.75" customHeight="1" spans="1:26">
      <c r="A856" s="146"/>
      <c r="B856" s="146"/>
      <c r="C856" s="146"/>
      <c r="D856" s="146"/>
      <c r="E856" s="146"/>
      <c r="F856" s="146"/>
      <c r="G856" s="146"/>
      <c r="H856" s="146"/>
      <c r="I856" s="150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</row>
    <row r="857" ht="12.75" customHeight="1" spans="1:26">
      <c r="A857" s="146"/>
      <c r="B857" s="146"/>
      <c r="C857" s="146"/>
      <c r="D857" s="146"/>
      <c r="E857" s="146"/>
      <c r="F857" s="146"/>
      <c r="G857" s="146"/>
      <c r="H857" s="146"/>
      <c r="I857" s="150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</row>
    <row r="858" ht="12.75" customHeight="1" spans="1:26">
      <c r="A858" s="146"/>
      <c r="B858" s="146"/>
      <c r="C858" s="146"/>
      <c r="D858" s="146"/>
      <c r="E858" s="146"/>
      <c r="F858" s="146"/>
      <c r="G858" s="146"/>
      <c r="H858" s="146"/>
      <c r="I858" s="150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</row>
    <row r="859" ht="12.75" customHeight="1" spans="1:26">
      <c r="A859" s="146"/>
      <c r="B859" s="146"/>
      <c r="C859" s="146"/>
      <c r="D859" s="146"/>
      <c r="E859" s="146"/>
      <c r="F859" s="146"/>
      <c r="G859" s="146"/>
      <c r="H859" s="146"/>
      <c r="I859" s="150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</row>
    <row r="860" ht="12.75" customHeight="1" spans="1:26">
      <c r="A860" s="146"/>
      <c r="B860" s="146"/>
      <c r="C860" s="146"/>
      <c r="D860" s="146"/>
      <c r="E860" s="146"/>
      <c r="F860" s="146"/>
      <c r="G860" s="146"/>
      <c r="H860" s="146"/>
      <c r="I860" s="150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</row>
    <row r="861" ht="12.75" customHeight="1" spans="1:26">
      <c r="A861" s="146"/>
      <c r="B861" s="146"/>
      <c r="C861" s="146"/>
      <c r="D861" s="146"/>
      <c r="E861" s="146"/>
      <c r="F861" s="146"/>
      <c r="G861" s="146"/>
      <c r="H861" s="146"/>
      <c r="I861" s="150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</row>
    <row r="862" ht="12.75" customHeight="1" spans="1:26">
      <c r="A862" s="146"/>
      <c r="B862" s="146"/>
      <c r="C862" s="146"/>
      <c r="D862" s="146"/>
      <c r="E862" s="146"/>
      <c r="F862" s="146"/>
      <c r="G862" s="146"/>
      <c r="H862" s="146"/>
      <c r="I862" s="150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</row>
    <row r="863" ht="12.75" customHeight="1" spans="1:26">
      <c r="A863" s="146"/>
      <c r="B863" s="146"/>
      <c r="C863" s="146"/>
      <c r="D863" s="146"/>
      <c r="E863" s="146"/>
      <c r="F863" s="146"/>
      <c r="G863" s="146"/>
      <c r="H863" s="146"/>
      <c r="I863" s="150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</row>
    <row r="864" ht="12.75" customHeight="1" spans="1:26">
      <c r="A864" s="146"/>
      <c r="B864" s="146"/>
      <c r="C864" s="146"/>
      <c r="D864" s="146"/>
      <c r="E864" s="146"/>
      <c r="F864" s="146"/>
      <c r="G864" s="146"/>
      <c r="H864" s="146"/>
      <c r="I864" s="150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</row>
    <row r="865" ht="12.75" customHeight="1" spans="1:26">
      <c r="A865" s="146"/>
      <c r="B865" s="146"/>
      <c r="C865" s="146"/>
      <c r="D865" s="146"/>
      <c r="E865" s="146"/>
      <c r="F865" s="146"/>
      <c r="G865" s="146"/>
      <c r="H865" s="146"/>
      <c r="I865" s="150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</row>
    <row r="866" ht="12.75" customHeight="1" spans="1:26">
      <c r="A866" s="146"/>
      <c r="B866" s="146"/>
      <c r="C866" s="146"/>
      <c r="D866" s="146"/>
      <c r="E866" s="146"/>
      <c r="F866" s="146"/>
      <c r="G866" s="146"/>
      <c r="H866" s="146"/>
      <c r="I866" s="150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</row>
    <row r="867" ht="12.75" customHeight="1" spans="1:26">
      <c r="A867" s="146"/>
      <c r="B867" s="146"/>
      <c r="C867" s="146"/>
      <c r="D867" s="146"/>
      <c r="E867" s="146"/>
      <c r="F867" s="146"/>
      <c r="G867" s="146"/>
      <c r="H867" s="146"/>
      <c r="I867" s="150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</row>
    <row r="868" ht="12.75" customHeight="1" spans="1:26">
      <c r="A868" s="146"/>
      <c r="B868" s="146"/>
      <c r="C868" s="146"/>
      <c r="D868" s="146"/>
      <c r="E868" s="146"/>
      <c r="F868" s="146"/>
      <c r="G868" s="146"/>
      <c r="H868" s="146"/>
      <c r="I868" s="150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 G8:G15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67"/>
  <sheetViews>
    <sheetView workbookViewId="0">
      <pane ySplit="8" topLeftCell="A9" activePane="bottomLeft" state="frozen"/>
      <selection/>
      <selection pane="bottomLeft" activeCell="D11" sqref="D11"/>
    </sheetView>
  </sheetViews>
  <sheetFormatPr defaultColWidth="12.6333333333333" defaultRowHeight="15" customHeight="1"/>
  <cols>
    <col min="1" max="1" width="21.75" style="53" customWidth="1"/>
    <col min="2" max="2" width="19.1333333333333" style="53" customWidth="1"/>
    <col min="3" max="3" width="25.6333333333333" style="53" customWidth="1"/>
    <col min="4" max="4" width="28.5" style="53" customWidth="1"/>
    <col min="5" max="5" width="28.1333333333333" style="53" customWidth="1"/>
    <col min="6" max="6" width="28.3833333333333" style="53" customWidth="1"/>
    <col min="7" max="7" width="9" style="53" customWidth="1"/>
    <col min="8" max="8" width="17.6333333333333" style="53" customWidth="1"/>
    <col min="9" max="9" width="8.13333333333333" style="53" customWidth="1"/>
    <col min="10" max="10" width="3.88333333333333" style="53" hidden="1" customWidth="1"/>
    <col min="11" max="26" width="10" style="53" customWidth="1"/>
    <col min="27" max="16384" width="12.6333333333333" style="53"/>
  </cols>
  <sheetData>
    <row r="1" ht="12.75" customHeight="1" spans="1:26">
      <c r="A1" s="54"/>
      <c r="B1" s="55"/>
      <c r="C1" s="55"/>
      <c r="D1" s="55"/>
      <c r="E1" s="55"/>
      <c r="F1" s="56"/>
      <c r="G1" s="57"/>
      <c r="H1" s="58"/>
      <c r="I1" s="8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customHeight="1" spans="1:26">
      <c r="A2" s="59" t="s">
        <v>54</v>
      </c>
      <c r="B2" s="60" t="s">
        <v>46</v>
      </c>
      <c r="C2" s="61"/>
      <c r="D2" s="61"/>
      <c r="E2" s="61"/>
      <c r="F2" s="62"/>
      <c r="G2" s="58"/>
      <c r="H2" s="58"/>
      <c r="I2" s="86"/>
      <c r="J2" s="76" t="s">
        <v>55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5.5" customHeight="1" spans="1:26">
      <c r="A3" s="63" t="s">
        <v>56</v>
      </c>
      <c r="B3" s="60" t="s">
        <v>163</v>
      </c>
      <c r="C3" s="61"/>
      <c r="D3" s="61"/>
      <c r="E3" s="61"/>
      <c r="F3" s="62"/>
      <c r="G3" s="58"/>
      <c r="H3" s="58"/>
      <c r="I3" s="86"/>
      <c r="J3" s="76" t="s">
        <v>58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8" customHeight="1" spans="1:26">
      <c r="A4" s="59" t="s">
        <v>59</v>
      </c>
      <c r="B4" s="64" t="s">
        <v>44</v>
      </c>
      <c r="C4" s="65"/>
      <c r="D4" s="65"/>
      <c r="E4" s="65"/>
      <c r="F4" s="66"/>
      <c r="G4" s="58"/>
      <c r="H4" s="58"/>
      <c r="I4" s="86"/>
      <c r="J4" s="87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9.5" customHeight="1" spans="1:26">
      <c r="A5" s="67" t="s">
        <v>55</v>
      </c>
      <c r="B5" s="68" t="s">
        <v>58</v>
      </c>
      <c r="C5" s="68" t="s">
        <v>60</v>
      </c>
      <c r="D5" s="69" t="s">
        <v>61</v>
      </c>
      <c r="E5" s="69" t="s">
        <v>62</v>
      </c>
      <c r="F5" s="62"/>
      <c r="G5" s="70"/>
      <c r="H5" s="70"/>
      <c r="I5" s="88"/>
      <c r="J5" s="76" t="s">
        <v>63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customHeight="1" spans="1:26">
      <c r="A6" s="71">
        <f>COUNTIF(F10:G865,"Pass")</f>
        <v>1</v>
      </c>
      <c r="B6" s="72">
        <f>COUNTIF(F10:G865,"Fail")</f>
        <v>2</v>
      </c>
      <c r="C6" s="72">
        <f>E6-D6-B6-A6</f>
        <v>1</v>
      </c>
      <c r="D6" s="73">
        <f>COUNTIF(F$9:F$865,"N/A")</f>
        <v>0</v>
      </c>
      <c r="E6" s="74">
        <f>COUNTA(A9:A865)</f>
        <v>4</v>
      </c>
      <c r="F6" s="75"/>
      <c r="G6" s="70"/>
      <c r="H6" s="70"/>
      <c r="I6" s="88"/>
      <c r="J6" s="76" t="s">
        <v>61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customHeight="1" spans="1:26">
      <c r="A7" s="76"/>
      <c r="B7" s="76"/>
      <c r="C7" s="76"/>
      <c r="D7" s="77"/>
      <c r="E7" s="77"/>
      <c r="F7" s="70"/>
      <c r="G7" s="70"/>
      <c r="H7" s="70"/>
      <c r="I7" s="88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5.5" customHeight="1" spans="1:26">
      <c r="A8" s="118" t="s">
        <v>64</v>
      </c>
      <c r="B8" s="118" t="s">
        <v>65</v>
      </c>
      <c r="C8" s="118" t="s">
        <v>66</v>
      </c>
      <c r="D8" s="118" t="s">
        <v>67</v>
      </c>
      <c r="E8" s="118" t="s">
        <v>68</v>
      </c>
      <c r="F8" s="118" t="s">
        <v>69</v>
      </c>
      <c r="G8" s="118" t="s">
        <v>70</v>
      </c>
      <c r="H8" s="118" t="s">
        <v>71</v>
      </c>
      <c r="I8" s="118" t="s">
        <v>72</v>
      </c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3.5" spans="1:26">
      <c r="A9" s="119"/>
      <c r="B9" s="119" t="s">
        <v>73</v>
      </c>
      <c r="C9" s="119"/>
      <c r="D9" s="119"/>
      <c r="E9" s="119"/>
      <c r="F9" s="119"/>
      <c r="G9" s="119"/>
      <c r="H9" s="119"/>
      <c r="I9" s="119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51" spans="1:26">
      <c r="A10" s="120" t="str">
        <f>IF(OR(B10&lt;&gt;"",E10&lt;&gt;""),"["&amp;TEXT($B$2,"##")&amp;"-"&amp;TEXT(ROW()-9,"##")&amp;"]","")</f>
        <v>[M_them_quan_huyen-1]</v>
      </c>
      <c r="B10" s="120" t="s">
        <v>164</v>
      </c>
      <c r="C10" s="120"/>
      <c r="D10" s="120" t="s">
        <v>165</v>
      </c>
      <c r="E10" s="120" t="s">
        <v>166</v>
      </c>
      <c r="F10" s="121"/>
      <c r="G10" s="120" t="s">
        <v>58</v>
      </c>
      <c r="H10" s="84">
        <v>45992</v>
      </c>
      <c r="I10" s="120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54" customHeight="1" spans="1:26">
      <c r="A11" s="120" t="str">
        <f>IF(OR(B11&lt;&gt;"",E11&lt;&gt;""),"["&amp;TEXT($B$2,"##")&amp;"-"&amp;TEXT(ROW()-9,"##")&amp;"]","")</f>
        <v>[M_them_quan_huyen-2]</v>
      </c>
      <c r="B11" s="120" t="s">
        <v>167</v>
      </c>
      <c r="C11" s="120"/>
      <c r="D11" s="120" t="s">
        <v>168</v>
      </c>
      <c r="E11" s="120" t="s">
        <v>169</v>
      </c>
      <c r="F11" s="121" t="s">
        <v>170</v>
      </c>
      <c r="G11" s="120" t="s">
        <v>58</v>
      </c>
      <c r="H11" s="84">
        <v>45992</v>
      </c>
      <c r="I11" s="120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3.5" spans="1:26">
      <c r="A12" s="119"/>
      <c r="B12" s="119" t="s">
        <v>80</v>
      </c>
      <c r="C12" s="119"/>
      <c r="D12" s="119"/>
      <c r="E12" s="119"/>
      <c r="F12" s="119"/>
      <c r="G12" s="119"/>
      <c r="H12" s="119"/>
      <c r="I12" s="119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38.25" spans="1:26">
      <c r="A13" s="120" t="str">
        <f>IF(OR(B13&lt;&gt;"",E13&lt;&gt;""),"["&amp;TEXT($B$2,"##")&amp;"-"&amp;TEXT(ROW()-10,"##")&amp;"]","")</f>
        <v>[M_them_quan_huyen-3]</v>
      </c>
      <c r="B13" s="120" t="s">
        <v>171</v>
      </c>
      <c r="C13" s="120" t="s">
        <v>172</v>
      </c>
      <c r="D13" s="120" t="s">
        <v>173</v>
      </c>
      <c r="E13" s="120" t="s">
        <v>174</v>
      </c>
      <c r="F13" s="121"/>
      <c r="G13" s="122" t="s">
        <v>55</v>
      </c>
      <c r="H13" s="84">
        <v>45992</v>
      </c>
      <c r="I13" s="124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38.25" spans="1:26">
      <c r="A14" s="120" t="str">
        <f>IF(OR(B14&lt;&gt;"",E14&lt;&gt;""),"["&amp;TEXT($B$2,"##")&amp;"-"&amp;TEXT(ROW()-10,"##")&amp;"]","")</f>
        <v>[M_them_quan_huyen-4]</v>
      </c>
      <c r="B14" s="120" t="s">
        <v>175</v>
      </c>
      <c r="C14" s="120" t="s">
        <v>176</v>
      </c>
      <c r="D14" s="120" t="s">
        <v>177</v>
      </c>
      <c r="E14" s="120" t="s">
        <v>178</v>
      </c>
      <c r="F14" s="123" t="s">
        <v>179</v>
      </c>
      <c r="G14" s="120" t="s">
        <v>63</v>
      </c>
      <c r="H14" s="84">
        <v>45992</v>
      </c>
      <c r="I14" s="120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12.75" customHeight="1" spans="1:26">
      <c r="A15" s="85"/>
      <c r="B15" s="85"/>
      <c r="C15" s="85"/>
      <c r="D15" s="85"/>
      <c r="E15" s="85"/>
      <c r="F15" s="85"/>
      <c r="G15" s="85"/>
      <c r="H15" s="85"/>
      <c r="I15" s="91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12.75" customHeight="1" spans="1:26">
      <c r="A16" s="85"/>
      <c r="B16" s="85"/>
      <c r="C16" s="85"/>
      <c r="D16" s="85"/>
      <c r="E16" s="85"/>
      <c r="F16" s="85"/>
      <c r="G16" s="85"/>
      <c r="H16" s="85"/>
      <c r="I16" s="91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12.75" customHeight="1" spans="1:26">
      <c r="A17" s="85"/>
      <c r="B17" s="85"/>
      <c r="C17" s="85"/>
      <c r="D17" s="85"/>
      <c r="E17" s="85"/>
      <c r="F17" s="85"/>
      <c r="G17" s="85"/>
      <c r="H17" s="85"/>
      <c r="I17" s="91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2.75" customHeight="1" spans="1:26">
      <c r="A18" s="85"/>
      <c r="B18" s="85"/>
      <c r="C18" s="85"/>
      <c r="D18" s="85"/>
      <c r="E18" s="85"/>
      <c r="F18" s="85"/>
      <c r="G18" s="85"/>
      <c r="H18" s="85"/>
      <c r="I18" s="91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2.75" customHeight="1" spans="1:26">
      <c r="A19" s="85"/>
      <c r="B19" s="85"/>
      <c r="C19" s="85"/>
      <c r="D19" s="85"/>
      <c r="E19" s="85"/>
      <c r="F19" s="85"/>
      <c r="G19" s="85"/>
      <c r="H19" s="85"/>
      <c r="I19" s="91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2.75" customHeight="1" spans="1:26">
      <c r="A20" s="85"/>
      <c r="B20" s="85"/>
      <c r="C20" s="85"/>
      <c r="D20" s="85"/>
      <c r="E20" s="85"/>
      <c r="F20" s="85"/>
      <c r="G20" s="85"/>
      <c r="H20" s="85"/>
      <c r="I20" s="91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2.75" customHeight="1" spans="1:26">
      <c r="A21" s="85"/>
      <c r="B21" s="85"/>
      <c r="C21" s="85"/>
      <c r="D21" s="85"/>
      <c r="E21" s="85"/>
      <c r="F21" s="85"/>
      <c r="G21" s="85"/>
      <c r="H21" s="85"/>
      <c r="I21" s="91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2.75" customHeight="1" spans="1:26">
      <c r="A22" s="85"/>
      <c r="B22" s="85"/>
      <c r="C22" s="85"/>
      <c r="D22" s="85"/>
      <c r="E22" s="85"/>
      <c r="F22" s="85"/>
      <c r="G22" s="85"/>
      <c r="H22" s="85"/>
      <c r="I22" s="91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2.75" customHeight="1" spans="1:26">
      <c r="A23" s="85"/>
      <c r="B23" s="85"/>
      <c r="C23" s="85"/>
      <c r="D23" s="85"/>
      <c r="E23" s="85"/>
      <c r="F23" s="85"/>
      <c r="G23" s="85"/>
      <c r="H23" s="85"/>
      <c r="I23" s="91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2.75" customHeight="1" spans="1:26">
      <c r="A24" s="85"/>
      <c r="B24" s="85"/>
      <c r="C24" s="85"/>
      <c r="D24" s="85"/>
      <c r="E24" s="85"/>
      <c r="F24" s="85"/>
      <c r="G24" s="85"/>
      <c r="H24" s="85"/>
      <c r="I24" s="91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2.75" customHeight="1" spans="1:26">
      <c r="A25" s="85"/>
      <c r="B25" s="85"/>
      <c r="C25" s="85"/>
      <c r="D25" s="85"/>
      <c r="E25" s="85"/>
      <c r="F25" s="85"/>
      <c r="G25" s="85"/>
      <c r="H25" s="85"/>
      <c r="I25" s="91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2.75" customHeight="1" spans="1:26">
      <c r="A26" s="85"/>
      <c r="B26" s="85"/>
      <c r="C26" s="85"/>
      <c r="D26" s="85"/>
      <c r="E26" s="85"/>
      <c r="F26" s="85"/>
      <c r="G26" s="85"/>
      <c r="H26" s="85"/>
      <c r="I26" s="91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2.75" customHeight="1" spans="1:26">
      <c r="A27" s="85"/>
      <c r="B27" s="85"/>
      <c r="C27" s="85"/>
      <c r="D27" s="85"/>
      <c r="E27" s="85"/>
      <c r="F27" s="85"/>
      <c r="G27" s="85"/>
      <c r="H27" s="85"/>
      <c r="I27" s="91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2.75" customHeight="1" spans="1:26">
      <c r="A28" s="85"/>
      <c r="B28" s="85"/>
      <c r="C28" s="85"/>
      <c r="D28" s="85"/>
      <c r="E28" s="85"/>
      <c r="F28" s="85"/>
      <c r="G28" s="85"/>
      <c r="H28" s="85"/>
      <c r="I28" s="91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2.75" customHeight="1" spans="1:26">
      <c r="A29" s="85"/>
      <c r="B29" s="85"/>
      <c r="C29" s="85"/>
      <c r="D29" s="85"/>
      <c r="E29" s="85"/>
      <c r="F29" s="85"/>
      <c r="G29" s="85"/>
      <c r="H29" s="85"/>
      <c r="I29" s="91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2.75" customHeight="1" spans="1:26">
      <c r="A30" s="85"/>
      <c r="B30" s="85"/>
      <c r="C30" s="85"/>
      <c r="D30" s="85"/>
      <c r="E30" s="85"/>
      <c r="F30" s="85"/>
      <c r="G30" s="85"/>
      <c r="H30" s="85"/>
      <c r="I30" s="91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2.75" customHeight="1" spans="1:26">
      <c r="A31" s="85"/>
      <c r="B31" s="85"/>
      <c r="C31" s="85"/>
      <c r="D31" s="85"/>
      <c r="E31" s="85"/>
      <c r="F31" s="85"/>
      <c r="G31" s="85"/>
      <c r="H31" s="85"/>
      <c r="I31" s="91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2.75" customHeight="1" spans="1:26">
      <c r="A32" s="85"/>
      <c r="B32" s="85"/>
      <c r="C32" s="85"/>
      <c r="D32" s="85"/>
      <c r="E32" s="85"/>
      <c r="F32" s="85"/>
      <c r="G32" s="85"/>
      <c r="H32" s="85"/>
      <c r="I32" s="91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2.75" customHeight="1" spans="1:26">
      <c r="A33" s="85"/>
      <c r="B33" s="85"/>
      <c r="C33" s="85"/>
      <c r="D33" s="85"/>
      <c r="E33" s="85"/>
      <c r="F33" s="85"/>
      <c r="G33" s="85"/>
      <c r="H33" s="85"/>
      <c r="I33" s="91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2.75" customHeight="1" spans="1:26">
      <c r="A34" s="85"/>
      <c r="B34" s="85"/>
      <c r="C34" s="85"/>
      <c r="D34" s="85"/>
      <c r="E34" s="85"/>
      <c r="F34" s="85"/>
      <c r="G34" s="85"/>
      <c r="H34" s="85"/>
      <c r="I34" s="91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2.75" customHeight="1" spans="1:26">
      <c r="A35" s="85"/>
      <c r="B35" s="85"/>
      <c r="C35" s="85"/>
      <c r="D35" s="85"/>
      <c r="E35" s="85"/>
      <c r="F35" s="85"/>
      <c r="G35" s="85"/>
      <c r="H35" s="85"/>
      <c r="I35" s="91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2.75" customHeight="1" spans="1:26">
      <c r="A36" s="85"/>
      <c r="B36" s="85"/>
      <c r="C36" s="85"/>
      <c r="D36" s="85"/>
      <c r="E36" s="85"/>
      <c r="F36" s="85"/>
      <c r="G36" s="85"/>
      <c r="H36" s="85"/>
      <c r="I36" s="91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2.75" customHeight="1" spans="1:26">
      <c r="A37" s="85"/>
      <c r="B37" s="85"/>
      <c r="C37" s="85"/>
      <c r="D37" s="85"/>
      <c r="E37" s="85"/>
      <c r="F37" s="85"/>
      <c r="G37" s="85"/>
      <c r="H37" s="85"/>
      <c r="I37" s="91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2.75" customHeight="1" spans="1:26">
      <c r="A38" s="85"/>
      <c r="B38" s="85"/>
      <c r="C38" s="85"/>
      <c r="D38" s="85"/>
      <c r="E38" s="85"/>
      <c r="F38" s="85"/>
      <c r="G38" s="85"/>
      <c r="H38" s="85"/>
      <c r="I38" s="91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2.75" customHeight="1" spans="1:26">
      <c r="A39" s="85"/>
      <c r="B39" s="85"/>
      <c r="C39" s="85"/>
      <c r="D39" s="85"/>
      <c r="E39" s="85"/>
      <c r="F39" s="85"/>
      <c r="G39" s="85"/>
      <c r="H39" s="85"/>
      <c r="I39" s="91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2.75" customHeight="1" spans="1:26">
      <c r="A40" s="85"/>
      <c r="B40" s="85"/>
      <c r="C40" s="85"/>
      <c r="D40" s="85"/>
      <c r="E40" s="85"/>
      <c r="F40" s="85"/>
      <c r="G40" s="85"/>
      <c r="H40" s="85"/>
      <c r="I40" s="91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2.75" customHeight="1" spans="1:26">
      <c r="A41" s="85"/>
      <c r="B41" s="85"/>
      <c r="C41" s="85"/>
      <c r="D41" s="85"/>
      <c r="E41" s="85"/>
      <c r="F41" s="85"/>
      <c r="G41" s="85"/>
      <c r="H41" s="85"/>
      <c r="I41" s="91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2.75" customHeight="1" spans="1:26">
      <c r="A42" s="85"/>
      <c r="B42" s="85"/>
      <c r="C42" s="85"/>
      <c r="D42" s="85"/>
      <c r="E42" s="85"/>
      <c r="F42" s="85"/>
      <c r="G42" s="85"/>
      <c r="H42" s="85"/>
      <c r="I42" s="91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2.75" customHeight="1" spans="1:26">
      <c r="A43" s="85"/>
      <c r="B43" s="85"/>
      <c r="C43" s="85"/>
      <c r="D43" s="85"/>
      <c r="E43" s="85"/>
      <c r="F43" s="85"/>
      <c r="G43" s="85"/>
      <c r="H43" s="85"/>
      <c r="I43" s="91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2.75" customHeight="1" spans="1:26">
      <c r="A44" s="85"/>
      <c r="B44" s="85"/>
      <c r="C44" s="85"/>
      <c r="D44" s="85"/>
      <c r="E44" s="85"/>
      <c r="F44" s="85"/>
      <c r="G44" s="85"/>
      <c r="H44" s="85"/>
      <c r="I44" s="91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2.75" customHeight="1" spans="1:26">
      <c r="A45" s="85"/>
      <c r="B45" s="85"/>
      <c r="C45" s="85"/>
      <c r="D45" s="85"/>
      <c r="E45" s="85"/>
      <c r="F45" s="85"/>
      <c r="G45" s="85"/>
      <c r="H45" s="85"/>
      <c r="I45" s="91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2.75" customHeight="1" spans="1:26">
      <c r="A46" s="85"/>
      <c r="B46" s="85"/>
      <c r="C46" s="85"/>
      <c r="D46" s="85"/>
      <c r="E46" s="85"/>
      <c r="F46" s="85"/>
      <c r="G46" s="85"/>
      <c r="H46" s="85"/>
      <c r="I46" s="91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2.75" customHeight="1" spans="1:26">
      <c r="A47" s="85"/>
      <c r="B47" s="85"/>
      <c r="C47" s="85"/>
      <c r="D47" s="85"/>
      <c r="E47" s="85"/>
      <c r="F47" s="85"/>
      <c r="G47" s="85"/>
      <c r="H47" s="85"/>
      <c r="I47" s="91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2.75" customHeight="1" spans="1:26">
      <c r="A48" s="85"/>
      <c r="B48" s="85"/>
      <c r="C48" s="85"/>
      <c r="D48" s="85"/>
      <c r="E48" s="85"/>
      <c r="F48" s="85"/>
      <c r="G48" s="85"/>
      <c r="H48" s="85"/>
      <c r="I48" s="91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2.75" customHeight="1" spans="1:26">
      <c r="A49" s="85"/>
      <c r="B49" s="85"/>
      <c r="C49" s="85"/>
      <c r="D49" s="85"/>
      <c r="E49" s="85"/>
      <c r="F49" s="85"/>
      <c r="G49" s="85"/>
      <c r="H49" s="85"/>
      <c r="I49" s="91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2.75" customHeight="1" spans="1:26">
      <c r="A50" s="85"/>
      <c r="B50" s="85"/>
      <c r="C50" s="85"/>
      <c r="D50" s="85"/>
      <c r="E50" s="85"/>
      <c r="F50" s="85"/>
      <c r="G50" s="85"/>
      <c r="H50" s="85"/>
      <c r="I50" s="91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2.75" customHeight="1" spans="1:26">
      <c r="A51" s="85"/>
      <c r="B51" s="85"/>
      <c r="C51" s="85"/>
      <c r="D51" s="85"/>
      <c r="E51" s="85"/>
      <c r="F51" s="85"/>
      <c r="G51" s="85"/>
      <c r="H51" s="85"/>
      <c r="I51" s="91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2.75" customHeight="1" spans="1:26">
      <c r="A52" s="85"/>
      <c r="B52" s="85"/>
      <c r="C52" s="85"/>
      <c r="D52" s="85"/>
      <c r="E52" s="85"/>
      <c r="F52" s="85"/>
      <c r="G52" s="85"/>
      <c r="H52" s="85"/>
      <c r="I52" s="91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2.75" customHeight="1" spans="1:26">
      <c r="A53" s="85"/>
      <c r="B53" s="85"/>
      <c r="C53" s="85"/>
      <c r="D53" s="85"/>
      <c r="E53" s="85"/>
      <c r="F53" s="85"/>
      <c r="G53" s="85"/>
      <c r="H53" s="85"/>
      <c r="I53" s="91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2.75" customHeight="1" spans="1:26">
      <c r="A54" s="85"/>
      <c r="B54" s="85"/>
      <c r="C54" s="85"/>
      <c r="D54" s="85"/>
      <c r="E54" s="85"/>
      <c r="F54" s="85"/>
      <c r="G54" s="85"/>
      <c r="H54" s="85"/>
      <c r="I54" s="91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2.75" customHeight="1" spans="1:26">
      <c r="A55" s="85"/>
      <c r="B55" s="85"/>
      <c r="C55" s="85"/>
      <c r="D55" s="85"/>
      <c r="E55" s="85"/>
      <c r="F55" s="85"/>
      <c r="G55" s="85"/>
      <c r="H55" s="85"/>
      <c r="I55" s="91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2.75" customHeight="1" spans="1:26">
      <c r="A56" s="85"/>
      <c r="B56" s="85"/>
      <c r="C56" s="85"/>
      <c r="D56" s="85"/>
      <c r="E56" s="85"/>
      <c r="F56" s="85"/>
      <c r="G56" s="85"/>
      <c r="H56" s="85"/>
      <c r="I56" s="91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2.75" customHeight="1" spans="1:26">
      <c r="A57" s="85"/>
      <c r="B57" s="85"/>
      <c r="C57" s="85"/>
      <c r="D57" s="85"/>
      <c r="E57" s="85"/>
      <c r="F57" s="85"/>
      <c r="G57" s="85"/>
      <c r="H57" s="85"/>
      <c r="I57" s="91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2.75" customHeight="1" spans="1:26">
      <c r="A58" s="85"/>
      <c r="B58" s="85"/>
      <c r="C58" s="85"/>
      <c r="D58" s="85"/>
      <c r="E58" s="85"/>
      <c r="F58" s="85"/>
      <c r="G58" s="85"/>
      <c r="H58" s="85"/>
      <c r="I58" s="91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2.75" customHeight="1" spans="1:26">
      <c r="A59" s="85"/>
      <c r="B59" s="85"/>
      <c r="C59" s="85"/>
      <c r="D59" s="85"/>
      <c r="E59" s="85"/>
      <c r="F59" s="85"/>
      <c r="G59" s="85"/>
      <c r="H59" s="85"/>
      <c r="I59" s="91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2.75" customHeight="1" spans="1:26">
      <c r="A60" s="85"/>
      <c r="B60" s="85"/>
      <c r="C60" s="85"/>
      <c r="D60" s="85"/>
      <c r="E60" s="85"/>
      <c r="F60" s="85"/>
      <c r="G60" s="85"/>
      <c r="H60" s="85"/>
      <c r="I60" s="91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2.75" customHeight="1" spans="1:26">
      <c r="A61" s="85"/>
      <c r="B61" s="85"/>
      <c r="C61" s="85"/>
      <c r="D61" s="85"/>
      <c r="E61" s="85"/>
      <c r="F61" s="85"/>
      <c r="G61" s="85"/>
      <c r="H61" s="85"/>
      <c r="I61" s="91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2.75" customHeight="1" spans="1:26">
      <c r="A62" s="85"/>
      <c r="B62" s="85"/>
      <c r="C62" s="85"/>
      <c r="D62" s="85"/>
      <c r="E62" s="85"/>
      <c r="F62" s="85"/>
      <c r="G62" s="85"/>
      <c r="H62" s="85"/>
      <c r="I62" s="91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2.75" customHeight="1" spans="1:26">
      <c r="A63" s="85"/>
      <c r="B63" s="85"/>
      <c r="C63" s="85"/>
      <c r="D63" s="85"/>
      <c r="E63" s="85"/>
      <c r="F63" s="85"/>
      <c r="G63" s="85"/>
      <c r="H63" s="85"/>
      <c r="I63" s="91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2.75" customHeight="1" spans="1:26">
      <c r="A64" s="85"/>
      <c r="B64" s="85"/>
      <c r="C64" s="85"/>
      <c r="D64" s="85"/>
      <c r="E64" s="85"/>
      <c r="F64" s="85"/>
      <c r="G64" s="85"/>
      <c r="H64" s="85"/>
      <c r="I64" s="91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2.75" customHeight="1" spans="1:26">
      <c r="A65" s="85"/>
      <c r="B65" s="85"/>
      <c r="C65" s="85"/>
      <c r="D65" s="85"/>
      <c r="E65" s="85"/>
      <c r="F65" s="85"/>
      <c r="G65" s="85"/>
      <c r="H65" s="85"/>
      <c r="I65" s="91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2.75" customHeight="1" spans="1:26">
      <c r="A66" s="85"/>
      <c r="B66" s="85"/>
      <c r="C66" s="85"/>
      <c r="D66" s="85"/>
      <c r="E66" s="85"/>
      <c r="F66" s="85"/>
      <c r="G66" s="85"/>
      <c r="H66" s="85"/>
      <c r="I66" s="91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2.75" customHeight="1" spans="1:26">
      <c r="A67" s="85"/>
      <c r="B67" s="85"/>
      <c r="C67" s="85"/>
      <c r="D67" s="85"/>
      <c r="E67" s="85"/>
      <c r="F67" s="85"/>
      <c r="G67" s="85"/>
      <c r="H67" s="85"/>
      <c r="I67" s="91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2.75" customHeight="1" spans="1:26">
      <c r="A68" s="85"/>
      <c r="B68" s="85"/>
      <c r="C68" s="85"/>
      <c r="D68" s="85"/>
      <c r="E68" s="85"/>
      <c r="F68" s="85"/>
      <c r="G68" s="85"/>
      <c r="H68" s="85"/>
      <c r="I68" s="91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2.75" customHeight="1" spans="1:26">
      <c r="A69" s="85"/>
      <c r="B69" s="85"/>
      <c r="C69" s="85"/>
      <c r="D69" s="85"/>
      <c r="E69" s="85"/>
      <c r="F69" s="85"/>
      <c r="G69" s="85"/>
      <c r="H69" s="85"/>
      <c r="I69" s="91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2.75" customHeight="1" spans="1:26">
      <c r="A70" s="85"/>
      <c r="B70" s="85"/>
      <c r="C70" s="85"/>
      <c r="D70" s="85"/>
      <c r="E70" s="85"/>
      <c r="F70" s="85"/>
      <c r="G70" s="85"/>
      <c r="H70" s="85"/>
      <c r="I70" s="91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2.75" customHeight="1" spans="1:26">
      <c r="A71" s="85"/>
      <c r="B71" s="85"/>
      <c r="C71" s="85"/>
      <c r="D71" s="85"/>
      <c r="E71" s="85"/>
      <c r="F71" s="85"/>
      <c r="G71" s="85"/>
      <c r="H71" s="85"/>
      <c r="I71" s="91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2.75" customHeight="1" spans="1:26">
      <c r="A72" s="85"/>
      <c r="B72" s="85"/>
      <c r="C72" s="85"/>
      <c r="D72" s="85"/>
      <c r="E72" s="85"/>
      <c r="F72" s="85"/>
      <c r="G72" s="85"/>
      <c r="H72" s="85"/>
      <c r="I72" s="91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2.75" customHeight="1" spans="1:26">
      <c r="A73" s="85"/>
      <c r="B73" s="85"/>
      <c r="C73" s="85"/>
      <c r="D73" s="85"/>
      <c r="E73" s="85"/>
      <c r="F73" s="85"/>
      <c r="G73" s="85"/>
      <c r="H73" s="85"/>
      <c r="I73" s="91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2.75" customHeight="1" spans="1:26">
      <c r="A74" s="85"/>
      <c r="B74" s="85"/>
      <c r="C74" s="85"/>
      <c r="D74" s="85"/>
      <c r="E74" s="85"/>
      <c r="F74" s="85"/>
      <c r="G74" s="85"/>
      <c r="H74" s="85"/>
      <c r="I74" s="91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2.75" customHeight="1" spans="1:26">
      <c r="A75" s="85"/>
      <c r="B75" s="85"/>
      <c r="C75" s="85"/>
      <c r="D75" s="85"/>
      <c r="E75" s="85"/>
      <c r="F75" s="85"/>
      <c r="G75" s="85"/>
      <c r="H75" s="85"/>
      <c r="I75" s="91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2.75" customHeight="1" spans="1:26">
      <c r="A76" s="85"/>
      <c r="B76" s="85"/>
      <c r="C76" s="85"/>
      <c r="D76" s="85"/>
      <c r="E76" s="85"/>
      <c r="F76" s="85"/>
      <c r="G76" s="85"/>
      <c r="H76" s="85"/>
      <c r="I76" s="91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2.75" customHeight="1" spans="1:26">
      <c r="A77" s="85"/>
      <c r="B77" s="85"/>
      <c r="C77" s="85"/>
      <c r="D77" s="85"/>
      <c r="E77" s="85"/>
      <c r="F77" s="85"/>
      <c r="G77" s="85"/>
      <c r="H77" s="85"/>
      <c r="I77" s="91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2.75" customHeight="1" spans="1:26">
      <c r="A78" s="85"/>
      <c r="B78" s="85"/>
      <c r="C78" s="85"/>
      <c r="D78" s="85"/>
      <c r="E78" s="85"/>
      <c r="F78" s="85"/>
      <c r="G78" s="85"/>
      <c r="H78" s="85"/>
      <c r="I78" s="91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2.75" customHeight="1" spans="1:26">
      <c r="A79" s="85"/>
      <c r="B79" s="85"/>
      <c r="C79" s="85"/>
      <c r="D79" s="85"/>
      <c r="E79" s="85"/>
      <c r="F79" s="85"/>
      <c r="G79" s="85"/>
      <c r="H79" s="85"/>
      <c r="I79" s="91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2.75" customHeight="1" spans="1:26">
      <c r="A80" s="85"/>
      <c r="B80" s="85"/>
      <c r="C80" s="85"/>
      <c r="D80" s="85"/>
      <c r="E80" s="85"/>
      <c r="F80" s="85"/>
      <c r="G80" s="85"/>
      <c r="H80" s="85"/>
      <c r="I80" s="91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2.75" customHeight="1" spans="1:26">
      <c r="A81" s="85"/>
      <c r="B81" s="85"/>
      <c r="C81" s="85"/>
      <c r="D81" s="85"/>
      <c r="E81" s="85"/>
      <c r="F81" s="85"/>
      <c r="G81" s="85"/>
      <c r="H81" s="85"/>
      <c r="I81" s="91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2.75" customHeight="1" spans="1:26">
      <c r="A82" s="85"/>
      <c r="B82" s="85"/>
      <c r="C82" s="85"/>
      <c r="D82" s="85"/>
      <c r="E82" s="85"/>
      <c r="F82" s="85"/>
      <c r="G82" s="85"/>
      <c r="H82" s="85"/>
      <c r="I82" s="91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2.75" customHeight="1" spans="1:26">
      <c r="A83" s="85"/>
      <c r="B83" s="85"/>
      <c r="C83" s="85"/>
      <c r="D83" s="85"/>
      <c r="E83" s="85"/>
      <c r="F83" s="85"/>
      <c r="G83" s="85"/>
      <c r="H83" s="85"/>
      <c r="I83" s="91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2.75" customHeight="1" spans="1:26">
      <c r="A84" s="85"/>
      <c r="B84" s="85"/>
      <c r="C84" s="85"/>
      <c r="D84" s="85"/>
      <c r="E84" s="85"/>
      <c r="F84" s="85"/>
      <c r="G84" s="85"/>
      <c r="H84" s="85"/>
      <c r="I84" s="91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2.75" customHeight="1" spans="1:26">
      <c r="A85" s="85"/>
      <c r="B85" s="85"/>
      <c r="C85" s="85"/>
      <c r="D85" s="85"/>
      <c r="E85" s="85"/>
      <c r="F85" s="85"/>
      <c r="G85" s="85"/>
      <c r="H85" s="85"/>
      <c r="I85" s="91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2.75" customHeight="1" spans="1:26">
      <c r="A86" s="85"/>
      <c r="B86" s="85"/>
      <c r="C86" s="85"/>
      <c r="D86" s="85"/>
      <c r="E86" s="85"/>
      <c r="F86" s="85"/>
      <c r="G86" s="85"/>
      <c r="H86" s="85"/>
      <c r="I86" s="91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2.75" customHeight="1" spans="1:26">
      <c r="A87" s="85"/>
      <c r="B87" s="85"/>
      <c r="C87" s="85"/>
      <c r="D87" s="85"/>
      <c r="E87" s="85"/>
      <c r="F87" s="85"/>
      <c r="G87" s="85"/>
      <c r="H87" s="85"/>
      <c r="I87" s="91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2.75" customHeight="1" spans="1:26">
      <c r="A88" s="85"/>
      <c r="B88" s="85"/>
      <c r="C88" s="85"/>
      <c r="D88" s="85"/>
      <c r="E88" s="85"/>
      <c r="F88" s="85"/>
      <c r="G88" s="85"/>
      <c r="H88" s="85"/>
      <c r="I88" s="91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2.75" customHeight="1" spans="1:26">
      <c r="A89" s="85"/>
      <c r="B89" s="85"/>
      <c r="C89" s="85"/>
      <c r="D89" s="85"/>
      <c r="E89" s="85"/>
      <c r="F89" s="85"/>
      <c r="G89" s="85"/>
      <c r="H89" s="85"/>
      <c r="I89" s="91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2.75" customHeight="1" spans="1:26">
      <c r="A90" s="85"/>
      <c r="B90" s="85"/>
      <c r="C90" s="85"/>
      <c r="D90" s="85"/>
      <c r="E90" s="85"/>
      <c r="F90" s="85"/>
      <c r="G90" s="85"/>
      <c r="H90" s="85"/>
      <c r="I90" s="91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2.75" customHeight="1" spans="1:26">
      <c r="A91" s="85"/>
      <c r="B91" s="85"/>
      <c r="C91" s="85"/>
      <c r="D91" s="85"/>
      <c r="E91" s="85"/>
      <c r="F91" s="85"/>
      <c r="G91" s="85"/>
      <c r="H91" s="85"/>
      <c r="I91" s="91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2.75" customHeight="1" spans="1:26">
      <c r="A92" s="85"/>
      <c r="B92" s="85"/>
      <c r="C92" s="85"/>
      <c r="D92" s="85"/>
      <c r="E92" s="85"/>
      <c r="F92" s="85"/>
      <c r="G92" s="85"/>
      <c r="H92" s="85"/>
      <c r="I92" s="91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2.75" customHeight="1" spans="1:26">
      <c r="A93" s="85"/>
      <c r="B93" s="85"/>
      <c r="C93" s="85"/>
      <c r="D93" s="85"/>
      <c r="E93" s="85"/>
      <c r="F93" s="85"/>
      <c r="G93" s="85"/>
      <c r="H93" s="85"/>
      <c r="I93" s="91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2.75" customHeight="1" spans="1:26">
      <c r="A94" s="85"/>
      <c r="B94" s="85"/>
      <c r="C94" s="85"/>
      <c r="D94" s="85"/>
      <c r="E94" s="85"/>
      <c r="F94" s="85"/>
      <c r="G94" s="85"/>
      <c r="H94" s="85"/>
      <c r="I94" s="91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2.75" customHeight="1" spans="1:26">
      <c r="A95" s="85"/>
      <c r="B95" s="85"/>
      <c r="C95" s="85"/>
      <c r="D95" s="85"/>
      <c r="E95" s="85"/>
      <c r="F95" s="85"/>
      <c r="G95" s="85"/>
      <c r="H95" s="85"/>
      <c r="I95" s="91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2.75" customHeight="1" spans="1:26">
      <c r="A96" s="85"/>
      <c r="B96" s="85"/>
      <c r="C96" s="85"/>
      <c r="D96" s="85"/>
      <c r="E96" s="85"/>
      <c r="F96" s="85"/>
      <c r="G96" s="85"/>
      <c r="H96" s="85"/>
      <c r="I96" s="91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2.75" customHeight="1" spans="1:26">
      <c r="A97" s="85"/>
      <c r="B97" s="85"/>
      <c r="C97" s="85"/>
      <c r="D97" s="85"/>
      <c r="E97" s="85"/>
      <c r="F97" s="85"/>
      <c r="G97" s="85"/>
      <c r="H97" s="85"/>
      <c r="I97" s="91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2.75" customHeight="1" spans="1:26">
      <c r="A98" s="85"/>
      <c r="B98" s="85"/>
      <c r="C98" s="85"/>
      <c r="D98" s="85"/>
      <c r="E98" s="85"/>
      <c r="F98" s="85"/>
      <c r="G98" s="85"/>
      <c r="H98" s="85"/>
      <c r="I98" s="91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2.75" customHeight="1" spans="1:26">
      <c r="A99" s="85"/>
      <c r="B99" s="85"/>
      <c r="C99" s="85"/>
      <c r="D99" s="85"/>
      <c r="E99" s="85"/>
      <c r="F99" s="85"/>
      <c r="G99" s="85"/>
      <c r="H99" s="85"/>
      <c r="I99" s="91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2.75" customHeight="1" spans="1:26">
      <c r="A100" s="85"/>
      <c r="B100" s="85"/>
      <c r="C100" s="85"/>
      <c r="D100" s="85"/>
      <c r="E100" s="85"/>
      <c r="F100" s="85"/>
      <c r="G100" s="85"/>
      <c r="H100" s="85"/>
      <c r="I100" s="91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2.75" customHeight="1" spans="1:26">
      <c r="A101" s="85"/>
      <c r="B101" s="85"/>
      <c r="C101" s="85"/>
      <c r="D101" s="85"/>
      <c r="E101" s="85"/>
      <c r="F101" s="85"/>
      <c r="G101" s="85"/>
      <c r="H101" s="85"/>
      <c r="I101" s="91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2.75" customHeight="1" spans="1:26">
      <c r="A102" s="85"/>
      <c r="B102" s="85"/>
      <c r="C102" s="85"/>
      <c r="D102" s="85"/>
      <c r="E102" s="85"/>
      <c r="F102" s="85"/>
      <c r="G102" s="85"/>
      <c r="H102" s="85"/>
      <c r="I102" s="91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2.75" customHeight="1" spans="1:26">
      <c r="A103" s="85"/>
      <c r="B103" s="85"/>
      <c r="C103" s="85"/>
      <c r="D103" s="85"/>
      <c r="E103" s="85"/>
      <c r="F103" s="85"/>
      <c r="G103" s="85"/>
      <c r="H103" s="85"/>
      <c r="I103" s="91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2.75" customHeight="1" spans="1:26">
      <c r="A104" s="85"/>
      <c r="B104" s="85"/>
      <c r="C104" s="85"/>
      <c r="D104" s="85"/>
      <c r="E104" s="85"/>
      <c r="F104" s="85"/>
      <c r="G104" s="85"/>
      <c r="H104" s="85"/>
      <c r="I104" s="91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2.75" customHeight="1" spans="1:26">
      <c r="A105" s="85"/>
      <c r="B105" s="85"/>
      <c r="C105" s="85"/>
      <c r="D105" s="85"/>
      <c r="E105" s="85"/>
      <c r="F105" s="85"/>
      <c r="G105" s="85"/>
      <c r="H105" s="85"/>
      <c r="I105" s="91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2.75" customHeight="1" spans="1:26">
      <c r="A106" s="85"/>
      <c r="B106" s="85"/>
      <c r="C106" s="85"/>
      <c r="D106" s="85"/>
      <c r="E106" s="85"/>
      <c r="F106" s="85"/>
      <c r="G106" s="85"/>
      <c r="H106" s="85"/>
      <c r="I106" s="91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2.75" customHeight="1" spans="1:26">
      <c r="A107" s="85"/>
      <c r="B107" s="85"/>
      <c r="C107" s="85"/>
      <c r="D107" s="85"/>
      <c r="E107" s="85"/>
      <c r="F107" s="85"/>
      <c r="G107" s="85"/>
      <c r="H107" s="85"/>
      <c r="I107" s="91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2.75" customHeight="1" spans="1:26">
      <c r="A108" s="85"/>
      <c r="B108" s="85"/>
      <c r="C108" s="85"/>
      <c r="D108" s="85"/>
      <c r="E108" s="85"/>
      <c r="F108" s="85"/>
      <c r="G108" s="85"/>
      <c r="H108" s="85"/>
      <c r="I108" s="91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2.75" customHeight="1" spans="1:26">
      <c r="A109" s="85"/>
      <c r="B109" s="85"/>
      <c r="C109" s="85"/>
      <c r="D109" s="85"/>
      <c r="E109" s="85"/>
      <c r="F109" s="85"/>
      <c r="G109" s="85"/>
      <c r="H109" s="85"/>
      <c r="I109" s="91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2.75" customHeight="1" spans="1:26">
      <c r="A110" s="85"/>
      <c r="B110" s="85"/>
      <c r="C110" s="85"/>
      <c r="D110" s="85"/>
      <c r="E110" s="85"/>
      <c r="F110" s="85"/>
      <c r="G110" s="85"/>
      <c r="H110" s="85"/>
      <c r="I110" s="91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2.75" customHeight="1" spans="1:26">
      <c r="A111" s="85"/>
      <c r="B111" s="85"/>
      <c r="C111" s="85"/>
      <c r="D111" s="85"/>
      <c r="E111" s="85"/>
      <c r="F111" s="85"/>
      <c r="G111" s="85"/>
      <c r="H111" s="85"/>
      <c r="I111" s="91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2.75" customHeight="1" spans="1:26">
      <c r="A112" s="85"/>
      <c r="B112" s="85"/>
      <c r="C112" s="85"/>
      <c r="D112" s="85"/>
      <c r="E112" s="85"/>
      <c r="F112" s="85"/>
      <c r="G112" s="85"/>
      <c r="H112" s="85"/>
      <c r="I112" s="91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2.75" customHeight="1" spans="1:26">
      <c r="A113" s="85"/>
      <c r="B113" s="85"/>
      <c r="C113" s="85"/>
      <c r="D113" s="85"/>
      <c r="E113" s="85"/>
      <c r="F113" s="85"/>
      <c r="G113" s="85"/>
      <c r="H113" s="85"/>
      <c r="I113" s="91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2.75" customHeight="1" spans="1:26">
      <c r="A114" s="85"/>
      <c r="B114" s="85"/>
      <c r="C114" s="85"/>
      <c r="D114" s="85"/>
      <c r="E114" s="85"/>
      <c r="F114" s="85"/>
      <c r="G114" s="85"/>
      <c r="H114" s="85"/>
      <c r="I114" s="91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2.75" customHeight="1" spans="1:26">
      <c r="A115" s="85"/>
      <c r="B115" s="85"/>
      <c r="C115" s="85"/>
      <c r="D115" s="85"/>
      <c r="E115" s="85"/>
      <c r="F115" s="85"/>
      <c r="G115" s="85"/>
      <c r="H115" s="85"/>
      <c r="I115" s="91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2.75" customHeight="1" spans="1:26">
      <c r="A116" s="85"/>
      <c r="B116" s="85"/>
      <c r="C116" s="85"/>
      <c r="D116" s="85"/>
      <c r="E116" s="85"/>
      <c r="F116" s="85"/>
      <c r="G116" s="85"/>
      <c r="H116" s="85"/>
      <c r="I116" s="91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2.75" customHeight="1" spans="1:26">
      <c r="A117" s="85"/>
      <c r="B117" s="85"/>
      <c r="C117" s="85"/>
      <c r="D117" s="85"/>
      <c r="E117" s="85"/>
      <c r="F117" s="85"/>
      <c r="G117" s="85"/>
      <c r="H117" s="85"/>
      <c r="I117" s="91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2.75" customHeight="1" spans="1:26">
      <c r="A118" s="85"/>
      <c r="B118" s="85"/>
      <c r="C118" s="85"/>
      <c r="D118" s="85"/>
      <c r="E118" s="85"/>
      <c r="F118" s="85"/>
      <c r="G118" s="85"/>
      <c r="H118" s="85"/>
      <c r="I118" s="91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2.75" customHeight="1" spans="1:26">
      <c r="A119" s="85"/>
      <c r="B119" s="85"/>
      <c r="C119" s="85"/>
      <c r="D119" s="85"/>
      <c r="E119" s="85"/>
      <c r="F119" s="85"/>
      <c r="G119" s="85"/>
      <c r="H119" s="85"/>
      <c r="I119" s="91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2.75" customHeight="1" spans="1:26">
      <c r="A120" s="85"/>
      <c r="B120" s="85"/>
      <c r="C120" s="85"/>
      <c r="D120" s="85"/>
      <c r="E120" s="85"/>
      <c r="F120" s="85"/>
      <c r="G120" s="85"/>
      <c r="H120" s="85"/>
      <c r="I120" s="91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2.75" customHeight="1" spans="1:26">
      <c r="A121" s="85"/>
      <c r="B121" s="85"/>
      <c r="C121" s="85"/>
      <c r="D121" s="85"/>
      <c r="E121" s="85"/>
      <c r="F121" s="85"/>
      <c r="G121" s="85"/>
      <c r="H121" s="85"/>
      <c r="I121" s="91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2.75" customHeight="1" spans="1:26">
      <c r="A122" s="85"/>
      <c r="B122" s="85"/>
      <c r="C122" s="85"/>
      <c r="D122" s="85"/>
      <c r="E122" s="85"/>
      <c r="F122" s="85"/>
      <c r="G122" s="85"/>
      <c r="H122" s="85"/>
      <c r="I122" s="91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2.75" customHeight="1" spans="1:26">
      <c r="A123" s="85"/>
      <c r="B123" s="85"/>
      <c r="C123" s="85"/>
      <c r="D123" s="85"/>
      <c r="E123" s="85"/>
      <c r="F123" s="85"/>
      <c r="G123" s="85"/>
      <c r="H123" s="85"/>
      <c r="I123" s="91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2.75" customHeight="1" spans="1:26">
      <c r="A124" s="85"/>
      <c r="B124" s="85"/>
      <c r="C124" s="85"/>
      <c r="D124" s="85"/>
      <c r="E124" s="85"/>
      <c r="F124" s="85"/>
      <c r="G124" s="85"/>
      <c r="H124" s="85"/>
      <c r="I124" s="91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2.75" customHeight="1" spans="1:26">
      <c r="A125" s="85"/>
      <c r="B125" s="85"/>
      <c r="C125" s="85"/>
      <c r="D125" s="85"/>
      <c r="E125" s="85"/>
      <c r="F125" s="85"/>
      <c r="G125" s="85"/>
      <c r="H125" s="85"/>
      <c r="I125" s="91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2.75" customHeight="1" spans="1:26">
      <c r="A126" s="85"/>
      <c r="B126" s="85"/>
      <c r="C126" s="85"/>
      <c r="D126" s="85"/>
      <c r="E126" s="85"/>
      <c r="F126" s="85"/>
      <c r="G126" s="85"/>
      <c r="H126" s="85"/>
      <c r="I126" s="91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2.75" customHeight="1" spans="1:26">
      <c r="A127" s="85"/>
      <c r="B127" s="85"/>
      <c r="C127" s="85"/>
      <c r="D127" s="85"/>
      <c r="E127" s="85"/>
      <c r="F127" s="85"/>
      <c r="G127" s="85"/>
      <c r="H127" s="85"/>
      <c r="I127" s="91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2.75" customHeight="1" spans="1:26">
      <c r="A128" s="85"/>
      <c r="B128" s="85"/>
      <c r="C128" s="85"/>
      <c r="D128" s="85"/>
      <c r="E128" s="85"/>
      <c r="F128" s="85"/>
      <c r="G128" s="85"/>
      <c r="H128" s="85"/>
      <c r="I128" s="91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2.75" customHeight="1" spans="1:26">
      <c r="A129" s="85"/>
      <c r="B129" s="85"/>
      <c r="C129" s="85"/>
      <c r="D129" s="85"/>
      <c r="E129" s="85"/>
      <c r="F129" s="85"/>
      <c r="G129" s="85"/>
      <c r="H129" s="85"/>
      <c r="I129" s="91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2.75" customHeight="1" spans="1:26">
      <c r="A130" s="85"/>
      <c r="B130" s="85"/>
      <c r="C130" s="85"/>
      <c r="D130" s="85"/>
      <c r="E130" s="85"/>
      <c r="F130" s="85"/>
      <c r="G130" s="85"/>
      <c r="H130" s="85"/>
      <c r="I130" s="91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2.75" customHeight="1" spans="1:26">
      <c r="A131" s="85"/>
      <c r="B131" s="85"/>
      <c r="C131" s="85"/>
      <c r="D131" s="85"/>
      <c r="E131" s="85"/>
      <c r="F131" s="85"/>
      <c r="G131" s="85"/>
      <c r="H131" s="85"/>
      <c r="I131" s="91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2.75" customHeight="1" spans="1:26">
      <c r="A132" s="85"/>
      <c r="B132" s="85"/>
      <c r="C132" s="85"/>
      <c r="D132" s="85"/>
      <c r="E132" s="85"/>
      <c r="F132" s="85"/>
      <c r="G132" s="85"/>
      <c r="H132" s="85"/>
      <c r="I132" s="91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2.75" customHeight="1" spans="1:26">
      <c r="A133" s="85"/>
      <c r="B133" s="85"/>
      <c r="C133" s="85"/>
      <c r="D133" s="85"/>
      <c r="E133" s="85"/>
      <c r="F133" s="85"/>
      <c r="G133" s="85"/>
      <c r="H133" s="85"/>
      <c r="I133" s="91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2.75" customHeight="1" spans="1:26">
      <c r="A134" s="85"/>
      <c r="B134" s="85"/>
      <c r="C134" s="85"/>
      <c r="D134" s="85"/>
      <c r="E134" s="85"/>
      <c r="F134" s="85"/>
      <c r="G134" s="85"/>
      <c r="H134" s="85"/>
      <c r="I134" s="91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2.75" customHeight="1" spans="1:26">
      <c r="A135" s="85"/>
      <c r="B135" s="85"/>
      <c r="C135" s="85"/>
      <c r="D135" s="85"/>
      <c r="E135" s="85"/>
      <c r="F135" s="85"/>
      <c r="G135" s="85"/>
      <c r="H135" s="85"/>
      <c r="I135" s="91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2.75" customHeight="1" spans="1:26">
      <c r="A136" s="85"/>
      <c r="B136" s="85"/>
      <c r="C136" s="85"/>
      <c r="D136" s="85"/>
      <c r="E136" s="85"/>
      <c r="F136" s="85"/>
      <c r="G136" s="85"/>
      <c r="H136" s="85"/>
      <c r="I136" s="91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2.75" customHeight="1" spans="1:26">
      <c r="A137" s="85"/>
      <c r="B137" s="85"/>
      <c r="C137" s="85"/>
      <c r="D137" s="85"/>
      <c r="E137" s="85"/>
      <c r="F137" s="85"/>
      <c r="G137" s="85"/>
      <c r="H137" s="85"/>
      <c r="I137" s="91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2.75" customHeight="1" spans="1:26">
      <c r="A138" s="85"/>
      <c r="B138" s="85"/>
      <c r="C138" s="85"/>
      <c r="D138" s="85"/>
      <c r="E138" s="85"/>
      <c r="F138" s="85"/>
      <c r="G138" s="85"/>
      <c r="H138" s="85"/>
      <c r="I138" s="91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2.75" customHeight="1" spans="1:26">
      <c r="A139" s="85"/>
      <c r="B139" s="85"/>
      <c r="C139" s="85"/>
      <c r="D139" s="85"/>
      <c r="E139" s="85"/>
      <c r="F139" s="85"/>
      <c r="G139" s="85"/>
      <c r="H139" s="85"/>
      <c r="I139" s="91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2.75" customHeight="1" spans="1:26">
      <c r="A140" s="85"/>
      <c r="B140" s="85"/>
      <c r="C140" s="85"/>
      <c r="D140" s="85"/>
      <c r="E140" s="85"/>
      <c r="F140" s="85"/>
      <c r="G140" s="85"/>
      <c r="H140" s="85"/>
      <c r="I140" s="91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2.75" customHeight="1" spans="1:26">
      <c r="A141" s="85"/>
      <c r="B141" s="85"/>
      <c r="C141" s="85"/>
      <c r="D141" s="85"/>
      <c r="E141" s="85"/>
      <c r="F141" s="85"/>
      <c r="G141" s="85"/>
      <c r="H141" s="85"/>
      <c r="I141" s="91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2.75" customHeight="1" spans="1:26">
      <c r="A142" s="85"/>
      <c r="B142" s="85"/>
      <c r="C142" s="85"/>
      <c r="D142" s="85"/>
      <c r="E142" s="85"/>
      <c r="F142" s="85"/>
      <c r="G142" s="85"/>
      <c r="H142" s="85"/>
      <c r="I142" s="91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2.75" customHeight="1" spans="1:26">
      <c r="A143" s="85"/>
      <c r="B143" s="85"/>
      <c r="C143" s="85"/>
      <c r="D143" s="85"/>
      <c r="E143" s="85"/>
      <c r="F143" s="85"/>
      <c r="G143" s="85"/>
      <c r="H143" s="85"/>
      <c r="I143" s="91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2.75" customHeight="1" spans="1:26">
      <c r="A144" s="85"/>
      <c r="B144" s="85"/>
      <c r="C144" s="85"/>
      <c r="D144" s="85"/>
      <c r="E144" s="85"/>
      <c r="F144" s="85"/>
      <c r="G144" s="85"/>
      <c r="H144" s="85"/>
      <c r="I144" s="91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2.75" customHeight="1" spans="1:26">
      <c r="A145" s="85"/>
      <c r="B145" s="85"/>
      <c r="C145" s="85"/>
      <c r="D145" s="85"/>
      <c r="E145" s="85"/>
      <c r="F145" s="85"/>
      <c r="G145" s="85"/>
      <c r="H145" s="85"/>
      <c r="I145" s="91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2.75" customHeight="1" spans="1:26">
      <c r="A146" s="85"/>
      <c r="B146" s="85"/>
      <c r="C146" s="85"/>
      <c r="D146" s="85"/>
      <c r="E146" s="85"/>
      <c r="F146" s="85"/>
      <c r="G146" s="85"/>
      <c r="H146" s="85"/>
      <c r="I146" s="91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2.75" customHeight="1" spans="1:26">
      <c r="A147" s="85"/>
      <c r="B147" s="85"/>
      <c r="C147" s="85"/>
      <c r="D147" s="85"/>
      <c r="E147" s="85"/>
      <c r="F147" s="85"/>
      <c r="G147" s="85"/>
      <c r="H147" s="85"/>
      <c r="I147" s="91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2.75" customHeight="1" spans="1:26">
      <c r="A148" s="85"/>
      <c r="B148" s="85"/>
      <c r="C148" s="85"/>
      <c r="D148" s="85"/>
      <c r="E148" s="85"/>
      <c r="F148" s="85"/>
      <c r="G148" s="85"/>
      <c r="H148" s="85"/>
      <c r="I148" s="91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2.75" customHeight="1" spans="1:26">
      <c r="A149" s="85"/>
      <c r="B149" s="85"/>
      <c r="C149" s="85"/>
      <c r="D149" s="85"/>
      <c r="E149" s="85"/>
      <c r="F149" s="85"/>
      <c r="G149" s="85"/>
      <c r="H149" s="85"/>
      <c r="I149" s="91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2.75" customHeight="1" spans="1:26">
      <c r="A150" s="85"/>
      <c r="B150" s="85"/>
      <c r="C150" s="85"/>
      <c r="D150" s="85"/>
      <c r="E150" s="85"/>
      <c r="F150" s="85"/>
      <c r="G150" s="85"/>
      <c r="H150" s="85"/>
      <c r="I150" s="91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2.75" customHeight="1" spans="1:26">
      <c r="A151" s="85"/>
      <c r="B151" s="85"/>
      <c r="C151" s="85"/>
      <c r="D151" s="85"/>
      <c r="E151" s="85"/>
      <c r="F151" s="85"/>
      <c r="G151" s="85"/>
      <c r="H151" s="85"/>
      <c r="I151" s="91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2.75" customHeight="1" spans="1:26">
      <c r="A152" s="85"/>
      <c r="B152" s="85"/>
      <c r="C152" s="85"/>
      <c r="D152" s="85"/>
      <c r="E152" s="85"/>
      <c r="F152" s="85"/>
      <c r="G152" s="85"/>
      <c r="H152" s="85"/>
      <c r="I152" s="91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2.75" customHeight="1" spans="1:26">
      <c r="A153" s="85"/>
      <c r="B153" s="85"/>
      <c r="C153" s="85"/>
      <c r="D153" s="85"/>
      <c r="E153" s="85"/>
      <c r="F153" s="85"/>
      <c r="G153" s="85"/>
      <c r="H153" s="85"/>
      <c r="I153" s="91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2.75" customHeight="1" spans="1:26">
      <c r="A154" s="85"/>
      <c r="B154" s="85"/>
      <c r="C154" s="85"/>
      <c r="D154" s="85"/>
      <c r="E154" s="85"/>
      <c r="F154" s="85"/>
      <c r="G154" s="85"/>
      <c r="H154" s="85"/>
      <c r="I154" s="91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2.75" customHeight="1" spans="1:26">
      <c r="A155" s="85"/>
      <c r="B155" s="85"/>
      <c r="C155" s="85"/>
      <c r="D155" s="85"/>
      <c r="E155" s="85"/>
      <c r="F155" s="85"/>
      <c r="G155" s="85"/>
      <c r="H155" s="85"/>
      <c r="I155" s="91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2.75" customHeight="1" spans="1:26">
      <c r="A156" s="85"/>
      <c r="B156" s="85"/>
      <c r="C156" s="85"/>
      <c r="D156" s="85"/>
      <c r="E156" s="85"/>
      <c r="F156" s="85"/>
      <c r="G156" s="85"/>
      <c r="H156" s="85"/>
      <c r="I156" s="91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2.75" customHeight="1" spans="1:26">
      <c r="A157" s="85"/>
      <c r="B157" s="85"/>
      <c r="C157" s="85"/>
      <c r="D157" s="85"/>
      <c r="E157" s="85"/>
      <c r="F157" s="85"/>
      <c r="G157" s="85"/>
      <c r="H157" s="85"/>
      <c r="I157" s="91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2.75" customHeight="1" spans="1:26">
      <c r="A158" s="85"/>
      <c r="B158" s="85"/>
      <c r="C158" s="85"/>
      <c r="D158" s="85"/>
      <c r="E158" s="85"/>
      <c r="F158" s="85"/>
      <c r="G158" s="85"/>
      <c r="H158" s="85"/>
      <c r="I158" s="91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2.75" customHeight="1" spans="1:26">
      <c r="A159" s="85"/>
      <c r="B159" s="85"/>
      <c r="C159" s="85"/>
      <c r="D159" s="85"/>
      <c r="E159" s="85"/>
      <c r="F159" s="85"/>
      <c r="G159" s="85"/>
      <c r="H159" s="85"/>
      <c r="I159" s="91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2.75" customHeight="1" spans="1:26">
      <c r="A160" s="85"/>
      <c r="B160" s="85"/>
      <c r="C160" s="85"/>
      <c r="D160" s="85"/>
      <c r="E160" s="85"/>
      <c r="F160" s="85"/>
      <c r="G160" s="85"/>
      <c r="H160" s="85"/>
      <c r="I160" s="91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2.75" customHeight="1" spans="1:26">
      <c r="A161" s="85"/>
      <c r="B161" s="85"/>
      <c r="C161" s="85"/>
      <c r="D161" s="85"/>
      <c r="E161" s="85"/>
      <c r="F161" s="85"/>
      <c r="G161" s="85"/>
      <c r="H161" s="85"/>
      <c r="I161" s="91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2.75" customHeight="1" spans="1:26">
      <c r="A162" s="85"/>
      <c r="B162" s="85"/>
      <c r="C162" s="85"/>
      <c r="D162" s="85"/>
      <c r="E162" s="85"/>
      <c r="F162" s="85"/>
      <c r="G162" s="85"/>
      <c r="H162" s="85"/>
      <c r="I162" s="91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2.75" customHeight="1" spans="1:26">
      <c r="A163" s="85"/>
      <c r="B163" s="85"/>
      <c r="C163" s="85"/>
      <c r="D163" s="85"/>
      <c r="E163" s="85"/>
      <c r="F163" s="85"/>
      <c r="G163" s="85"/>
      <c r="H163" s="85"/>
      <c r="I163" s="91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2.75" customHeight="1" spans="1:26">
      <c r="A164" s="85"/>
      <c r="B164" s="85"/>
      <c r="C164" s="85"/>
      <c r="D164" s="85"/>
      <c r="E164" s="85"/>
      <c r="F164" s="85"/>
      <c r="G164" s="85"/>
      <c r="H164" s="85"/>
      <c r="I164" s="91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2.75" customHeight="1" spans="1:26">
      <c r="A165" s="85"/>
      <c r="B165" s="85"/>
      <c r="C165" s="85"/>
      <c r="D165" s="85"/>
      <c r="E165" s="85"/>
      <c r="F165" s="85"/>
      <c r="G165" s="85"/>
      <c r="H165" s="85"/>
      <c r="I165" s="91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2.75" customHeight="1" spans="1:26">
      <c r="A166" s="85"/>
      <c r="B166" s="85"/>
      <c r="C166" s="85"/>
      <c r="D166" s="85"/>
      <c r="E166" s="85"/>
      <c r="F166" s="85"/>
      <c r="G166" s="85"/>
      <c r="H166" s="85"/>
      <c r="I166" s="91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2.75" customHeight="1" spans="1:26">
      <c r="A167" s="85"/>
      <c r="B167" s="85"/>
      <c r="C167" s="85"/>
      <c r="D167" s="85"/>
      <c r="E167" s="85"/>
      <c r="F167" s="85"/>
      <c r="G167" s="85"/>
      <c r="H167" s="85"/>
      <c r="I167" s="91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2.75" customHeight="1" spans="1:26">
      <c r="A168" s="85"/>
      <c r="B168" s="85"/>
      <c r="C168" s="85"/>
      <c r="D168" s="85"/>
      <c r="E168" s="85"/>
      <c r="F168" s="85"/>
      <c r="G168" s="85"/>
      <c r="H168" s="85"/>
      <c r="I168" s="91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2.75" customHeight="1" spans="1:26">
      <c r="A169" s="85"/>
      <c r="B169" s="85"/>
      <c r="C169" s="85"/>
      <c r="D169" s="85"/>
      <c r="E169" s="85"/>
      <c r="F169" s="85"/>
      <c r="G169" s="85"/>
      <c r="H169" s="85"/>
      <c r="I169" s="91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2.75" customHeight="1" spans="1:26">
      <c r="A170" s="85"/>
      <c r="B170" s="85"/>
      <c r="C170" s="85"/>
      <c r="D170" s="85"/>
      <c r="E170" s="85"/>
      <c r="F170" s="85"/>
      <c r="G170" s="85"/>
      <c r="H170" s="85"/>
      <c r="I170" s="91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2.75" customHeight="1" spans="1:26">
      <c r="A171" s="85"/>
      <c r="B171" s="85"/>
      <c r="C171" s="85"/>
      <c r="D171" s="85"/>
      <c r="E171" s="85"/>
      <c r="F171" s="85"/>
      <c r="G171" s="85"/>
      <c r="H171" s="85"/>
      <c r="I171" s="91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2.75" customHeight="1" spans="1:26">
      <c r="A172" s="85"/>
      <c r="B172" s="85"/>
      <c r="C172" s="85"/>
      <c r="D172" s="85"/>
      <c r="E172" s="85"/>
      <c r="F172" s="85"/>
      <c r="G172" s="85"/>
      <c r="H172" s="85"/>
      <c r="I172" s="91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2.75" customHeight="1" spans="1:26">
      <c r="A173" s="85"/>
      <c r="B173" s="85"/>
      <c r="C173" s="85"/>
      <c r="D173" s="85"/>
      <c r="E173" s="85"/>
      <c r="F173" s="85"/>
      <c r="G173" s="85"/>
      <c r="H173" s="85"/>
      <c r="I173" s="91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2.75" customHeight="1" spans="1:26">
      <c r="A174" s="85"/>
      <c r="B174" s="85"/>
      <c r="C174" s="85"/>
      <c r="D174" s="85"/>
      <c r="E174" s="85"/>
      <c r="F174" s="85"/>
      <c r="G174" s="85"/>
      <c r="H174" s="85"/>
      <c r="I174" s="91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2.75" customHeight="1" spans="1:26">
      <c r="A175" s="85"/>
      <c r="B175" s="85"/>
      <c r="C175" s="85"/>
      <c r="D175" s="85"/>
      <c r="E175" s="85"/>
      <c r="F175" s="85"/>
      <c r="G175" s="85"/>
      <c r="H175" s="85"/>
      <c r="I175" s="91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2.75" customHeight="1" spans="1:26">
      <c r="A176" s="85"/>
      <c r="B176" s="85"/>
      <c r="C176" s="85"/>
      <c r="D176" s="85"/>
      <c r="E176" s="85"/>
      <c r="F176" s="85"/>
      <c r="G176" s="85"/>
      <c r="H176" s="85"/>
      <c r="I176" s="91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2.75" customHeight="1" spans="1:26">
      <c r="A177" s="85"/>
      <c r="B177" s="85"/>
      <c r="C177" s="85"/>
      <c r="D177" s="85"/>
      <c r="E177" s="85"/>
      <c r="F177" s="85"/>
      <c r="G177" s="85"/>
      <c r="H177" s="85"/>
      <c r="I177" s="91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2.75" customHeight="1" spans="1:26">
      <c r="A178" s="85"/>
      <c r="B178" s="85"/>
      <c r="C178" s="85"/>
      <c r="D178" s="85"/>
      <c r="E178" s="85"/>
      <c r="F178" s="85"/>
      <c r="G178" s="85"/>
      <c r="H178" s="85"/>
      <c r="I178" s="91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2.75" customHeight="1" spans="1:26">
      <c r="A179" s="85"/>
      <c r="B179" s="85"/>
      <c r="C179" s="85"/>
      <c r="D179" s="85"/>
      <c r="E179" s="85"/>
      <c r="F179" s="85"/>
      <c r="G179" s="85"/>
      <c r="H179" s="85"/>
      <c r="I179" s="91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2.75" customHeight="1" spans="1:26">
      <c r="A180" s="85"/>
      <c r="B180" s="85"/>
      <c r="C180" s="85"/>
      <c r="D180" s="85"/>
      <c r="E180" s="85"/>
      <c r="F180" s="85"/>
      <c r="G180" s="85"/>
      <c r="H180" s="85"/>
      <c r="I180" s="91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2.75" customHeight="1" spans="1:26">
      <c r="A181" s="85"/>
      <c r="B181" s="85"/>
      <c r="C181" s="85"/>
      <c r="D181" s="85"/>
      <c r="E181" s="85"/>
      <c r="F181" s="85"/>
      <c r="G181" s="85"/>
      <c r="H181" s="85"/>
      <c r="I181" s="91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2.75" customHeight="1" spans="1:26">
      <c r="A182" s="85"/>
      <c r="B182" s="85"/>
      <c r="C182" s="85"/>
      <c r="D182" s="85"/>
      <c r="E182" s="85"/>
      <c r="F182" s="85"/>
      <c r="G182" s="85"/>
      <c r="H182" s="85"/>
      <c r="I182" s="91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2.75" customHeight="1" spans="1:26">
      <c r="A183" s="85"/>
      <c r="B183" s="85"/>
      <c r="C183" s="85"/>
      <c r="D183" s="85"/>
      <c r="E183" s="85"/>
      <c r="F183" s="85"/>
      <c r="G183" s="85"/>
      <c r="H183" s="85"/>
      <c r="I183" s="91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2.75" customHeight="1" spans="1:26">
      <c r="A184" s="85"/>
      <c r="B184" s="85"/>
      <c r="C184" s="85"/>
      <c r="D184" s="85"/>
      <c r="E184" s="85"/>
      <c r="F184" s="85"/>
      <c r="G184" s="85"/>
      <c r="H184" s="85"/>
      <c r="I184" s="91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2.75" customHeight="1" spans="1:26">
      <c r="A185" s="85"/>
      <c r="B185" s="85"/>
      <c r="C185" s="85"/>
      <c r="D185" s="85"/>
      <c r="E185" s="85"/>
      <c r="F185" s="85"/>
      <c r="G185" s="85"/>
      <c r="H185" s="85"/>
      <c r="I185" s="91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2.75" customHeight="1" spans="1:26">
      <c r="A186" s="85"/>
      <c r="B186" s="85"/>
      <c r="C186" s="85"/>
      <c r="D186" s="85"/>
      <c r="E186" s="85"/>
      <c r="F186" s="85"/>
      <c r="G186" s="85"/>
      <c r="H186" s="85"/>
      <c r="I186" s="91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2.75" customHeight="1" spans="1:26">
      <c r="A187" s="85"/>
      <c r="B187" s="85"/>
      <c r="C187" s="85"/>
      <c r="D187" s="85"/>
      <c r="E187" s="85"/>
      <c r="F187" s="85"/>
      <c r="G187" s="85"/>
      <c r="H187" s="85"/>
      <c r="I187" s="91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2.75" customHeight="1" spans="1:26">
      <c r="A188" s="85"/>
      <c r="B188" s="85"/>
      <c r="C188" s="85"/>
      <c r="D188" s="85"/>
      <c r="E188" s="85"/>
      <c r="F188" s="85"/>
      <c r="G188" s="85"/>
      <c r="H188" s="85"/>
      <c r="I188" s="91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2.75" customHeight="1" spans="1:26">
      <c r="A189" s="85"/>
      <c r="B189" s="85"/>
      <c r="C189" s="85"/>
      <c r="D189" s="85"/>
      <c r="E189" s="85"/>
      <c r="F189" s="85"/>
      <c r="G189" s="85"/>
      <c r="H189" s="85"/>
      <c r="I189" s="91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2.75" customHeight="1" spans="1:26">
      <c r="A190" s="85"/>
      <c r="B190" s="85"/>
      <c r="C190" s="85"/>
      <c r="D190" s="85"/>
      <c r="E190" s="85"/>
      <c r="F190" s="85"/>
      <c r="G190" s="85"/>
      <c r="H190" s="85"/>
      <c r="I190" s="91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2.75" customHeight="1" spans="1:26">
      <c r="A191" s="85"/>
      <c r="B191" s="85"/>
      <c r="C191" s="85"/>
      <c r="D191" s="85"/>
      <c r="E191" s="85"/>
      <c r="F191" s="85"/>
      <c r="G191" s="85"/>
      <c r="H191" s="85"/>
      <c r="I191" s="91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2.75" customHeight="1" spans="1:26">
      <c r="A192" s="85"/>
      <c r="B192" s="85"/>
      <c r="C192" s="85"/>
      <c r="D192" s="85"/>
      <c r="E192" s="85"/>
      <c r="F192" s="85"/>
      <c r="G192" s="85"/>
      <c r="H192" s="85"/>
      <c r="I192" s="91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2.75" customHeight="1" spans="1:26">
      <c r="A193" s="85"/>
      <c r="B193" s="85"/>
      <c r="C193" s="85"/>
      <c r="D193" s="85"/>
      <c r="E193" s="85"/>
      <c r="F193" s="85"/>
      <c r="G193" s="85"/>
      <c r="H193" s="85"/>
      <c r="I193" s="91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2.75" customHeight="1" spans="1:26">
      <c r="A194" s="85"/>
      <c r="B194" s="85"/>
      <c r="C194" s="85"/>
      <c r="D194" s="85"/>
      <c r="E194" s="85"/>
      <c r="F194" s="85"/>
      <c r="G194" s="85"/>
      <c r="H194" s="85"/>
      <c r="I194" s="91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2.75" customHeight="1" spans="1:26">
      <c r="A195" s="85"/>
      <c r="B195" s="85"/>
      <c r="C195" s="85"/>
      <c r="D195" s="85"/>
      <c r="E195" s="85"/>
      <c r="F195" s="85"/>
      <c r="G195" s="85"/>
      <c r="H195" s="85"/>
      <c r="I195" s="91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2.75" customHeight="1" spans="1:26">
      <c r="A196" s="85"/>
      <c r="B196" s="85"/>
      <c r="C196" s="85"/>
      <c r="D196" s="85"/>
      <c r="E196" s="85"/>
      <c r="F196" s="85"/>
      <c r="G196" s="85"/>
      <c r="H196" s="85"/>
      <c r="I196" s="91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2.75" customHeight="1" spans="1:26">
      <c r="A197" s="85"/>
      <c r="B197" s="85"/>
      <c r="C197" s="85"/>
      <c r="D197" s="85"/>
      <c r="E197" s="85"/>
      <c r="F197" s="85"/>
      <c r="G197" s="85"/>
      <c r="H197" s="85"/>
      <c r="I197" s="91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2.75" customHeight="1" spans="1:26">
      <c r="A198" s="85"/>
      <c r="B198" s="85"/>
      <c r="C198" s="85"/>
      <c r="D198" s="85"/>
      <c r="E198" s="85"/>
      <c r="F198" s="85"/>
      <c r="G198" s="85"/>
      <c r="H198" s="85"/>
      <c r="I198" s="91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2.75" customHeight="1" spans="1:26">
      <c r="A199" s="85"/>
      <c r="B199" s="85"/>
      <c r="C199" s="85"/>
      <c r="D199" s="85"/>
      <c r="E199" s="85"/>
      <c r="F199" s="85"/>
      <c r="G199" s="85"/>
      <c r="H199" s="85"/>
      <c r="I199" s="91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2.75" customHeight="1" spans="1:26">
      <c r="A200" s="85"/>
      <c r="B200" s="85"/>
      <c r="C200" s="85"/>
      <c r="D200" s="85"/>
      <c r="E200" s="85"/>
      <c r="F200" s="85"/>
      <c r="G200" s="85"/>
      <c r="H200" s="85"/>
      <c r="I200" s="91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2.75" customHeight="1" spans="1:26">
      <c r="A201" s="85"/>
      <c r="B201" s="85"/>
      <c r="C201" s="85"/>
      <c r="D201" s="85"/>
      <c r="E201" s="85"/>
      <c r="F201" s="85"/>
      <c r="G201" s="85"/>
      <c r="H201" s="85"/>
      <c r="I201" s="91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2.75" customHeight="1" spans="1:26">
      <c r="A202" s="85"/>
      <c r="B202" s="85"/>
      <c r="C202" s="85"/>
      <c r="D202" s="85"/>
      <c r="E202" s="85"/>
      <c r="F202" s="85"/>
      <c r="G202" s="85"/>
      <c r="H202" s="85"/>
      <c r="I202" s="91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2.75" customHeight="1" spans="1:26">
      <c r="A203" s="85"/>
      <c r="B203" s="85"/>
      <c r="C203" s="85"/>
      <c r="D203" s="85"/>
      <c r="E203" s="85"/>
      <c r="F203" s="85"/>
      <c r="G203" s="85"/>
      <c r="H203" s="85"/>
      <c r="I203" s="91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2.75" customHeight="1" spans="1:26">
      <c r="A204" s="85"/>
      <c r="B204" s="85"/>
      <c r="C204" s="85"/>
      <c r="D204" s="85"/>
      <c r="E204" s="85"/>
      <c r="F204" s="85"/>
      <c r="G204" s="85"/>
      <c r="H204" s="85"/>
      <c r="I204" s="91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2.75" customHeight="1" spans="1:26">
      <c r="A205" s="85"/>
      <c r="B205" s="85"/>
      <c r="C205" s="85"/>
      <c r="D205" s="85"/>
      <c r="E205" s="85"/>
      <c r="F205" s="85"/>
      <c r="G205" s="85"/>
      <c r="H205" s="85"/>
      <c r="I205" s="91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2.75" customHeight="1" spans="1:26">
      <c r="A206" s="85"/>
      <c r="B206" s="85"/>
      <c r="C206" s="85"/>
      <c r="D206" s="85"/>
      <c r="E206" s="85"/>
      <c r="F206" s="85"/>
      <c r="G206" s="85"/>
      <c r="H206" s="85"/>
      <c r="I206" s="91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2.75" customHeight="1" spans="1:26">
      <c r="A207" s="85"/>
      <c r="B207" s="85"/>
      <c r="C207" s="85"/>
      <c r="D207" s="85"/>
      <c r="E207" s="85"/>
      <c r="F207" s="85"/>
      <c r="G207" s="85"/>
      <c r="H207" s="85"/>
      <c r="I207" s="91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2.75" customHeight="1" spans="1:26">
      <c r="A208" s="85"/>
      <c r="B208" s="85"/>
      <c r="C208" s="85"/>
      <c r="D208" s="85"/>
      <c r="E208" s="85"/>
      <c r="F208" s="85"/>
      <c r="G208" s="85"/>
      <c r="H208" s="85"/>
      <c r="I208" s="91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2.75" customHeight="1" spans="1:26">
      <c r="A209" s="85"/>
      <c r="B209" s="85"/>
      <c r="C209" s="85"/>
      <c r="D209" s="85"/>
      <c r="E209" s="85"/>
      <c r="F209" s="85"/>
      <c r="G209" s="85"/>
      <c r="H209" s="85"/>
      <c r="I209" s="91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2.75" customHeight="1" spans="1:26">
      <c r="A210" s="85"/>
      <c r="B210" s="85"/>
      <c r="C210" s="85"/>
      <c r="D210" s="85"/>
      <c r="E210" s="85"/>
      <c r="F210" s="85"/>
      <c r="G210" s="85"/>
      <c r="H210" s="85"/>
      <c r="I210" s="91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2.75" customHeight="1" spans="1:26">
      <c r="A211" s="85"/>
      <c r="B211" s="85"/>
      <c r="C211" s="85"/>
      <c r="D211" s="85"/>
      <c r="E211" s="85"/>
      <c r="F211" s="85"/>
      <c r="G211" s="85"/>
      <c r="H211" s="85"/>
      <c r="I211" s="91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2.75" customHeight="1" spans="1:26">
      <c r="A212" s="85"/>
      <c r="B212" s="85"/>
      <c r="C212" s="85"/>
      <c r="D212" s="85"/>
      <c r="E212" s="85"/>
      <c r="F212" s="85"/>
      <c r="G212" s="85"/>
      <c r="H212" s="85"/>
      <c r="I212" s="91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2.75" customHeight="1" spans="1:26">
      <c r="A213" s="85"/>
      <c r="B213" s="85"/>
      <c r="C213" s="85"/>
      <c r="D213" s="85"/>
      <c r="E213" s="85"/>
      <c r="F213" s="85"/>
      <c r="G213" s="85"/>
      <c r="H213" s="85"/>
      <c r="I213" s="91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2.75" customHeight="1" spans="1:26">
      <c r="A214" s="85"/>
      <c r="B214" s="85"/>
      <c r="C214" s="85"/>
      <c r="D214" s="85"/>
      <c r="E214" s="85"/>
      <c r="F214" s="85"/>
      <c r="G214" s="85"/>
      <c r="H214" s="85"/>
      <c r="I214" s="91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2.75" customHeight="1" spans="1:26">
      <c r="A215" s="85"/>
      <c r="B215" s="85"/>
      <c r="C215" s="85"/>
      <c r="D215" s="85"/>
      <c r="E215" s="85"/>
      <c r="F215" s="85"/>
      <c r="G215" s="85"/>
      <c r="H215" s="85"/>
      <c r="I215" s="91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2.75" customHeight="1" spans="1:26">
      <c r="A216" s="85"/>
      <c r="B216" s="85"/>
      <c r="C216" s="85"/>
      <c r="D216" s="85"/>
      <c r="E216" s="85"/>
      <c r="F216" s="85"/>
      <c r="G216" s="85"/>
      <c r="H216" s="85"/>
      <c r="I216" s="91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2.75" customHeight="1" spans="1:26">
      <c r="A217" s="85"/>
      <c r="B217" s="85"/>
      <c r="C217" s="85"/>
      <c r="D217" s="85"/>
      <c r="E217" s="85"/>
      <c r="F217" s="85"/>
      <c r="G217" s="85"/>
      <c r="H217" s="85"/>
      <c r="I217" s="91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2.75" customHeight="1" spans="1:26">
      <c r="A218" s="85"/>
      <c r="B218" s="85"/>
      <c r="C218" s="85"/>
      <c r="D218" s="85"/>
      <c r="E218" s="85"/>
      <c r="F218" s="85"/>
      <c r="G218" s="85"/>
      <c r="H218" s="85"/>
      <c r="I218" s="91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2.75" customHeight="1" spans="1:26">
      <c r="A219" s="85"/>
      <c r="B219" s="85"/>
      <c r="C219" s="85"/>
      <c r="D219" s="85"/>
      <c r="E219" s="85"/>
      <c r="F219" s="85"/>
      <c r="G219" s="85"/>
      <c r="H219" s="85"/>
      <c r="I219" s="91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2.75" customHeight="1" spans="1:26">
      <c r="A220" s="85"/>
      <c r="B220" s="85"/>
      <c r="C220" s="85"/>
      <c r="D220" s="85"/>
      <c r="E220" s="85"/>
      <c r="F220" s="85"/>
      <c r="G220" s="85"/>
      <c r="H220" s="85"/>
      <c r="I220" s="91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2.75" customHeight="1" spans="1:26">
      <c r="A221" s="85"/>
      <c r="B221" s="85"/>
      <c r="C221" s="85"/>
      <c r="D221" s="85"/>
      <c r="E221" s="85"/>
      <c r="F221" s="85"/>
      <c r="G221" s="85"/>
      <c r="H221" s="85"/>
      <c r="I221" s="91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2.75" customHeight="1" spans="1:26">
      <c r="A222" s="85"/>
      <c r="B222" s="85"/>
      <c r="C222" s="85"/>
      <c r="D222" s="85"/>
      <c r="E222" s="85"/>
      <c r="F222" s="85"/>
      <c r="G222" s="85"/>
      <c r="H222" s="85"/>
      <c r="I222" s="91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2.75" customHeight="1" spans="1:26">
      <c r="A223" s="85"/>
      <c r="B223" s="85"/>
      <c r="C223" s="85"/>
      <c r="D223" s="85"/>
      <c r="E223" s="85"/>
      <c r="F223" s="85"/>
      <c r="G223" s="85"/>
      <c r="H223" s="85"/>
      <c r="I223" s="91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2.75" customHeight="1" spans="1:26">
      <c r="A224" s="85"/>
      <c r="B224" s="85"/>
      <c r="C224" s="85"/>
      <c r="D224" s="85"/>
      <c r="E224" s="85"/>
      <c r="F224" s="85"/>
      <c r="G224" s="85"/>
      <c r="H224" s="85"/>
      <c r="I224" s="91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2.75" customHeight="1" spans="1:26">
      <c r="A225" s="85"/>
      <c r="B225" s="85"/>
      <c r="C225" s="85"/>
      <c r="D225" s="85"/>
      <c r="E225" s="85"/>
      <c r="F225" s="85"/>
      <c r="G225" s="85"/>
      <c r="H225" s="85"/>
      <c r="I225" s="91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2.75" customHeight="1" spans="1:26">
      <c r="A226" s="85"/>
      <c r="B226" s="85"/>
      <c r="C226" s="85"/>
      <c r="D226" s="85"/>
      <c r="E226" s="85"/>
      <c r="F226" s="85"/>
      <c r="G226" s="85"/>
      <c r="H226" s="85"/>
      <c r="I226" s="91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2.75" customHeight="1" spans="1:26">
      <c r="A227" s="85"/>
      <c r="B227" s="85"/>
      <c r="C227" s="85"/>
      <c r="D227" s="85"/>
      <c r="E227" s="85"/>
      <c r="F227" s="85"/>
      <c r="G227" s="85"/>
      <c r="H227" s="85"/>
      <c r="I227" s="91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2.75" customHeight="1" spans="1:26">
      <c r="A228" s="85"/>
      <c r="B228" s="85"/>
      <c r="C228" s="85"/>
      <c r="D228" s="85"/>
      <c r="E228" s="85"/>
      <c r="F228" s="85"/>
      <c r="G228" s="85"/>
      <c r="H228" s="85"/>
      <c r="I228" s="91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2.75" customHeight="1" spans="1:26">
      <c r="A229" s="85"/>
      <c r="B229" s="85"/>
      <c r="C229" s="85"/>
      <c r="D229" s="85"/>
      <c r="E229" s="85"/>
      <c r="F229" s="85"/>
      <c r="G229" s="85"/>
      <c r="H229" s="85"/>
      <c r="I229" s="91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2.75" customHeight="1" spans="1:26">
      <c r="A230" s="85"/>
      <c r="B230" s="85"/>
      <c r="C230" s="85"/>
      <c r="D230" s="85"/>
      <c r="E230" s="85"/>
      <c r="F230" s="85"/>
      <c r="G230" s="85"/>
      <c r="H230" s="85"/>
      <c r="I230" s="91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2.75" customHeight="1" spans="1:26">
      <c r="A231" s="85"/>
      <c r="B231" s="85"/>
      <c r="C231" s="85"/>
      <c r="D231" s="85"/>
      <c r="E231" s="85"/>
      <c r="F231" s="85"/>
      <c r="G231" s="85"/>
      <c r="H231" s="85"/>
      <c r="I231" s="91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2.75" customHeight="1" spans="1:26">
      <c r="A232" s="85"/>
      <c r="B232" s="85"/>
      <c r="C232" s="85"/>
      <c r="D232" s="85"/>
      <c r="E232" s="85"/>
      <c r="F232" s="85"/>
      <c r="G232" s="85"/>
      <c r="H232" s="85"/>
      <c r="I232" s="91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2.75" customHeight="1" spans="1:26">
      <c r="A233" s="85"/>
      <c r="B233" s="85"/>
      <c r="C233" s="85"/>
      <c r="D233" s="85"/>
      <c r="E233" s="85"/>
      <c r="F233" s="85"/>
      <c r="G233" s="85"/>
      <c r="H233" s="85"/>
      <c r="I233" s="91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2.75" customHeight="1" spans="1:26">
      <c r="A234" s="85"/>
      <c r="B234" s="85"/>
      <c r="C234" s="85"/>
      <c r="D234" s="85"/>
      <c r="E234" s="85"/>
      <c r="F234" s="85"/>
      <c r="G234" s="85"/>
      <c r="H234" s="85"/>
      <c r="I234" s="91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2.75" customHeight="1" spans="1:26">
      <c r="A235" s="85"/>
      <c r="B235" s="85"/>
      <c r="C235" s="85"/>
      <c r="D235" s="85"/>
      <c r="E235" s="85"/>
      <c r="F235" s="85"/>
      <c r="G235" s="85"/>
      <c r="H235" s="85"/>
      <c r="I235" s="91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2.75" customHeight="1" spans="1:26">
      <c r="A236" s="85"/>
      <c r="B236" s="85"/>
      <c r="C236" s="85"/>
      <c r="D236" s="85"/>
      <c r="E236" s="85"/>
      <c r="F236" s="85"/>
      <c r="G236" s="85"/>
      <c r="H236" s="85"/>
      <c r="I236" s="91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2.75" customHeight="1" spans="1:26">
      <c r="A237" s="85"/>
      <c r="B237" s="85"/>
      <c r="C237" s="85"/>
      <c r="D237" s="85"/>
      <c r="E237" s="85"/>
      <c r="F237" s="85"/>
      <c r="G237" s="85"/>
      <c r="H237" s="85"/>
      <c r="I237" s="91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2.75" customHeight="1" spans="1:26">
      <c r="A238" s="85"/>
      <c r="B238" s="85"/>
      <c r="C238" s="85"/>
      <c r="D238" s="85"/>
      <c r="E238" s="85"/>
      <c r="F238" s="85"/>
      <c r="G238" s="85"/>
      <c r="H238" s="85"/>
      <c r="I238" s="91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2.75" customHeight="1" spans="1:26">
      <c r="A239" s="85"/>
      <c r="B239" s="85"/>
      <c r="C239" s="85"/>
      <c r="D239" s="85"/>
      <c r="E239" s="85"/>
      <c r="F239" s="85"/>
      <c r="G239" s="85"/>
      <c r="H239" s="85"/>
      <c r="I239" s="91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2.75" customHeight="1" spans="1:26">
      <c r="A240" s="85"/>
      <c r="B240" s="85"/>
      <c r="C240" s="85"/>
      <c r="D240" s="85"/>
      <c r="E240" s="85"/>
      <c r="F240" s="85"/>
      <c r="G240" s="85"/>
      <c r="H240" s="85"/>
      <c r="I240" s="91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2.75" customHeight="1" spans="1:26">
      <c r="A241" s="85"/>
      <c r="B241" s="85"/>
      <c r="C241" s="85"/>
      <c r="D241" s="85"/>
      <c r="E241" s="85"/>
      <c r="F241" s="85"/>
      <c r="G241" s="85"/>
      <c r="H241" s="85"/>
      <c r="I241" s="91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2.75" customHeight="1" spans="1:26">
      <c r="A242" s="85"/>
      <c r="B242" s="85"/>
      <c r="C242" s="85"/>
      <c r="D242" s="85"/>
      <c r="E242" s="85"/>
      <c r="F242" s="85"/>
      <c r="G242" s="85"/>
      <c r="H242" s="85"/>
      <c r="I242" s="91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2.75" customHeight="1" spans="1:26">
      <c r="A243" s="85"/>
      <c r="B243" s="85"/>
      <c r="C243" s="85"/>
      <c r="D243" s="85"/>
      <c r="E243" s="85"/>
      <c r="F243" s="85"/>
      <c r="G243" s="85"/>
      <c r="H243" s="85"/>
      <c r="I243" s="91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2.75" customHeight="1" spans="1:26">
      <c r="A244" s="85"/>
      <c r="B244" s="85"/>
      <c r="C244" s="85"/>
      <c r="D244" s="85"/>
      <c r="E244" s="85"/>
      <c r="F244" s="85"/>
      <c r="G244" s="85"/>
      <c r="H244" s="85"/>
      <c r="I244" s="91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2.75" customHeight="1" spans="1:26">
      <c r="A245" s="85"/>
      <c r="B245" s="85"/>
      <c r="C245" s="85"/>
      <c r="D245" s="85"/>
      <c r="E245" s="85"/>
      <c r="F245" s="85"/>
      <c r="G245" s="85"/>
      <c r="H245" s="85"/>
      <c r="I245" s="91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2.75" customHeight="1" spans="1:26">
      <c r="A246" s="85"/>
      <c r="B246" s="85"/>
      <c r="C246" s="85"/>
      <c r="D246" s="85"/>
      <c r="E246" s="85"/>
      <c r="F246" s="85"/>
      <c r="G246" s="85"/>
      <c r="H246" s="85"/>
      <c r="I246" s="91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2.75" customHeight="1" spans="1:26">
      <c r="A247" s="85"/>
      <c r="B247" s="85"/>
      <c r="C247" s="85"/>
      <c r="D247" s="85"/>
      <c r="E247" s="85"/>
      <c r="F247" s="85"/>
      <c r="G247" s="85"/>
      <c r="H247" s="85"/>
      <c r="I247" s="91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2.75" customHeight="1" spans="1:26">
      <c r="A248" s="85"/>
      <c r="B248" s="85"/>
      <c r="C248" s="85"/>
      <c r="D248" s="85"/>
      <c r="E248" s="85"/>
      <c r="F248" s="85"/>
      <c r="G248" s="85"/>
      <c r="H248" s="85"/>
      <c r="I248" s="91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2.75" customHeight="1" spans="1:26">
      <c r="A249" s="85"/>
      <c r="B249" s="85"/>
      <c r="C249" s="85"/>
      <c r="D249" s="85"/>
      <c r="E249" s="85"/>
      <c r="F249" s="85"/>
      <c r="G249" s="85"/>
      <c r="H249" s="85"/>
      <c r="I249" s="91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2.75" customHeight="1" spans="1:26">
      <c r="A250" s="85"/>
      <c r="B250" s="85"/>
      <c r="C250" s="85"/>
      <c r="D250" s="85"/>
      <c r="E250" s="85"/>
      <c r="F250" s="85"/>
      <c r="G250" s="85"/>
      <c r="H250" s="85"/>
      <c r="I250" s="91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2.75" customHeight="1" spans="1:26">
      <c r="A251" s="85"/>
      <c r="B251" s="85"/>
      <c r="C251" s="85"/>
      <c r="D251" s="85"/>
      <c r="E251" s="85"/>
      <c r="F251" s="85"/>
      <c r="G251" s="85"/>
      <c r="H251" s="85"/>
      <c r="I251" s="91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2.75" customHeight="1" spans="1:26">
      <c r="A252" s="85"/>
      <c r="B252" s="85"/>
      <c r="C252" s="85"/>
      <c r="D252" s="85"/>
      <c r="E252" s="85"/>
      <c r="F252" s="85"/>
      <c r="G252" s="85"/>
      <c r="H252" s="85"/>
      <c r="I252" s="91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2.75" customHeight="1" spans="1:26">
      <c r="A253" s="85"/>
      <c r="B253" s="85"/>
      <c r="C253" s="85"/>
      <c r="D253" s="85"/>
      <c r="E253" s="85"/>
      <c r="F253" s="85"/>
      <c r="G253" s="85"/>
      <c r="H253" s="85"/>
      <c r="I253" s="91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2.75" customHeight="1" spans="1:26">
      <c r="A254" s="85"/>
      <c r="B254" s="85"/>
      <c r="C254" s="85"/>
      <c r="D254" s="85"/>
      <c r="E254" s="85"/>
      <c r="F254" s="85"/>
      <c r="G254" s="85"/>
      <c r="H254" s="85"/>
      <c r="I254" s="91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2.75" customHeight="1" spans="1:26">
      <c r="A255" s="85"/>
      <c r="B255" s="85"/>
      <c r="C255" s="85"/>
      <c r="D255" s="85"/>
      <c r="E255" s="85"/>
      <c r="F255" s="85"/>
      <c r="G255" s="85"/>
      <c r="H255" s="85"/>
      <c r="I255" s="91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2.75" customHeight="1" spans="1:26">
      <c r="A256" s="85"/>
      <c r="B256" s="85"/>
      <c r="C256" s="85"/>
      <c r="D256" s="85"/>
      <c r="E256" s="85"/>
      <c r="F256" s="85"/>
      <c r="G256" s="85"/>
      <c r="H256" s="85"/>
      <c r="I256" s="91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2.75" customHeight="1" spans="1:26">
      <c r="A257" s="85"/>
      <c r="B257" s="85"/>
      <c r="C257" s="85"/>
      <c r="D257" s="85"/>
      <c r="E257" s="85"/>
      <c r="F257" s="85"/>
      <c r="G257" s="85"/>
      <c r="H257" s="85"/>
      <c r="I257" s="91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2.75" customHeight="1" spans="1:26">
      <c r="A258" s="85"/>
      <c r="B258" s="85"/>
      <c r="C258" s="85"/>
      <c r="D258" s="85"/>
      <c r="E258" s="85"/>
      <c r="F258" s="85"/>
      <c r="G258" s="85"/>
      <c r="H258" s="85"/>
      <c r="I258" s="91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2.75" customHeight="1" spans="1:26">
      <c r="A259" s="85"/>
      <c r="B259" s="85"/>
      <c r="C259" s="85"/>
      <c r="D259" s="85"/>
      <c r="E259" s="85"/>
      <c r="F259" s="85"/>
      <c r="G259" s="85"/>
      <c r="H259" s="85"/>
      <c r="I259" s="91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2.75" customHeight="1" spans="1:26">
      <c r="A260" s="85"/>
      <c r="B260" s="85"/>
      <c r="C260" s="85"/>
      <c r="D260" s="85"/>
      <c r="E260" s="85"/>
      <c r="F260" s="85"/>
      <c r="G260" s="85"/>
      <c r="H260" s="85"/>
      <c r="I260" s="91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2.75" customHeight="1" spans="1:26">
      <c r="A261" s="85"/>
      <c r="B261" s="85"/>
      <c r="C261" s="85"/>
      <c r="D261" s="85"/>
      <c r="E261" s="85"/>
      <c r="F261" s="85"/>
      <c r="G261" s="85"/>
      <c r="H261" s="85"/>
      <c r="I261" s="91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2.75" customHeight="1" spans="1:26">
      <c r="A262" s="85"/>
      <c r="B262" s="85"/>
      <c r="C262" s="85"/>
      <c r="D262" s="85"/>
      <c r="E262" s="85"/>
      <c r="F262" s="85"/>
      <c r="G262" s="85"/>
      <c r="H262" s="85"/>
      <c r="I262" s="91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2.75" customHeight="1" spans="1:26">
      <c r="A263" s="85"/>
      <c r="B263" s="85"/>
      <c r="C263" s="85"/>
      <c r="D263" s="85"/>
      <c r="E263" s="85"/>
      <c r="F263" s="85"/>
      <c r="G263" s="85"/>
      <c r="H263" s="85"/>
      <c r="I263" s="91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2.75" customHeight="1" spans="1:26">
      <c r="A264" s="85"/>
      <c r="B264" s="85"/>
      <c r="C264" s="85"/>
      <c r="D264" s="85"/>
      <c r="E264" s="85"/>
      <c r="F264" s="85"/>
      <c r="G264" s="85"/>
      <c r="H264" s="85"/>
      <c r="I264" s="91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2.75" customHeight="1" spans="1:26">
      <c r="A265" s="85"/>
      <c r="B265" s="85"/>
      <c r="C265" s="85"/>
      <c r="D265" s="85"/>
      <c r="E265" s="85"/>
      <c r="F265" s="85"/>
      <c r="G265" s="85"/>
      <c r="H265" s="85"/>
      <c r="I265" s="91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2.75" customHeight="1" spans="1:26">
      <c r="A266" s="85"/>
      <c r="B266" s="85"/>
      <c r="C266" s="85"/>
      <c r="D266" s="85"/>
      <c r="E266" s="85"/>
      <c r="F266" s="85"/>
      <c r="G266" s="85"/>
      <c r="H266" s="85"/>
      <c r="I266" s="91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2.75" customHeight="1" spans="1:26">
      <c r="A267" s="85"/>
      <c r="B267" s="85"/>
      <c r="C267" s="85"/>
      <c r="D267" s="85"/>
      <c r="E267" s="85"/>
      <c r="F267" s="85"/>
      <c r="G267" s="85"/>
      <c r="H267" s="85"/>
      <c r="I267" s="91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2.75" customHeight="1" spans="1:26">
      <c r="A268" s="85"/>
      <c r="B268" s="85"/>
      <c r="C268" s="85"/>
      <c r="D268" s="85"/>
      <c r="E268" s="85"/>
      <c r="F268" s="85"/>
      <c r="G268" s="85"/>
      <c r="H268" s="85"/>
      <c r="I268" s="91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2.75" customHeight="1" spans="1:26">
      <c r="A269" s="85"/>
      <c r="B269" s="85"/>
      <c r="C269" s="85"/>
      <c r="D269" s="85"/>
      <c r="E269" s="85"/>
      <c r="F269" s="85"/>
      <c r="G269" s="85"/>
      <c r="H269" s="85"/>
      <c r="I269" s="91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2.75" customHeight="1" spans="1:26">
      <c r="A270" s="85"/>
      <c r="B270" s="85"/>
      <c r="C270" s="85"/>
      <c r="D270" s="85"/>
      <c r="E270" s="85"/>
      <c r="F270" s="85"/>
      <c r="G270" s="85"/>
      <c r="H270" s="85"/>
      <c r="I270" s="91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2.75" customHeight="1" spans="1:26">
      <c r="A271" s="85"/>
      <c r="B271" s="85"/>
      <c r="C271" s="85"/>
      <c r="D271" s="85"/>
      <c r="E271" s="85"/>
      <c r="F271" s="85"/>
      <c r="G271" s="85"/>
      <c r="H271" s="85"/>
      <c r="I271" s="91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2.75" customHeight="1" spans="1:26">
      <c r="A272" s="85"/>
      <c r="B272" s="85"/>
      <c r="C272" s="85"/>
      <c r="D272" s="85"/>
      <c r="E272" s="85"/>
      <c r="F272" s="85"/>
      <c r="G272" s="85"/>
      <c r="H272" s="85"/>
      <c r="I272" s="91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2.75" customHeight="1" spans="1:26">
      <c r="A273" s="85"/>
      <c r="B273" s="85"/>
      <c r="C273" s="85"/>
      <c r="D273" s="85"/>
      <c r="E273" s="85"/>
      <c r="F273" s="85"/>
      <c r="G273" s="85"/>
      <c r="H273" s="85"/>
      <c r="I273" s="91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2.75" customHeight="1" spans="1:26">
      <c r="A274" s="85"/>
      <c r="B274" s="85"/>
      <c r="C274" s="85"/>
      <c r="D274" s="85"/>
      <c r="E274" s="85"/>
      <c r="F274" s="85"/>
      <c r="G274" s="85"/>
      <c r="H274" s="85"/>
      <c r="I274" s="91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2.75" customHeight="1" spans="1:26">
      <c r="A275" s="85"/>
      <c r="B275" s="85"/>
      <c r="C275" s="85"/>
      <c r="D275" s="85"/>
      <c r="E275" s="85"/>
      <c r="F275" s="85"/>
      <c r="G275" s="85"/>
      <c r="H275" s="85"/>
      <c r="I275" s="91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2.75" customHeight="1" spans="1:26">
      <c r="A276" s="85"/>
      <c r="B276" s="85"/>
      <c r="C276" s="85"/>
      <c r="D276" s="85"/>
      <c r="E276" s="85"/>
      <c r="F276" s="85"/>
      <c r="G276" s="85"/>
      <c r="H276" s="85"/>
      <c r="I276" s="91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2.75" customHeight="1" spans="1:26">
      <c r="A277" s="85"/>
      <c r="B277" s="85"/>
      <c r="C277" s="85"/>
      <c r="D277" s="85"/>
      <c r="E277" s="85"/>
      <c r="F277" s="85"/>
      <c r="G277" s="85"/>
      <c r="H277" s="85"/>
      <c r="I277" s="91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2.75" customHeight="1" spans="1:26">
      <c r="A278" s="85"/>
      <c r="B278" s="85"/>
      <c r="C278" s="85"/>
      <c r="D278" s="85"/>
      <c r="E278" s="85"/>
      <c r="F278" s="85"/>
      <c r="G278" s="85"/>
      <c r="H278" s="85"/>
      <c r="I278" s="91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2.75" customHeight="1" spans="1:26">
      <c r="A279" s="85"/>
      <c r="B279" s="85"/>
      <c r="C279" s="85"/>
      <c r="D279" s="85"/>
      <c r="E279" s="85"/>
      <c r="F279" s="85"/>
      <c r="G279" s="85"/>
      <c r="H279" s="85"/>
      <c r="I279" s="91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2.75" customHeight="1" spans="1:26">
      <c r="A280" s="85"/>
      <c r="B280" s="85"/>
      <c r="C280" s="85"/>
      <c r="D280" s="85"/>
      <c r="E280" s="85"/>
      <c r="F280" s="85"/>
      <c r="G280" s="85"/>
      <c r="H280" s="85"/>
      <c r="I280" s="91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2.75" customHeight="1" spans="1:26">
      <c r="A281" s="85"/>
      <c r="B281" s="85"/>
      <c r="C281" s="85"/>
      <c r="D281" s="85"/>
      <c r="E281" s="85"/>
      <c r="F281" s="85"/>
      <c r="G281" s="85"/>
      <c r="H281" s="85"/>
      <c r="I281" s="91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2.75" customHeight="1" spans="1:26">
      <c r="A282" s="85"/>
      <c r="B282" s="85"/>
      <c r="C282" s="85"/>
      <c r="D282" s="85"/>
      <c r="E282" s="85"/>
      <c r="F282" s="85"/>
      <c r="G282" s="85"/>
      <c r="H282" s="85"/>
      <c r="I282" s="91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2.75" customHeight="1" spans="1:26">
      <c r="A283" s="85"/>
      <c r="B283" s="85"/>
      <c r="C283" s="85"/>
      <c r="D283" s="85"/>
      <c r="E283" s="85"/>
      <c r="F283" s="85"/>
      <c r="G283" s="85"/>
      <c r="H283" s="85"/>
      <c r="I283" s="91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2.75" customHeight="1" spans="1:26">
      <c r="A284" s="85"/>
      <c r="B284" s="85"/>
      <c r="C284" s="85"/>
      <c r="D284" s="85"/>
      <c r="E284" s="85"/>
      <c r="F284" s="85"/>
      <c r="G284" s="85"/>
      <c r="H284" s="85"/>
      <c r="I284" s="91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2.75" customHeight="1" spans="1:26">
      <c r="A285" s="85"/>
      <c r="B285" s="85"/>
      <c r="C285" s="85"/>
      <c r="D285" s="85"/>
      <c r="E285" s="85"/>
      <c r="F285" s="85"/>
      <c r="G285" s="85"/>
      <c r="H285" s="85"/>
      <c r="I285" s="91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2.75" customHeight="1" spans="1:26">
      <c r="A286" s="85"/>
      <c r="B286" s="85"/>
      <c r="C286" s="85"/>
      <c r="D286" s="85"/>
      <c r="E286" s="85"/>
      <c r="F286" s="85"/>
      <c r="G286" s="85"/>
      <c r="H286" s="85"/>
      <c r="I286" s="91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2.75" customHeight="1" spans="1:26">
      <c r="A287" s="85"/>
      <c r="B287" s="85"/>
      <c r="C287" s="85"/>
      <c r="D287" s="85"/>
      <c r="E287" s="85"/>
      <c r="F287" s="85"/>
      <c r="G287" s="85"/>
      <c r="H287" s="85"/>
      <c r="I287" s="91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2.75" customHeight="1" spans="1:26">
      <c r="A288" s="85"/>
      <c r="B288" s="85"/>
      <c r="C288" s="85"/>
      <c r="D288" s="85"/>
      <c r="E288" s="85"/>
      <c r="F288" s="85"/>
      <c r="G288" s="85"/>
      <c r="H288" s="85"/>
      <c r="I288" s="91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2.75" customHeight="1" spans="1:26">
      <c r="A289" s="85"/>
      <c r="B289" s="85"/>
      <c r="C289" s="85"/>
      <c r="D289" s="85"/>
      <c r="E289" s="85"/>
      <c r="F289" s="85"/>
      <c r="G289" s="85"/>
      <c r="H289" s="85"/>
      <c r="I289" s="91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2.75" customHeight="1" spans="1:26">
      <c r="A290" s="85"/>
      <c r="B290" s="85"/>
      <c r="C290" s="85"/>
      <c r="D290" s="85"/>
      <c r="E290" s="85"/>
      <c r="F290" s="85"/>
      <c r="G290" s="85"/>
      <c r="H290" s="85"/>
      <c r="I290" s="91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2.75" customHeight="1" spans="1:26">
      <c r="A291" s="85"/>
      <c r="B291" s="85"/>
      <c r="C291" s="85"/>
      <c r="D291" s="85"/>
      <c r="E291" s="85"/>
      <c r="F291" s="85"/>
      <c r="G291" s="85"/>
      <c r="H291" s="85"/>
      <c r="I291" s="91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2.75" customHeight="1" spans="1:26">
      <c r="A292" s="85"/>
      <c r="B292" s="85"/>
      <c r="C292" s="85"/>
      <c r="D292" s="85"/>
      <c r="E292" s="85"/>
      <c r="F292" s="85"/>
      <c r="G292" s="85"/>
      <c r="H292" s="85"/>
      <c r="I292" s="91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2.75" customHeight="1" spans="1:26">
      <c r="A293" s="85"/>
      <c r="B293" s="85"/>
      <c r="C293" s="85"/>
      <c r="D293" s="85"/>
      <c r="E293" s="85"/>
      <c r="F293" s="85"/>
      <c r="G293" s="85"/>
      <c r="H293" s="85"/>
      <c r="I293" s="91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2.75" customHeight="1" spans="1:26">
      <c r="A294" s="85"/>
      <c r="B294" s="85"/>
      <c r="C294" s="85"/>
      <c r="D294" s="85"/>
      <c r="E294" s="85"/>
      <c r="F294" s="85"/>
      <c r="G294" s="85"/>
      <c r="H294" s="85"/>
      <c r="I294" s="91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2.75" customHeight="1" spans="1:26">
      <c r="A295" s="85"/>
      <c r="B295" s="85"/>
      <c r="C295" s="85"/>
      <c r="D295" s="85"/>
      <c r="E295" s="85"/>
      <c r="F295" s="85"/>
      <c r="G295" s="85"/>
      <c r="H295" s="85"/>
      <c r="I295" s="91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2.75" customHeight="1" spans="1:26">
      <c r="A296" s="85"/>
      <c r="B296" s="85"/>
      <c r="C296" s="85"/>
      <c r="D296" s="85"/>
      <c r="E296" s="85"/>
      <c r="F296" s="85"/>
      <c r="G296" s="85"/>
      <c r="H296" s="85"/>
      <c r="I296" s="91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2.75" customHeight="1" spans="1:26">
      <c r="A297" s="85"/>
      <c r="B297" s="85"/>
      <c r="C297" s="85"/>
      <c r="D297" s="85"/>
      <c r="E297" s="85"/>
      <c r="F297" s="85"/>
      <c r="G297" s="85"/>
      <c r="H297" s="85"/>
      <c r="I297" s="91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2.75" customHeight="1" spans="1:26">
      <c r="A298" s="85"/>
      <c r="B298" s="85"/>
      <c r="C298" s="85"/>
      <c r="D298" s="85"/>
      <c r="E298" s="85"/>
      <c r="F298" s="85"/>
      <c r="G298" s="85"/>
      <c r="H298" s="85"/>
      <c r="I298" s="91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2.75" customHeight="1" spans="1:26">
      <c r="A299" s="85"/>
      <c r="B299" s="85"/>
      <c r="C299" s="85"/>
      <c r="D299" s="85"/>
      <c r="E299" s="85"/>
      <c r="F299" s="85"/>
      <c r="G299" s="85"/>
      <c r="H299" s="85"/>
      <c r="I299" s="91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2.75" customHeight="1" spans="1:26">
      <c r="A300" s="85"/>
      <c r="B300" s="85"/>
      <c r="C300" s="85"/>
      <c r="D300" s="85"/>
      <c r="E300" s="85"/>
      <c r="F300" s="85"/>
      <c r="G300" s="85"/>
      <c r="H300" s="85"/>
      <c r="I300" s="91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2.75" customHeight="1" spans="1:26">
      <c r="A301" s="85"/>
      <c r="B301" s="85"/>
      <c r="C301" s="85"/>
      <c r="D301" s="85"/>
      <c r="E301" s="85"/>
      <c r="F301" s="85"/>
      <c r="G301" s="85"/>
      <c r="H301" s="85"/>
      <c r="I301" s="91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2.75" customHeight="1" spans="1:26">
      <c r="A302" s="85"/>
      <c r="B302" s="85"/>
      <c r="C302" s="85"/>
      <c r="D302" s="85"/>
      <c r="E302" s="85"/>
      <c r="F302" s="85"/>
      <c r="G302" s="85"/>
      <c r="H302" s="85"/>
      <c r="I302" s="91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2.75" customHeight="1" spans="1:26">
      <c r="A303" s="85"/>
      <c r="B303" s="85"/>
      <c r="C303" s="85"/>
      <c r="D303" s="85"/>
      <c r="E303" s="85"/>
      <c r="F303" s="85"/>
      <c r="G303" s="85"/>
      <c r="H303" s="85"/>
      <c r="I303" s="91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2.75" customHeight="1" spans="1:26">
      <c r="A304" s="85"/>
      <c r="B304" s="85"/>
      <c r="C304" s="85"/>
      <c r="D304" s="85"/>
      <c r="E304" s="85"/>
      <c r="F304" s="85"/>
      <c r="G304" s="85"/>
      <c r="H304" s="85"/>
      <c r="I304" s="91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2.75" customHeight="1" spans="1:26">
      <c r="A305" s="85"/>
      <c r="B305" s="85"/>
      <c r="C305" s="85"/>
      <c r="D305" s="85"/>
      <c r="E305" s="85"/>
      <c r="F305" s="85"/>
      <c r="G305" s="85"/>
      <c r="H305" s="85"/>
      <c r="I305" s="91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2.75" customHeight="1" spans="1:26">
      <c r="A306" s="85"/>
      <c r="B306" s="85"/>
      <c r="C306" s="85"/>
      <c r="D306" s="85"/>
      <c r="E306" s="85"/>
      <c r="F306" s="85"/>
      <c r="G306" s="85"/>
      <c r="H306" s="85"/>
      <c r="I306" s="91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2.75" customHeight="1" spans="1:26">
      <c r="A307" s="85"/>
      <c r="B307" s="85"/>
      <c r="C307" s="85"/>
      <c r="D307" s="85"/>
      <c r="E307" s="85"/>
      <c r="F307" s="85"/>
      <c r="G307" s="85"/>
      <c r="H307" s="85"/>
      <c r="I307" s="91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2.75" customHeight="1" spans="1:26">
      <c r="A308" s="85"/>
      <c r="B308" s="85"/>
      <c r="C308" s="85"/>
      <c r="D308" s="85"/>
      <c r="E308" s="85"/>
      <c r="F308" s="85"/>
      <c r="G308" s="85"/>
      <c r="H308" s="85"/>
      <c r="I308" s="91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2.75" customHeight="1" spans="1:26">
      <c r="A309" s="85"/>
      <c r="B309" s="85"/>
      <c r="C309" s="85"/>
      <c r="D309" s="85"/>
      <c r="E309" s="85"/>
      <c r="F309" s="85"/>
      <c r="G309" s="85"/>
      <c r="H309" s="85"/>
      <c r="I309" s="91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2.75" customHeight="1" spans="1:26">
      <c r="A310" s="85"/>
      <c r="B310" s="85"/>
      <c r="C310" s="85"/>
      <c r="D310" s="85"/>
      <c r="E310" s="85"/>
      <c r="F310" s="85"/>
      <c r="G310" s="85"/>
      <c r="H310" s="85"/>
      <c r="I310" s="91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2.75" customHeight="1" spans="1:26">
      <c r="A311" s="85"/>
      <c r="B311" s="85"/>
      <c r="C311" s="85"/>
      <c r="D311" s="85"/>
      <c r="E311" s="85"/>
      <c r="F311" s="85"/>
      <c r="G311" s="85"/>
      <c r="H311" s="85"/>
      <c r="I311" s="91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2.75" customHeight="1" spans="1:26">
      <c r="A312" s="85"/>
      <c r="B312" s="85"/>
      <c r="C312" s="85"/>
      <c r="D312" s="85"/>
      <c r="E312" s="85"/>
      <c r="F312" s="85"/>
      <c r="G312" s="85"/>
      <c r="H312" s="85"/>
      <c r="I312" s="91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2.75" customHeight="1" spans="1:26">
      <c r="A313" s="85"/>
      <c r="B313" s="85"/>
      <c r="C313" s="85"/>
      <c r="D313" s="85"/>
      <c r="E313" s="85"/>
      <c r="F313" s="85"/>
      <c r="G313" s="85"/>
      <c r="H313" s="85"/>
      <c r="I313" s="91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2.75" customHeight="1" spans="1:26">
      <c r="A314" s="85"/>
      <c r="B314" s="85"/>
      <c r="C314" s="85"/>
      <c r="D314" s="85"/>
      <c r="E314" s="85"/>
      <c r="F314" s="85"/>
      <c r="G314" s="85"/>
      <c r="H314" s="85"/>
      <c r="I314" s="91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2.75" customHeight="1" spans="1:26">
      <c r="A315" s="85"/>
      <c r="B315" s="85"/>
      <c r="C315" s="85"/>
      <c r="D315" s="85"/>
      <c r="E315" s="85"/>
      <c r="F315" s="85"/>
      <c r="G315" s="85"/>
      <c r="H315" s="85"/>
      <c r="I315" s="91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2.75" customHeight="1" spans="1:26">
      <c r="A316" s="85"/>
      <c r="B316" s="85"/>
      <c r="C316" s="85"/>
      <c r="D316" s="85"/>
      <c r="E316" s="85"/>
      <c r="F316" s="85"/>
      <c r="G316" s="85"/>
      <c r="H316" s="85"/>
      <c r="I316" s="91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2.75" customHeight="1" spans="1:26">
      <c r="A317" s="85"/>
      <c r="B317" s="85"/>
      <c r="C317" s="85"/>
      <c r="D317" s="85"/>
      <c r="E317" s="85"/>
      <c r="F317" s="85"/>
      <c r="G317" s="85"/>
      <c r="H317" s="85"/>
      <c r="I317" s="91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2.75" customHeight="1" spans="1:26">
      <c r="A318" s="85"/>
      <c r="B318" s="85"/>
      <c r="C318" s="85"/>
      <c r="D318" s="85"/>
      <c r="E318" s="85"/>
      <c r="F318" s="85"/>
      <c r="G318" s="85"/>
      <c r="H318" s="85"/>
      <c r="I318" s="91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2.75" customHeight="1" spans="1:26">
      <c r="A319" s="85"/>
      <c r="B319" s="85"/>
      <c r="C319" s="85"/>
      <c r="D319" s="85"/>
      <c r="E319" s="85"/>
      <c r="F319" s="85"/>
      <c r="G319" s="85"/>
      <c r="H319" s="85"/>
      <c r="I319" s="91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2.75" customHeight="1" spans="1:26">
      <c r="A320" s="85"/>
      <c r="B320" s="85"/>
      <c r="C320" s="85"/>
      <c r="D320" s="85"/>
      <c r="E320" s="85"/>
      <c r="F320" s="85"/>
      <c r="G320" s="85"/>
      <c r="H320" s="85"/>
      <c r="I320" s="91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2.75" customHeight="1" spans="1:26">
      <c r="A321" s="85"/>
      <c r="B321" s="85"/>
      <c r="C321" s="85"/>
      <c r="D321" s="85"/>
      <c r="E321" s="85"/>
      <c r="F321" s="85"/>
      <c r="G321" s="85"/>
      <c r="H321" s="85"/>
      <c r="I321" s="91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2.75" customHeight="1" spans="1:26">
      <c r="A322" s="85"/>
      <c r="B322" s="85"/>
      <c r="C322" s="85"/>
      <c r="D322" s="85"/>
      <c r="E322" s="85"/>
      <c r="F322" s="85"/>
      <c r="G322" s="85"/>
      <c r="H322" s="85"/>
      <c r="I322" s="91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2.75" customHeight="1" spans="1:26">
      <c r="A323" s="85"/>
      <c r="B323" s="85"/>
      <c r="C323" s="85"/>
      <c r="D323" s="85"/>
      <c r="E323" s="85"/>
      <c r="F323" s="85"/>
      <c r="G323" s="85"/>
      <c r="H323" s="85"/>
      <c r="I323" s="91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2.75" customHeight="1" spans="1:26">
      <c r="A324" s="85"/>
      <c r="B324" s="85"/>
      <c r="C324" s="85"/>
      <c r="D324" s="85"/>
      <c r="E324" s="85"/>
      <c r="F324" s="85"/>
      <c r="G324" s="85"/>
      <c r="H324" s="85"/>
      <c r="I324" s="91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2.75" customHeight="1" spans="1:26">
      <c r="A325" s="85"/>
      <c r="B325" s="85"/>
      <c r="C325" s="85"/>
      <c r="D325" s="85"/>
      <c r="E325" s="85"/>
      <c r="F325" s="85"/>
      <c r="G325" s="85"/>
      <c r="H325" s="85"/>
      <c r="I325" s="91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2.75" customHeight="1" spans="1:26">
      <c r="A326" s="85"/>
      <c r="B326" s="85"/>
      <c r="C326" s="85"/>
      <c r="D326" s="85"/>
      <c r="E326" s="85"/>
      <c r="F326" s="85"/>
      <c r="G326" s="85"/>
      <c r="H326" s="85"/>
      <c r="I326" s="91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2.75" customHeight="1" spans="1:26">
      <c r="A327" s="85"/>
      <c r="B327" s="85"/>
      <c r="C327" s="85"/>
      <c r="D327" s="85"/>
      <c r="E327" s="85"/>
      <c r="F327" s="85"/>
      <c r="G327" s="85"/>
      <c r="H327" s="85"/>
      <c r="I327" s="91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2.75" customHeight="1" spans="1:26">
      <c r="A328" s="85"/>
      <c r="B328" s="85"/>
      <c r="C328" s="85"/>
      <c r="D328" s="85"/>
      <c r="E328" s="85"/>
      <c r="F328" s="85"/>
      <c r="G328" s="85"/>
      <c r="H328" s="85"/>
      <c r="I328" s="91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2.75" customHeight="1" spans="1:26">
      <c r="A329" s="85"/>
      <c r="B329" s="85"/>
      <c r="C329" s="85"/>
      <c r="D329" s="85"/>
      <c r="E329" s="85"/>
      <c r="F329" s="85"/>
      <c r="G329" s="85"/>
      <c r="H329" s="85"/>
      <c r="I329" s="91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2.75" customHeight="1" spans="1:26">
      <c r="A330" s="85"/>
      <c r="B330" s="85"/>
      <c r="C330" s="85"/>
      <c r="D330" s="85"/>
      <c r="E330" s="85"/>
      <c r="F330" s="85"/>
      <c r="G330" s="85"/>
      <c r="H330" s="85"/>
      <c r="I330" s="91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2.75" customHeight="1" spans="1:26">
      <c r="A331" s="85"/>
      <c r="B331" s="85"/>
      <c r="C331" s="85"/>
      <c r="D331" s="85"/>
      <c r="E331" s="85"/>
      <c r="F331" s="85"/>
      <c r="G331" s="85"/>
      <c r="H331" s="85"/>
      <c r="I331" s="91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2.75" customHeight="1" spans="1:26">
      <c r="A332" s="85"/>
      <c r="B332" s="85"/>
      <c r="C332" s="85"/>
      <c r="D332" s="85"/>
      <c r="E332" s="85"/>
      <c r="F332" s="85"/>
      <c r="G332" s="85"/>
      <c r="H332" s="85"/>
      <c r="I332" s="91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2.75" customHeight="1" spans="1:26">
      <c r="A333" s="85"/>
      <c r="B333" s="85"/>
      <c r="C333" s="85"/>
      <c r="D333" s="85"/>
      <c r="E333" s="85"/>
      <c r="F333" s="85"/>
      <c r="G333" s="85"/>
      <c r="H333" s="85"/>
      <c r="I333" s="91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2.75" customHeight="1" spans="1:26">
      <c r="A334" s="85"/>
      <c r="B334" s="85"/>
      <c r="C334" s="85"/>
      <c r="D334" s="85"/>
      <c r="E334" s="85"/>
      <c r="F334" s="85"/>
      <c r="G334" s="85"/>
      <c r="H334" s="85"/>
      <c r="I334" s="91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2.75" customHeight="1" spans="1:26">
      <c r="A335" s="85"/>
      <c r="B335" s="85"/>
      <c r="C335" s="85"/>
      <c r="D335" s="85"/>
      <c r="E335" s="85"/>
      <c r="F335" s="85"/>
      <c r="G335" s="85"/>
      <c r="H335" s="85"/>
      <c r="I335" s="91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2.75" customHeight="1" spans="1:26">
      <c r="A336" s="85"/>
      <c r="B336" s="85"/>
      <c r="C336" s="85"/>
      <c r="D336" s="85"/>
      <c r="E336" s="85"/>
      <c r="F336" s="85"/>
      <c r="G336" s="85"/>
      <c r="H336" s="85"/>
      <c r="I336" s="91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2.75" customHeight="1" spans="1:26">
      <c r="A337" s="85"/>
      <c r="B337" s="85"/>
      <c r="C337" s="85"/>
      <c r="D337" s="85"/>
      <c r="E337" s="85"/>
      <c r="F337" s="85"/>
      <c r="G337" s="85"/>
      <c r="H337" s="85"/>
      <c r="I337" s="91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2.75" customHeight="1" spans="1:26">
      <c r="A338" s="85"/>
      <c r="B338" s="85"/>
      <c r="C338" s="85"/>
      <c r="D338" s="85"/>
      <c r="E338" s="85"/>
      <c r="F338" s="85"/>
      <c r="G338" s="85"/>
      <c r="H338" s="85"/>
      <c r="I338" s="91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2.75" customHeight="1" spans="1:26">
      <c r="A339" s="85"/>
      <c r="B339" s="85"/>
      <c r="C339" s="85"/>
      <c r="D339" s="85"/>
      <c r="E339" s="85"/>
      <c r="F339" s="85"/>
      <c r="G339" s="85"/>
      <c r="H339" s="85"/>
      <c r="I339" s="91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2.75" customHeight="1" spans="1:26">
      <c r="A340" s="85"/>
      <c r="B340" s="85"/>
      <c r="C340" s="85"/>
      <c r="D340" s="85"/>
      <c r="E340" s="85"/>
      <c r="F340" s="85"/>
      <c r="G340" s="85"/>
      <c r="H340" s="85"/>
      <c r="I340" s="91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2.75" customHeight="1" spans="1:26">
      <c r="A341" s="85"/>
      <c r="B341" s="85"/>
      <c r="C341" s="85"/>
      <c r="D341" s="85"/>
      <c r="E341" s="85"/>
      <c r="F341" s="85"/>
      <c r="G341" s="85"/>
      <c r="H341" s="85"/>
      <c r="I341" s="91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2.75" customHeight="1" spans="1:26">
      <c r="A342" s="85"/>
      <c r="B342" s="85"/>
      <c r="C342" s="85"/>
      <c r="D342" s="85"/>
      <c r="E342" s="85"/>
      <c r="F342" s="85"/>
      <c r="G342" s="85"/>
      <c r="H342" s="85"/>
      <c r="I342" s="91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2.75" customHeight="1" spans="1:26">
      <c r="A343" s="85"/>
      <c r="B343" s="85"/>
      <c r="C343" s="85"/>
      <c r="D343" s="85"/>
      <c r="E343" s="85"/>
      <c r="F343" s="85"/>
      <c r="G343" s="85"/>
      <c r="H343" s="85"/>
      <c r="I343" s="91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2.75" customHeight="1" spans="1:26">
      <c r="A344" s="85"/>
      <c r="B344" s="85"/>
      <c r="C344" s="85"/>
      <c r="D344" s="85"/>
      <c r="E344" s="85"/>
      <c r="F344" s="85"/>
      <c r="G344" s="85"/>
      <c r="H344" s="85"/>
      <c r="I344" s="91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2.75" customHeight="1" spans="1:26">
      <c r="A345" s="85"/>
      <c r="B345" s="85"/>
      <c r="C345" s="85"/>
      <c r="D345" s="85"/>
      <c r="E345" s="85"/>
      <c r="F345" s="85"/>
      <c r="G345" s="85"/>
      <c r="H345" s="85"/>
      <c r="I345" s="91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2.75" customHeight="1" spans="1:26">
      <c r="A346" s="85"/>
      <c r="B346" s="85"/>
      <c r="C346" s="85"/>
      <c r="D346" s="85"/>
      <c r="E346" s="85"/>
      <c r="F346" s="85"/>
      <c r="G346" s="85"/>
      <c r="H346" s="85"/>
      <c r="I346" s="91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2.75" customHeight="1" spans="1:26">
      <c r="A347" s="85"/>
      <c r="B347" s="85"/>
      <c r="C347" s="85"/>
      <c r="D347" s="85"/>
      <c r="E347" s="85"/>
      <c r="F347" s="85"/>
      <c r="G347" s="85"/>
      <c r="H347" s="85"/>
      <c r="I347" s="91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2.75" customHeight="1" spans="1:26">
      <c r="A348" s="85"/>
      <c r="B348" s="85"/>
      <c r="C348" s="85"/>
      <c r="D348" s="85"/>
      <c r="E348" s="85"/>
      <c r="F348" s="85"/>
      <c r="G348" s="85"/>
      <c r="H348" s="85"/>
      <c r="I348" s="91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2.75" customHeight="1" spans="1:26">
      <c r="A349" s="85"/>
      <c r="B349" s="85"/>
      <c r="C349" s="85"/>
      <c r="D349" s="85"/>
      <c r="E349" s="85"/>
      <c r="F349" s="85"/>
      <c r="G349" s="85"/>
      <c r="H349" s="85"/>
      <c r="I349" s="91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2.75" customHeight="1" spans="1:26">
      <c r="A350" s="85"/>
      <c r="B350" s="85"/>
      <c r="C350" s="85"/>
      <c r="D350" s="85"/>
      <c r="E350" s="85"/>
      <c r="F350" s="85"/>
      <c r="G350" s="85"/>
      <c r="H350" s="85"/>
      <c r="I350" s="91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2.75" customHeight="1" spans="1:26">
      <c r="A351" s="85"/>
      <c r="B351" s="85"/>
      <c r="C351" s="85"/>
      <c r="D351" s="85"/>
      <c r="E351" s="85"/>
      <c r="F351" s="85"/>
      <c r="G351" s="85"/>
      <c r="H351" s="85"/>
      <c r="I351" s="91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2.75" customHeight="1" spans="1:26">
      <c r="A352" s="85"/>
      <c r="B352" s="85"/>
      <c r="C352" s="85"/>
      <c r="D352" s="85"/>
      <c r="E352" s="85"/>
      <c r="F352" s="85"/>
      <c r="G352" s="85"/>
      <c r="H352" s="85"/>
      <c r="I352" s="91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2.75" customHeight="1" spans="1:26">
      <c r="A353" s="85"/>
      <c r="B353" s="85"/>
      <c r="C353" s="85"/>
      <c r="D353" s="85"/>
      <c r="E353" s="85"/>
      <c r="F353" s="85"/>
      <c r="G353" s="85"/>
      <c r="H353" s="85"/>
      <c r="I353" s="91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2.75" customHeight="1" spans="1:26">
      <c r="A354" s="85"/>
      <c r="B354" s="85"/>
      <c r="C354" s="85"/>
      <c r="D354" s="85"/>
      <c r="E354" s="85"/>
      <c r="F354" s="85"/>
      <c r="G354" s="85"/>
      <c r="H354" s="85"/>
      <c r="I354" s="91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2.75" customHeight="1" spans="1:26">
      <c r="A355" s="85"/>
      <c r="B355" s="85"/>
      <c r="C355" s="85"/>
      <c r="D355" s="85"/>
      <c r="E355" s="85"/>
      <c r="F355" s="85"/>
      <c r="G355" s="85"/>
      <c r="H355" s="85"/>
      <c r="I355" s="91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2.75" customHeight="1" spans="1:26">
      <c r="A356" s="85"/>
      <c r="B356" s="85"/>
      <c r="C356" s="85"/>
      <c r="D356" s="85"/>
      <c r="E356" s="85"/>
      <c r="F356" s="85"/>
      <c r="G356" s="85"/>
      <c r="H356" s="85"/>
      <c r="I356" s="91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2.75" customHeight="1" spans="1:26">
      <c r="A357" s="85"/>
      <c r="B357" s="85"/>
      <c r="C357" s="85"/>
      <c r="D357" s="85"/>
      <c r="E357" s="85"/>
      <c r="F357" s="85"/>
      <c r="G357" s="85"/>
      <c r="H357" s="85"/>
      <c r="I357" s="91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2.75" customHeight="1" spans="1:26">
      <c r="A358" s="85"/>
      <c r="B358" s="85"/>
      <c r="C358" s="85"/>
      <c r="D358" s="85"/>
      <c r="E358" s="85"/>
      <c r="F358" s="85"/>
      <c r="G358" s="85"/>
      <c r="H358" s="85"/>
      <c r="I358" s="91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2.75" customHeight="1" spans="1:26">
      <c r="A359" s="85"/>
      <c r="B359" s="85"/>
      <c r="C359" s="85"/>
      <c r="D359" s="85"/>
      <c r="E359" s="85"/>
      <c r="F359" s="85"/>
      <c r="G359" s="85"/>
      <c r="H359" s="85"/>
      <c r="I359" s="91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2.75" customHeight="1" spans="1:26">
      <c r="A360" s="85"/>
      <c r="B360" s="85"/>
      <c r="C360" s="85"/>
      <c r="D360" s="85"/>
      <c r="E360" s="85"/>
      <c r="F360" s="85"/>
      <c r="G360" s="85"/>
      <c r="H360" s="85"/>
      <c r="I360" s="91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2.75" customHeight="1" spans="1:26">
      <c r="A361" s="85"/>
      <c r="B361" s="85"/>
      <c r="C361" s="85"/>
      <c r="D361" s="85"/>
      <c r="E361" s="85"/>
      <c r="F361" s="85"/>
      <c r="G361" s="85"/>
      <c r="H361" s="85"/>
      <c r="I361" s="91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2.75" customHeight="1" spans="1:26">
      <c r="A362" s="85"/>
      <c r="B362" s="85"/>
      <c r="C362" s="85"/>
      <c r="D362" s="85"/>
      <c r="E362" s="85"/>
      <c r="F362" s="85"/>
      <c r="G362" s="85"/>
      <c r="H362" s="85"/>
      <c r="I362" s="91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2.75" customHeight="1" spans="1:26">
      <c r="A363" s="85"/>
      <c r="B363" s="85"/>
      <c r="C363" s="85"/>
      <c r="D363" s="85"/>
      <c r="E363" s="85"/>
      <c r="F363" s="85"/>
      <c r="G363" s="85"/>
      <c r="H363" s="85"/>
      <c r="I363" s="91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2.75" customHeight="1" spans="1:26">
      <c r="A364" s="85"/>
      <c r="B364" s="85"/>
      <c r="C364" s="85"/>
      <c r="D364" s="85"/>
      <c r="E364" s="85"/>
      <c r="F364" s="85"/>
      <c r="G364" s="85"/>
      <c r="H364" s="85"/>
      <c r="I364" s="91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2.75" customHeight="1" spans="1:26">
      <c r="A365" s="85"/>
      <c r="B365" s="85"/>
      <c r="C365" s="85"/>
      <c r="D365" s="85"/>
      <c r="E365" s="85"/>
      <c r="F365" s="85"/>
      <c r="G365" s="85"/>
      <c r="H365" s="85"/>
      <c r="I365" s="91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2.75" customHeight="1" spans="1:26">
      <c r="A366" s="85"/>
      <c r="B366" s="85"/>
      <c r="C366" s="85"/>
      <c r="D366" s="85"/>
      <c r="E366" s="85"/>
      <c r="F366" s="85"/>
      <c r="G366" s="85"/>
      <c r="H366" s="85"/>
      <c r="I366" s="91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2.75" customHeight="1" spans="1:26">
      <c r="A367" s="85"/>
      <c r="B367" s="85"/>
      <c r="C367" s="85"/>
      <c r="D367" s="85"/>
      <c r="E367" s="85"/>
      <c r="F367" s="85"/>
      <c r="G367" s="85"/>
      <c r="H367" s="85"/>
      <c r="I367" s="91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2.75" customHeight="1" spans="1:26">
      <c r="A368" s="85"/>
      <c r="B368" s="85"/>
      <c r="C368" s="85"/>
      <c r="D368" s="85"/>
      <c r="E368" s="85"/>
      <c r="F368" s="85"/>
      <c r="G368" s="85"/>
      <c r="H368" s="85"/>
      <c r="I368" s="91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2.75" customHeight="1" spans="1:26">
      <c r="A369" s="85"/>
      <c r="B369" s="85"/>
      <c r="C369" s="85"/>
      <c r="D369" s="85"/>
      <c r="E369" s="85"/>
      <c r="F369" s="85"/>
      <c r="G369" s="85"/>
      <c r="H369" s="85"/>
      <c r="I369" s="91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2.75" customHeight="1" spans="1:26">
      <c r="A370" s="85"/>
      <c r="B370" s="85"/>
      <c r="C370" s="85"/>
      <c r="D370" s="85"/>
      <c r="E370" s="85"/>
      <c r="F370" s="85"/>
      <c r="G370" s="85"/>
      <c r="H370" s="85"/>
      <c r="I370" s="91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2.75" customHeight="1" spans="1:26">
      <c r="A371" s="85"/>
      <c r="B371" s="85"/>
      <c r="C371" s="85"/>
      <c r="D371" s="85"/>
      <c r="E371" s="85"/>
      <c r="F371" s="85"/>
      <c r="G371" s="85"/>
      <c r="H371" s="85"/>
      <c r="I371" s="91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2.75" customHeight="1" spans="1:26">
      <c r="A372" s="85"/>
      <c r="B372" s="85"/>
      <c r="C372" s="85"/>
      <c r="D372" s="85"/>
      <c r="E372" s="85"/>
      <c r="F372" s="85"/>
      <c r="G372" s="85"/>
      <c r="H372" s="85"/>
      <c r="I372" s="91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2.75" customHeight="1" spans="1:26">
      <c r="A373" s="85"/>
      <c r="B373" s="85"/>
      <c r="C373" s="85"/>
      <c r="D373" s="85"/>
      <c r="E373" s="85"/>
      <c r="F373" s="85"/>
      <c r="G373" s="85"/>
      <c r="H373" s="85"/>
      <c r="I373" s="91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2.75" customHeight="1" spans="1:26">
      <c r="A374" s="85"/>
      <c r="B374" s="85"/>
      <c r="C374" s="85"/>
      <c r="D374" s="85"/>
      <c r="E374" s="85"/>
      <c r="F374" s="85"/>
      <c r="G374" s="85"/>
      <c r="H374" s="85"/>
      <c r="I374" s="91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2.75" customHeight="1" spans="1:26">
      <c r="A375" s="85"/>
      <c r="B375" s="85"/>
      <c r="C375" s="85"/>
      <c r="D375" s="85"/>
      <c r="E375" s="85"/>
      <c r="F375" s="85"/>
      <c r="G375" s="85"/>
      <c r="H375" s="85"/>
      <c r="I375" s="91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2.75" customHeight="1" spans="1:26">
      <c r="A376" s="85"/>
      <c r="B376" s="85"/>
      <c r="C376" s="85"/>
      <c r="D376" s="85"/>
      <c r="E376" s="85"/>
      <c r="F376" s="85"/>
      <c r="G376" s="85"/>
      <c r="H376" s="85"/>
      <c r="I376" s="91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2.75" customHeight="1" spans="1:26">
      <c r="A377" s="85"/>
      <c r="B377" s="85"/>
      <c r="C377" s="85"/>
      <c r="D377" s="85"/>
      <c r="E377" s="85"/>
      <c r="F377" s="85"/>
      <c r="G377" s="85"/>
      <c r="H377" s="85"/>
      <c r="I377" s="91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2.75" customHeight="1" spans="1:26">
      <c r="A378" s="85"/>
      <c r="B378" s="85"/>
      <c r="C378" s="85"/>
      <c r="D378" s="85"/>
      <c r="E378" s="85"/>
      <c r="F378" s="85"/>
      <c r="G378" s="85"/>
      <c r="H378" s="85"/>
      <c r="I378" s="91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2.75" customHeight="1" spans="1:26">
      <c r="A379" s="85"/>
      <c r="B379" s="85"/>
      <c r="C379" s="85"/>
      <c r="D379" s="85"/>
      <c r="E379" s="85"/>
      <c r="F379" s="85"/>
      <c r="G379" s="85"/>
      <c r="H379" s="85"/>
      <c r="I379" s="91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2.75" customHeight="1" spans="1:26">
      <c r="A380" s="85"/>
      <c r="B380" s="85"/>
      <c r="C380" s="85"/>
      <c r="D380" s="85"/>
      <c r="E380" s="85"/>
      <c r="F380" s="85"/>
      <c r="G380" s="85"/>
      <c r="H380" s="85"/>
      <c r="I380" s="91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2.75" customHeight="1" spans="1:26">
      <c r="A381" s="85"/>
      <c r="B381" s="85"/>
      <c r="C381" s="85"/>
      <c r="D381" s="85"/>
      <c r="E381" s="85"/>
      <c r="F381" s="85"/>
      <c r="G381" s="85"/>
      <c r="H381" s="85"/>
      <c r="I381" s="91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2.75" customHeight="1" spans="1:26">
      <c r="A382" s="85"/>
      <c r="B382" s="85"/>
      <c r="C382" s="85"/>
      <c r="D382" s="85"/>
      <c r="E382" s="85"/>
      <c r="F382" s="85"/>
      <c r="G382" s="85"/>
      <c r="H382" s="85"/>
      <c r="I382" s="91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2.75" customHeight="1" spans="1:26">
      <c r="A383" s="85"/>
      <c r="B383" s="85"/>
      <c r="C383" s="85"/>
      <c r="D383" s="85"/>
      <c r="E383" s="85"/>
      <c r="F383" s="85"/>
      <c r="G383" s="85"/>
      <c r="H383" s="85"/>
      <c r="I383" s="91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2.75" customHeight="1" spans="1:26">
      <c r="A384" s="85"/>
      <c r="B384" s="85"/>
      <c r="C384" s="85"/>
      <c r="D384" s="85"/>
      <c r="E384" s="85"/>
      <c r="F384" s="85"/>
      <c r="G384" s="85"/>
      <c r="H384" s="85"/>
      <c r="I384" s="91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2.75" customHeight="1" spans="1:26">
      <c r="A385" s="85"/>
      <c r="B385" s="85"/>
      <c r="C385" s="85"/>
      <c r="D385" s="85"/>
      <c r="E385" s="85"/>
      <c r="F385" s="85"/>
      <c r="G385" s="85"/>
      <c r="H385" s="85"/>
      <c r="I385" s="91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2.75" customHeight="1" spans="1:26">
      <c r="A386" s="85"/>
      <c r="B386" s="85"/>
      <c r="C386" s="85"/>
      <c r="D386" s="85"/>
      <c r="E386" s="85"/>
      <c r="F386" s="85"/>
      <c r="G386" s="85"/>
      <c r="H386" s="85"/>
      <c r="I386" s="91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2.75" customHeight="1" spans="1:26">
      <c r="A387" s="85"/>
      <c r="B387" s="85"/>
      <c r="C387" s="85"/>
      <c r="D387" s="85"/>
      <c r="E387" s="85"/>
      <c r="F387" s="85"/>
      <c r="G387" s="85"/>
      <c r="H387" s="85"/>
      <c r="I387" s="91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2.75" customHeight="1" spans="1:26">
      <c r="A388" s="85"/>
      <c r="B388" s="85"/>
      <c r="C388" s="85"/>
      <c r="D388" s="85"/>
      <c r="E388" s="85"/>
      <c r="F388" s="85"/>
      <c r="G388" s="85"/>
      <c r="H388" s="85"/>
      <c r="I388" s="91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2.75" customHeight="1" spans="1:26">
      <c r="A389" s="85"/>
      <c r="B389" s="85"/>
      <c r="C389" s="85"/>
      <c r="D389" s="85"/>
      <c r="E389" s="85"/>
      <c r="F389" s="85"/>
      <c r="G389" s="85"/>
      <c r="H389" s="85"/>
      <c r="I389" s="91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2.75" customHeight="1" spans="1:26">
      <c r="A390" s="85"/>
      <c r="B390" s="85"/>
      <c r="C390" s="85"/>
      <c r="D390" s="85"/>
      <c r="E390" s="85"/>
      <c r="F390" s="85"/>
      <c r="G390" s="85"/>
      <c r="H390" s="85"/>
      <c r="I390" s="91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2.75" customHeight="1" spans="1:26">
      <c r="A391" s="85"/>
      <c r="B391" s="85"/>
      <c r="C391" s="85"/>
      <c r="D391" s="85"/>
      <c r="E391" s="85"/>
      <c r="F391" s="85"/>
      <c r="G391" s="85"/>
      <c r="H391" s="85"/>
      <c r="I391" s="91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2.75" customHeight="1" spans="1:26">
      <c r="A392" s="85"/>
      <c r="B392" s="85"/>
      <c r="C392" s="85"/>
      <c r="D392" s="85"/>
      <c r="E392" s="85"/>
      <c r="F392" s="85"/>
      <c r="G392" s="85"/>
      <c r="H392" s="85"/>
      <c r="I392" s="91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2.75" customHeight="1" spans="1:26">
      <c r="A393" s="85"/>
      <c r="B393" s="85"/>
      <c r="C393" s="85"/>
      <c r="D393" s="85"/>
      <c r="E393" s="85"/>
      <c r="F393" s="85"/>
      <c r="G393" s="85"/>
      <c r="H393" s="85"/>
      <c r="I393" s="91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2.75" customHeight="1" spans="1:26">
      <c r="A394" s="85"/>
      <c r="B394" s="85"/>
      <c r="C394" s="85"/>
      <c r="D394" s="85"/>
      <c r="E394" s="85"/>
      <c r="F394" s="85"/>
      <c r="G394" s="85"/>
      <c r="H394" s="85"/>
      <c r="I394" s="91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2.75" customHeight="1" spans="1:26">
      <c r="A395" s="85"/>
      <c r="B395" s="85"/>
      <c r="C395" s="85"/>
      <c r="D395" s="85"/>
      <c r="E395" s="85"/>
      <c r="F395" s="85"/>
      <c r="G395" s="85"/>
      <c r="H395" s="85"/>
      <c r="I395" s="91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2.75" customHeight="1" spans="1:26">
      <c r="A396" s="85"/>
      <c r="B396" s="85"/>
      <c r="C396" s="85"/>
      <c r="D396" s="85"/>
      <c r="E396" s="85"/>
      <c r="F396" s="85"/>
      <c r="G396" s="85"/>
      <c r="H396" s="85"/>
      <c r="I396" s="91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2.75" customHeight="1" spans="1:26">
      <c r="A397" s="85"/>
      <c r="B397" s="85"/>
      <c r="C397" s="85"/>
      <c r="D397" s="85"/>
      <c r="E397" s="85"/>
      <c r="F397" s="85"/>
      <c r="G397" s="85"/>
      <c r="H397" s="85"/>
      <c r="I397" s="91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2.75" customHeight="1" spans="1:26">
      <c r="A398" s="85"/>
      <c r="B398" s="85"/>
      <c r="C398" s="85"/>
      <c r="D398" s="85"/>
      <c r="E398" s="85"/>
      <c r="F398" s="85"/>
      <c r="G398" s="85"/>
      <c r="H398" s="85"/>
      <c r="I398" s="91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2.75" customHeight="1" spans="1:26">
      <c r="A399" s="85"/>
      <c r="B399" s="85"/>
      <c r="C399" s="85"/>
      <c r="D399" s="85"/>
      <c r="E399" s="85"/>
      <c r="F399" s="85"/>
      <c r="G399" s="85"/>
      <c r="H399" s="85"/>
      <c r="I399" s="91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2.75" customHeight="1" spans="1:26">
      <c r="A400" s="85"/>
      <c r="B400" s="85"/>
      <c r="C400" s="85"/>
      <c r="D400" s="85"/>
      <c r="E400" s="85"/>
      <c r="F400" s="85"/>
      <c r="G400" s="85"/>
      <c r="H400" s="85"/>
      <c r="I400" s="91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2.75" customHeight="1" spans="1:26">
      <c r="A401" s="85"/>
      <c r="B401" s="85"/>
      <c r="C401" s="85"/>
      <c r="D401" s="85"/>
      <c r="E401" s="85"/>
      <c r="F401" s="85"/>
      <c r="G401" s="85"/>
      <c r="H401" s="85"/>
      <c r="I401" s="91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2.75" customHeight="1" spans="1:26">
      <c r="A402" s="85"/>
      <c r="B402" s="85"/>
      <c r="C402" s="85"/>
      <c r="D402" s="85"/>
      <c r="E402" s="85"/>
      <c r="F402" s="85"/>
      <c r="G402" s="85"/>
      <c r="H402" s="85"/>
      <c r="I402" s="91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2.75" customHeight="1" spans="1:26">
      <c r="A403" s="85"/>
      <c r="B403" s="85"/>
      <c r="C403" s="85"/>
      <c r="D403" s="85"/>
      <c r="E403" s="85"/>
      <c r="F403" s="85"/>
      <c r="G403" s="85"/>
      <c r="H403" s="85"/>
      <c r="I403" s="91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2.75" customHeight="1" spans="1:26">
      <c r="A404" s="85"/>
      <c r="B404" s="85"/>
      <c r="C404" s="85"/>
      <c r="D404" s="85"/>
      <c r="E404" s="85"/>
      <c r="F404" s="85"/>
      <c r="G404" s="85"/>
      <c r="H404" s="85"/>
      <c r="I404" s="91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2.75" customHeight="1" spans="1:26">
      <c r="A405" s="85"/>
      <c r="B405" s="85"/>
      <c r="C405" s="85"/>
      <c r="D405" s="85"/>
      <c r="E405" s="85"/>
      <c r="F405" s="85"/>
      <c r="G405" s="85"/>
      <c r="H405" s="85"/>
      <c r="I405" s="91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2.75" customHeight="1" spans="1:26">
      <c r="A406" s="85"/>
      <c r="B406" s="85"/>
      <c r="C406" s="85"/>
      <c r="D406" s="85"/>
      <c r="E406" s="85"/>
      <c r="F406" s="85"/>
      <c r="G406" s="85"/>
      <c r="H406" s="85"/>
      <c r="I406" s="91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2.75" customHeight="1" spans="1:26">
      <c r="A407" s="85"/>
      <c r="B407" s="85"/>
      <c r="C407" s="85"/>
      <c r="D407" s="85"/>
      <c r="E407" s="85"/>
      <c r="F407" s="85"/>
      <c r="G407" s="85"/>
      <c r="H407" s="85"/>
      <c r="I407" s="91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2.75" customHeight="1" spans="1:26">
      <c r="A408" s="85"/>
      <c r="B408" s="85"/>
      <c r="C408" s="85"/>
      <c r="D408" s="85"/>
      <c r="E408" s="85"/>
      <c r="F408" s="85"/>
      <c r="G408" s="85"/>
      <c r="H408" s="85"/>
      <c r="I408" s="91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2.75" customHeight="1" spans="1:26">
      <c r="A409" s="85"/>
      <c r="B409" s="85"/>
      <c r="C409" s="85"/>
      <c r="D409" s="85"/>
      <c r="E409" s="85"/>
      <c r="F409" s="85"/>
      <c r="G409" s="85"/>
      <c r="H409" s="85"/>
      <c r="I409" s="91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2.75" customHeight="1" spans="1:26">
      <c r="A410" s="85"/>
      <c r="B410" s="85"/>
      <c r="C410" s="85"/>
      <c r="D410" s="85"/>
      <c r="E410" s="85"/>
      <c r="F410" s="85"/>
      <c r="G410" s="85"/>
      <c r="H410" s="85"/>
      <c r="I410" s="91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2.75" customHeight="1" spans="1:26">
      <c r="A411" s="85"/>
      <c r="B411" s="85"/>
      <c r="C411" s="85"/>
      <c r="D411" s="85"/>
      <c r="E411" s="85"/>
      <c r="F411" s="85"/>
      <c r="G411" s="85"/>
      <c r="H411" s="85"/>
      <c r="I411" s="91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2.75" customHeight="1" spans="1:26">
      <c r="A412" s="85"/>
      <c r="B412" s="85"/>
      <c r="C412" s="85"/>
      <c r="D412" s="85"/>
      <c r="E412" s="85"/>
      <c r="F412" s="85"/>
      <c r="G412" s="85"/>
      <c r="H412" s="85"/>
      <c r="I412" s="91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2.75" customHeight="1" spans="1:26">
      <c r="A413" s="85"/>
      <c r="B413" s="85"/>
      <c r="C413" s="85"/>
      <c r="D413" s="85"/>
      <c r="E413" s="85"/>
      <c r="F413" s="85"/>
      <c r="G413" s="85"/>
      <c r="H413" s="85"/>
      <c r="I413" s="91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2.75" customHeight="1" spans="1:26">
      <c r="A414" s="85"/>
      <c r="B414" s="85"/>
      <c r="C414" s="85"/>
      <c r="D414" s="85"/>
      <c r="E414" s="85"/>
      <c r="F414" s="85"/>
      <c r="G414" s="85"/>
      <c r="H414" s="85"/>
      <c r="I414" s="91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2.75" customHeight="1" spans="1:26">
      <c r="A415" s="85"/>
      <c r="B415" s="85"/>
      <c r="C415" s="85"/>
      <c r="D415" s="85"/>
      <c r="E415" s="85"/>
      <c r="F415" s="85"/>
      <c r="G415" s="85"/>
      <c r="H415" s="85"/>
      <c r="I415" s="91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2.75" customHeight="1" spans="1:26">
      <c r="A416" s="85"/>
      <c r="B416" s="85"/>
      <c r="C416" s="85"/>
      <c r="D416" s="85"/>
      <c r="E416" s="85"/>
      <c r="F416" s="85"/>
      <c r="G416" s="85"/>
      <c r="H416" s="85"/>
      <c r="I416" s="91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2.75" customHeight="1" spans="1:26">
      <c r="A417" s="85"/>
      <c r="B417" s="85"/>
      <c r="C417" s="85"/>
      <c r="D417" s="85"/>
      <c r="E417" s="85"/>
      <c r="F417" s="85"/>
      <c r="G417" s="85"/>
      <c r="H417" s="85"/>
      <c r="I417" s="91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2.75" customHeight="1" spans="1:26">
      <c r="A418" s="85"/>
      <c r="B418" s="85"/>
      <c r="C418" s="85"/>
      <c r="D418" s="85"/>
      <c r="E418" s="85"/>
      <c r="F418" s="85"/>
      <c r="G418" s="85"/>
      <c r="H418" s="85"/>
      <c r="I418" s="91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2.75" customHeight="1" spans="1:26">
      <c r="A419" s="85"/>
      <c r="B419" s="85"/>
      <c r="C419" s="85"/>
      <c r="D419" s="85"/>
      <c r="E419" s="85"/>
      <c r="F419" s="85"/>
      <c r="G419" s="85"/>
      <c r="H419" s="85"/>
      <c r="I419" s="91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2.75" customHeight="1" spans="1:26">
      <c r="A420" s="85"/>
      <c r="B420" s="85"/>
      <c r="C420" s="85"/>
      <c r="D420" s="85"/>
      <c r="E420" s="85"/>
      <c r="F420" s="85"/>
      <c r="G420" s="85"/>
      <c r="H420" s="85"/>
      <c r="I420" s="91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2.75" customHeight="1" spans="1:26">
      <c r="A421" s="85"/>
      <c r="B421" s="85"/>
      <c r="C421" s="85"/>
      <c r="D421" s="85"/>
      <c r="E421" s="85"/>
      <c r="F421" s="85"/>
      <c r="G421" s="85"/>
      <c r="H421" s="85"/>
      <c r="I421" s="91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2.75" customHeight="1" spans="1:26">
      <c r="A422" s="85"/>
      <c r="B422" s="85"/>
      <c r="C422" s="85"/>
      <c r="D422" s="85"/>
      <c r="E422" s="85"/>
      <c r="F422" s="85"/>
      <c r="G422" s="85"/>
      <c r="H422" s="85"/>
      <c r="I422" s="91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2.75" customHeight="1" spans="1:26">
      <c r="A423" s="85"/>
      <c r="B423" s="85"/>
      <c r="C423" s="85"/>
      <c r="D423" s="85"/>
      <c r="E423" s="85"/>
      <c r="F423" s="85"/>
      <c r="G423" s="85"/>
      <c r="H423" s="85"/>
      <c r="I423" s="91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2.75" customHeight="1" spans="1:26">
      <c r="A424" s="85"/>
      <c r="B424" s="85"/>
      <c r="C424" s="85"/>
      <c r="D424" s="85"/>
      <c r="E424" s="85"/>
      <c r="F424" s="85"/>
      <c r="G424" s="85"/>
      <c r="H424" s="85"/>
      <c r="I424" s="91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2.75" customHeight="1" spans="1:26">
      <c r="A425" s="85"/>
      <c r="B425" s="85"/>
      <c r="C425" s="85"/>
      <c r="D425" s="85"/>
      <c r="E425" s="85"/>
      <c r="F425" s="85"/>
      <c r="G425" s="85"/>
      <c r="H425" s="85"/>
      <c r="I425" s="91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2.75" customHeight="1" spans="1:26">
      <c r="A426" s="85"/>
      <c r="B426" s="85"/>
      <c r="C426" s="85"/>
      <c r="D426" s="85"/>
      <c r="E426" s="85"/>
      <c r="F426" s="85"/>
      <c r="G426" s="85"/>
      <c r="H426" s="85"/>
      <c r="I426" s="91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2.75" customHeight="1" spans="1:26">
      <c r="A427" s="85"/>
      <c r="B427" s="85"/>
      <c r="C427" s="85"/>
      <c r="D427" s="85"/>
      <c r="E427" s="85"/>
      <c r="F427" s="85"/>
      <c r="G427" s="85"/>
      <c r="H427" s="85"/>
      <c r="I427" s="91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2.75" customHeight="1" spans="1:26">
      <c r="A428" s="85"/>
      <c r="B428" s="85"/>
      <c r="C428" s="85"/>
      <c r="D428" s="85"/>
      <c r="E428" s="85"/>
      <c r="F428" s="85"/>
      <c r="G428" s="85"/>
      <c r="H428" s="85"/>
      <c r="I428" s="91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2.75" customHeight="1" spans="1:26">
      <c r="A429" s="85"/>
      <c r="B429" s="85"/>
      <c r="C429" s="85"/>
      <c r="D429" s="85"/>
      <c r="E429" s="85"/>
      <c r="F429" s="85"/>
      <c r="G429" s="85"/>
      <c r="H429" s="85"/>
      <c r="I429" s="91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2.75" customHeight="1" spans="1:26">
      <c r="A430" s="85"/>
      <c r="B430" s="85"/>
      <c r="C430" s="85"/>
      <c r="D430" s="85"/>
      <c r="E430" s="85"/>
      <c r="F430" s="85"/>
      <c r="G430" s="85"/>
      <c r="H430" s="85"/>
      <c r="I430" s="91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2.75" customHeight="1" spans="1:26">
      <c r="A431" s="85"/>
      <c r="B431" s="85"/>
      <c r="C431" s="85"/>
      <c r="D431" s="85"/>
      <c r="E431" s="85"/>
      <c r="F431" s="85"/>
      <c r="G431" s="85"/>
      <c r="H431" s="85"/>
      <c r="I431" s="91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2.75" customHeight="1" spans="1:26">
      <c r="A432" s="85"/>
      <c r="B432" s="85"/>
      <c r="C432" s="85"/>
      <c r="D432" s="85"/>
      <c r="E432" s="85"/>
      <c r="F432" s="85"/>
      <c r="G432" s="85"/>
      <c r="H432" s="85"/>
      <c r="I432" s="91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2.75" customHeight="1" spans="1:26">
      <c r="A433" s="85"/>
      <c r="B433" s="85"/>
      <c r="C433" s="85"/>
      <c r="D433" s="85"/>
      <c r="E433" s="85"/>
      <c r="F433" s="85"/>
      <c r="G433" s="85"/>
      <c r="H433" s="85"/>
      <c r="I433" s="91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2.75" customHeight="1" spans="1:26">
      <c r="A434" s="85"/>
      <c r="B434" s="85"/>
      <c r="C434" s="85"/>
      <c r="D434" s="85"/>
      <c r="E434" s="85"/>
      <c r="F434" s="85"/>
      <c r="G434" s="85"/>
      <c r="H434" s="85"/>
      <c r="I434" s="91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2.75" customHeight="1" spans="1:26">
      <c r="A435" s="85"/>
      <c r="B435" s="85"/>
      <c r="C435" s="85"/>
      <c r="D435" s="85"/>
      <c r="E435" s="85"/>
      <c r="F435" s="85"/>
      <c r="G435" s="85"/>
      <c r="H435" s="85"/>
      <c r="I435" s="91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2.75" customHeight="1" spans="1:26">
      <c r="A436" s="85"/>
      <c r="B436" s="85"/>
      <c r="C436" s="85"/>
      <c r="D436" s="85"/>
      <c r="E436" s="85"/>
      <c r="F436" s="85"/>
      <c r="G436" s="85"/>
      <c r="H436" s="85"/>
      <c r="I436" s="91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2.75" customHeight="1" spans="1:26">
      <c r="A437" s="85"/>
      <c r="B437" s="85"/>
      <c r="C437" s="85"/>
      <c r="D437" s="85"/>
      <c r="E437" s="85"/>
      <c r="F437" s="85"/>
      <c r="G437" s="85"/>
      <c r="H437" s="85"/>
      <c r="I437" s="91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2.75" customHeight="1" spans="1:26">
      <c r="A438" s="85"/>
      <c r="B438" s="85"/>
      <c r="C438" s="85"/>
      <c r="D438" s="85"/>
      <c r="E438" s="85"/>
      <c r="F438" s="85"/>
      <c r="G438" s="85"/>
      <c r="H438" s="85"/>
      <c r="I438" s="91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2.75" customHeight="1" spans="1:26">
      <c r="A439" s="85"/>
      <c r="B439" s="85"/>
      <c r="C439" s="85"/>
      <c r="D439" s="85"/>
      <c r="E439" s="85"/>
      <c r="F439" s="85"/>
      <c r="G439" s="85"/>
      <c r="H439" s="85"/>
      <c r="I439" s="91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2.75" customHeight="1" spans="1:26">
      <c r="A440" s="85"/>
      <c r="B440" s="85"/>
      <c r="C440" s="85"/>
      <c r="D440" s="85"/>
      <c r="E440" s="85"/>
      <c r="F440" s="85"/>
      <c r="G440" s="85"/>
      <c r="H440" s="85"/>
      <c r="I440" s="91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2.75" customHeight="1" spans="1:26">
      <c r="A441" s="85"/>
      <c r="B441" s="85"/>
      <c r="C441" s="85"/>
      <c r="D441" s="85"/>
      <c r="E441" s="85"/>
      <c r="F441" s="85"/>
      <c r="G441" s="85"/>
      <c r="H441" s="85"/>
      <c r="I441" s="91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2.75" customHeight="1" spans="1:26">
      <c r="A442" s="85"/>
      <c r="B442" s="85"/>
      <c r="C442" s="85"/>
      <c r="D442" s="85"/>
      <c r="E442" s="85"/>
      <c r="F442" s="85"/>
      <c r="G442" s="85"/>
      <c r="H442" s="85"/>
      <c r="I442" s="91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2.75" customHeight="1" spans="1:26">
      <c r="A443" s="85"/>
      <c r="B443" s="85"/>
      <c r="C443" s="85"/>
      <c r="D443" s="85"/>
      <c r="E443" s="85"/>
      <c r="F443" s="85"/>
      <c r="G443" s="85"/>
      <c r="H443" s="85"/>
      <c r="I443" s="91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2.75" customHeight="1" spans="1:26">
      <c r="A444" s="85"/>
      <c r="B444" s="85"/>
      <c r="C444" s="85"/>
      <c r="D444" s="85"/>
      <c r="E444" s="85"/>
      <c r="F444" s="85"/>
      <c r="G444" s="85"/>
      <c r="H444" s="85"/>
      <c r="I444" s="91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2.75" customHeight="1" spans="1:26">
      <c r="A445" s="85"/>
      <c r="B445" s="85"/>
      <c r="C445" s="85"/>
      <c r="D445" s="85"/>
      <c r="E445" s="85"/>
      <c r="F445" s="85"/>
      <c r="G445" s="85"/>
      <c r="H445" s="85"/>
      <c r="I445" s="91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2.75" customHeight="1" spans="1:26">
      <c r="A446" s="85"/>
      <c r="B446" s="85"/>
      <c r="C446" s="85"/>
      <c r="D446" s="85"/>
      <c r="E446" s="85"/>
      <c r="F446" s="85"/>
      <c r="G446" s="85"/>
      <c r="H446" s="85"/>
      <c r="I446" s="91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2.75" customHeight="1" spans="1:26">
      <c r="A447" s="85"/>
      <c r="B447" s="85"/>
      <c r="C447" s="85"/>
      <c r="D447" s="85"/>
      <c r="E447" s="85"/>
      <c r="F447" s="85"/>
      <c r="G447" s="85"/>
      <c r="H447" s="85"/>
      <c r="I447" s="91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2.75" customHeight="1" spans="1:26">
      <c r="A448" s="85"/>
      <c r="B448" s="85"/>
      <c r="C448" s="85"/>
      <c r="D448" s="85"/>
      <c r="E448" s="85"/>
      <c r="F448" s="85"/>
      <c r="G448" s="85"/>
      <c r="H448" s="85"/>
      <c r="I448" s="91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2.75" customHeight="1" spans="1:26">
      <c r="A449" s="85"/>
      <c r="B449" s="85"/>
      <c r="C449" s="85"/>
      <c r="D449" s="85"/>
      <c r="E449" s="85"/>
      <c r="F449" s="85"/>
      <c r="G449" s="85"/>
      <c r="H449" s="85"/>
      <c r="I449" s="91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2.75" customHeight="1" spans="1:26">
      <c r="A450" s="85"/>
      <c r="B450" s="85"/>
      <c r="C450" s="85"/>
      <c r="D450" s="85"/>
      <c r="E450" s="85"/>
      <c r="F450" s="85"/>
      <c r="G450" s="85"/>
      <c r="H450" s="85"/>
      <c r="I450" s="91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2.75" customHeight="1" spans="1:26">
      <c r="A451" s="85"/>
      <c r="B451" s="85"/>
      <c r="C451" s="85"/>
      <c r="D451" s="85"/>
      <c r="E451" s="85"/>
      <c r="F451" s="85"/>
      <c r="G451" s="85"/>
      <c r="H451" s="85"/>
      <c r="I451" s="91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2.75" customHeight="1" spans="1:26">
      <c r="A452" s="85"/>
      <c r="B452" s="85"/>
      <c r="C452" s="85"/>
      <c r="D452" s="85"/>
      <c r="E452" s="85"/>
      <c r="F452" s="85"/>
      <c r="G452" s="85"/>
      <c r="H452" s="85"/>
      <c r="I452" s="91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2.75" customHeight="1" spans="1:26">
      <c r="A453" s="85"/>
      <c r="B453" s="85"/>
      <c r="C453" s="85"/>
      <c r="D453" s="85"/>
      <c r="E453" s="85"/>
      <c r="F453" s="85"/>
      <c r="G453" s="85"/>
      <c r="H453" s="85"/>
      <c r="I453" s="91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2.75" customHeight="1" spans="1:26">
      <c r="A454" s="85"/>
      <c r="B454" s="85"/>
      <c r="C454" s="85"/>
      <c r="D454" s="85"/>
      <c r="E454" s="85"/>
      <c r="F454" s="85"/>
      <c r="G454" s="85"/>
      <c r="H454" s="85"/>
      <c r="I454" s="91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2.75" customHeight="1" spans="1:26">
      <c r="A455" s="85"/>
      <c r="B455" s="85"/>
      <c r="C455" s="85"/>
      <c r="D455" s="85"/>
      <c r="E455" s="85"/>
      <c r="F455" s="85"/>
      <c r="G455" s="85"/>
      <c r="H455" s="85"/>
      <c r="I455" s="91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2.75" customHeight="1" spans="1:26">
      <c r="A456" s="85"/>
      <c r="B456" s="85"/>
      <c r="C456" s="85"/>
      <c r="D456" s="85"/>
      <c r="E456" s="85"/>
      <c r="F456" s="85"/>
      <c r="G456" s="85"/>
      <c r="H456" s="85"/>
      <c r="I456" s="91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2.75" customHeight="1" spans="1:26">
      <c r="A457" s="85"/>
      <c r="B457" s="85"/>
      <c r="C457" s="85"/>
      <c r="D457" s="85"/>
      <c r="E457" s="85"/>
      <c r="F457" s="85"/>
      <c r="G457" s="85"/>
      <c r="H457" s="85"/>
      <c r="I457" s="91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2.75" customHeight="1" spans="1:26">
      <c r="A458" s="85"/>
      <c r="B458" s="85"/>
      <c r="C458" s="85"/>
      <c r="D458" s="85"/>
      <c r="E458" s="85"/>
      <c r="F458" s="85"/>
      <c r="G458" s="85"/>
      <c r="H458" s="85"/>
      <c r="I458" s="91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2.75" customHeight="1" spans="1:26">
      <c r="A459" s="85"/>
      <c r="B459" s="85"/>
      <c r="C459" s="85"/>
      <c r="D459" s="85"/>
      <c r="E459" s="85"/>
      <c r="F459" s="85"/>
      <c r="G459" s="85"/>
      <c r="H459" s="85"/>
      <c r="I459" s="91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2.75" customHeight="1" spans="1:26">
      <c r="A460" s="85"/>
      <c r="B460" s="85"/>
      <c r="C460" s="85"/>
      <c r="D460" s="85"/>
      <c r="E460" s="85"/>
      <c r="F460" s="85"/>
      <c r="G460" s="85"/>
      <c r="H460" s="85"/>
      <c r="I460" s="91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2.75" customHeight="1" spans="1:26">
      <c r="A461" s="85"/>
      <c r="B461" s="85"/>
      <c r="C461" s="85"/>
      <c r="D461" s="85"/>
      <c r="E461" s="85"/>
      <c r="F461" s="85"/>
      <c r="G461" s="85"/>
      <c r="H461" s="85"/>
      <c r="I461" s="91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2.75" customHeight="1" spans="1:26">
      <c r="A462" s="85"/>
      <c r="B462" s="85"/>
      <c r="C462" s="85"/>
      <c r="D462" s="85"/>
      <c r="E462" s="85"/>
      <c r="F462" s="85"/>
      <c r="G462" s="85"/>
      <c r="H462" s="85"/>
      <c r="I462" s="91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2.75" customHeight="1" spans="1:26">
      <c r="A463" s="85"/>
      <c r="B463" s="85"/>
      <c r="C463" s="85"/>
      <c r="D463" s="85"/>
      <c r="E463" s="85"/>
      <c r="F463" s="85"/>
      <c r="G463" s="85"/>
      <c r="H463" s="85"/>
      <c r="I463" s="91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2.75" customHeight="1" spans="1:26">
      <c r="A464" s="85"/>
      <c r="B464" s="85"/>
      <c r="C464" s="85"/>
      <c r="D464" s="85"/>
      <c r="E464" s="85"/>
      <c r="F464" s="85"/>
      <c r="G464" s="85"/>
      <c r="H464" s="85"/>
      <c r="I464" s="91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2.75" customHeight="1" spans="1:26">
      <c r="A465" s="85"/>
      <c r="B465" s="85"/>
      <c r="C465" s="85"/>
      <c r="D465" s="85"/>
      <c r="E465" s="85"/>
      <c r="F465" s="85"/>
      <c r="G465" s="85"/>
      <c r="H465" s="85"/>
      <c r="I465" s="91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2.75" customHeight="1" spans="1:26">
      <c r="A466" s="85"/>
      <c r="B466" s="85"/>
      <c r="C466" s="85"/>
      <c r="D466" s="85"/>
      <c r="E466" s="85"/>
      <c r="F466" s="85"/>
      <c r="G466" s="85"/>
      <c r="H466" s="85"/>
      <c r="I466" s="91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2.75" customHeight="1" spans="1:26">
      <c r="A467" s="85"/>
      <c r="B467" s="85"/>
      <c r="C467" s="85"/>
      <c r="D467" s="85"/>
      <c r="E467" s="85"/>
      <c r="F467" s="85"/>
      <c r="G467" s="85"/>
      <c r="H467" s="85"/>
      <c r="I467" s="91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2.75" customHeight="1" spans="1:26">
      <c r="A468" s="85"/>
      <c r="B468" s="85"/>
      <c r="C468" s="85"/>
      <c r="D468" s="85"/>
      <c r="E468" s="85"/>
      <c r="F468" s="85"/>
      <c r="G468" s="85"/>
      <c r="H468" s="85"/>
      <c r="I468" s="91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2.75" customHeight="1" spans="1:26">
      <c r="A469" s="85"/>
      <c r="B469" s="85"/>
      <c r="C469" s="85"/>
      <c r="D469" s="85"/>
      <c r="E469" s="85"/>
      <c r="F469" s="85"/>
      <c r="G469" s="85"/>
      <c r="H469" s="85"/>
      <c r="I469" s="91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2.75" customHeight="1" spans="1:26">
      <c r="A470" s="85"/>
      <c r="B470" s="85"/>
      <c r="C470" s="85"/>
      <c r="D470" s="85"/>
      <c r="E470" s="85"/>
      <c r="F470" s="85"/>
      <c r="G470" s="85"/>
      <c r="H470" s="85"/>
      <c r="I470" s="91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2.75" customHeight="1" spans="1:26">
      <c r="A471" s="85"/>
      <c r="B471" s="85"/>
      <c r="C471" s="85"/>
      <c r="D471" s="85"/>
      <c r="E471" s="85"/>
      <c r="F471" s="85"/>
      <c r="G471" s="85"/>
      <c r="H471" s="85"/>
      <c r="I471" s="91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2.75" customHeight="1" spans="1:26">
      <c r="A472" s="85"/>
      <c r="B472" s="85"/>
      <c r="C472" s="85"/>
      <c r="D472" s="85"/>
      <c r="E472" s="85"/>
      <c r="F472" s="85"/>
      <c r="G472" s="85"/>
      <c r="H472" s="85"/>
      <c r="I472" s="91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2.75" customHeight="1" spans="1:26">
      <c r="A473" s="85"/>
      <c r="B473" s="85"/>
      <c r="C473" s="85"/>
      <c r="D473" s="85"/>
      <c r="E473" s="85"/>
      <c r="F473" s="85"/>
      <c r="G473" s="85"/>
      <c r="H473" s="85"/>
      <c r="I473" s="91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2.75" customHeight="1" spans="1:26">
      <c r="A474" s="85"/>
      <c r="B474" s="85"/>
      <c r="C474" s="85"/>
      <c r="D474" s="85"/>
      <c r="E474" s="85"/>
      <c r="F474" s="85"/>
      <c r="G474" s="85"/>
      <c r="H474" s="85"/>
      <c r="I474" s="91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2.75" customHeight="1" spans="1:26">
      <c r="A475" s="85"/>
      <c r="B475" s="85"/>
      <c r="C475" s="85"/>
      <c r="D475" s="85"/>
      <c r="E475" s="85"/>
      <c r="F475" s="85"/>
      <c r="G475" s="85"/>
      <c r="H475" s="85"/>
      <c r="I475" s="91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2.75" customHeight="1" spans="1:26">
      <c r="A476" s="85"/>
      <c r="B476" s="85"/>
      <c r="C476" s="85"/>
      <c r="D476" s="85"/>
      <c r="E476" s="85"/>
      <c r="F476" s="85"/>
      <c r="G476" s="85"/>
      <c r="H476" s="85"/>
      <c r="I476" s="91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2.75" customHeight="1" spans="1:26">
      <c r="A477" s="85"/>
      <c r="B477" s="85"/>
      <c r="C477" s="85"/>
      <c r="D477" s="85"/>
      <c r="E477" s="85"/>
      <c r="F477" s="85"/>
      <c r="G477" s="85"/>
      <c r="H477" s="85"/>
      <c r="I477" s="91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2.75" customHeight="1" spans="1:26">
      <c r="A478" s="85"/>
      <c r="B478" s="85"/>
      <c r="C478" s="85"/>
      <c r="D478" s="85"/>
      <c r="E478" s="85"/>
      <c r="F478" s="85"/>
      <c r="G478" s="85"/>
      <c r="H478" s="85"/>
      <c r="I478" s="91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2.75" customHeight="1" spans="1:26">
      <c r="A479" s="85"/>
      <c r="B479" s="85"/>
      <c r="C479" s="85"/>
      <c r="D479" s="85"/>
      <c r="E479" s="85"/>
      <c r="F479" s="85"/>
      <c r="G479" s="85"/>
      <c r="H479" s="85"/>
      <c r="I479" s="91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2.75" customHeight="1" spans="1:26">
      <c r="A480" s="85"/>
      <c r="B480" s="85"/>
      <c r="C480" s="85"/>
      <c r="D480" s="85"/>
      <c r="E480" s="85"/>
      <c r="F480" s="85"/>
      <c r="G480" s="85"/>
      <c r="H480" s="85"/>
      <c r="I480" s="91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2.75" customHeight="1" spans="1:26">
      <c r="A481" s="85"/>
      <c r="B481" s="85"/>
      <c r="C481" s="85"/>
      <c r="D481" s="85"/>
      <c r="E481" s="85"/>
      <c r="F481" s="85"/>
      <c r="G481" s="85"/>
      <c r="H481" s="85"/>
      <c r="I481" s="91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2.75" customHeight="1" spans="1:26">
      <c r="A482" s="85"/>
      <c r="B482" s="85"/>
      <c r="C482" s="85"/>
      <c r="D482" s="85"/>
      <c r="E482" s="85"/>
      <c r="F482" s="85"/>
      <c r="G482" s="85"/>
      <c r="H482" s="85"/>
      <c r="I482" s="91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2.75" customHeight="1" spans="1:26">
      <c r="A483" s="85"/>
      <c r="B483" s="85"/>
      <c r="C483" s="85"/>
      <c r="D483" s="85"/>
      <c r="E483" s="85"/>
      <c r="F483" s="85"/>
      <c r="G483" s="85"/>
      <c r="H483" s="85"/>
      <c r="I483" s="91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2.75" customHeight="1" spans="1:26">
      <c r="A484" s="85"/>
      <c r="B484" s="85"/>
      <c r="C484" s="85"/>
      <c r="D484" s="85"/>
      <c r="E484" s="85"/>
      <c r="F484" s="85"/>
      <c r="G484" s="85"/>
      <c r="H484" s="85"/>
      <c r="I484" s="91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2.75" customHeight="1" spans="1:26">
      <c r="A485" s="85"/>
      <c r="B485" s="85"/>
      <c r="C485" s="85"/>
      <c r="D485" s="85"/>
      <c r="E485" s="85"/>
      <c r="F485" s="85"/>
      <c r="G485" s="85"/>
      <c r="H485" s="85"/>
      <c r="I485" s="91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2.75" customHeight="1" spans="1:26">
      <c r="A486" s="85"/>
      <c r="B486" s="85"/>
      <c r="C486" s="85"/>
      <c r="D486" s="85"/>
      <c r="E486" s="85"/>
      <c r="F486" s="85"/>
      <c r="G486" s="85"/>
      <c r="H486" s="85"/>
      <c r="I486" s="91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2.75" customHeight="1" spans="1:26">
      <c r="A487" s="85"/>
      <c r="B487" s="85"/>
      <c r="C487" s="85"/>
      <c r="D487" s="85"/>
      <c r="E487" s="85"/>
      <c r="F487" s="85"/>
      <c r="G487" s="85"/>
      <c r="H487" s="85"/>
      <c r="I487" s="91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2.75" customHeight="1" spans="1:26">
      <c r="A488" s="85"/>
      <c r="B488" s="85"/>
      <c r="C488" s="85"/>
      <c r="D488" s="85"/>
      <c r="E488" s="85"/>
      <c r="F488" s="85"/>
      <c r="G488" s="85"/>
      <c r="H488" s="85"/>
      <c r="I488" s="91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2.75" customHeight="1" spans="1:26">
      <c r="A489" s="85"/>
      <c r="B489" s="85"/>
      <c r="C489" s="85"/>
      <c r="D489" s="85"/>
      <c r="E489" s="85"/>
      <c r="F489" s="85"/>
      <c r="G489" s="85"/>
      <c r="H489" s="85"/>
      <c r="I489" s="91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2.75" customHeight="1" spans="1:26">
      <c r="A490" s="85"/>
      <c r="B490" s="85"/>
      <c r="C490" s="85"/>
      <c r="D490" s="85"/>
      <c r="E490" s="85"/>
      <c r="F490" s="85"/>
      <c r="G490" s="85"/>
      <c r="H490" s="85"/>
      <c r="I490" s="91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2.75" customHeight="1" spans="1:26">
      <c r="A491" s="85"/>
      <c r="B491" s="85"/>
      <c r="C491" s="85"/>
      <c r="D491" s="85"/>
      <c r="E491" s="85"/>
      <c r="F491" s="85"/>
      <c r="G491" s="85"/>
      <c r="H491" s="85"/>
      <c r="I491" s="91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2.75" customHeight="1" spans="1:26">
      <c r="A492" s="85"/>
      <c r="B492" s="85"/>
      <c r="C492" s="85"/>
      <c r="D492" s="85"/>
      <c r="E492" s="85"/>
      <c r="F492" s="85"/>
      <c r="G492" s="85"/>
      <c r="H492" s="85"/>
      <c r="I492" s="91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2.75" customHeight="1" spans="1:26">
      <c r="A493" s="85"/>
      <c r="B493" s="85"/>
      <c r="C493" s="85"/>
      <c r="D493" s="85"/>
      <c r="E493" s="85"/>
      <c r="F493" s="85"/>
      <c r="G493" s="85"/>
      <c r="H493" s="85"/>
      <c r="I493" s="91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2.75" customHeight="1" spans="1:26">
      <c r="A494" s="85"/>
      <c r="B494" s="85"/>
      <c r="C494" s="85"/>
      <c r="D494" s="85"/>
      <c r="E494" s="85"/>
      <c r="F494" s="85"/>
      <c r="G494" s="85"/>
      <c r="H494" s="85"/>
      <c r="I494" s="91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2.75" customHeight="1" spans="1:26">
      <c r="A495" s="85"/>
      <c r="B495" s="85"/>
      <c r="C495" s="85"/>
      <c r="D495" s="85"/>
      <c r="E495" s="85"/>
      <c r="F495" s="85"/>
      <c r="G495" s="85"/>
      <c r="H495" s="85"/>
      <c r="I495" s="91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2.75" customHeight="1" spans="1:26">
      <c r="A496" s="85"/>
      <c r="B496" s="85"/>
      <c r="C496" s="85"/>
      <c r="D496" s="85"/>
      <c r="E496" s="85"/>
      <c r="F496" s="85"/>
      <c r="G496" s="85"/>
      <c r="H496" s="85"/>
      <c r="I496" s="91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2.75" customHeight="1" spans="1:26">
      <c r="A497" s="85"/>
      <c r="B497" s="85"/>
      <c r="C497" s="85"/>
      <c r="D497" s="85"/>
      <c r="E497" s="85"/>
      <c r="F497" s="85"/>
      <c r="G497" s="85"/>
      <c r="H497" s="85"/>
      <c r="I497" s="91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2.75" customHeight="1" spans="1:26">
      <c r="A498" s="85"/>
      <c r="B498" s="85"/>
      <c r="C498" s="85"/>
      <c r="D498" s="85"/>
      <c r="E498" s="85"/>
      <c r="F498" s="85"/>
      <c r="G498" s="85"/>
      <c r="H498" s="85"/>
      <c r="I498" s="91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2.75" customHeight="1" spans="1:26">
      <c r="A499" s="85"/>
      <c r="B499" s="85"/>
      <c r="C499" s="85"/>
      <c r="D499" s="85"/>
      <c r="E499" s="85"/>
      <c r="F499" s="85"/>
      <c r="G499" s="85"/>
      <c r="H499" s="85"/>
      <c r="I499" s="91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2.75" customHeight="1" spans="1:26">
      <c r="A500" s="85"/>
      <c r="B500" s="85"/>
      <c r="C500" s="85"/>
      <c r="D500" s="85"/>
      <c r="E500" s="85"/>
      <c r="F500" s="85"/>
      <c r="G500" s="85"/>
      <c r="H500" s="85"/>
      <c r="I500" s="91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2.75" customHeight="1" spans="1:26">
      <c r="A501" s="85"/>
      <c r="B501" s="85"/>
      <c r="C501" s="85"/>
      <c r="D501" s="85"/>
      <c r="E501" s="85"/>
      <c r="F501" s="85"/>
      <c r="G501" s="85"/>
      <c r="H501" s="85"/>
      <c r="I501" s="91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2.75" customHeight="1" spans="1:26">
      <c r="A502" s="85"/>
      <c r="B502" s="85"/>
      <c r="C502" s="85"/>
      <c r="D502" s="85"/>
      <c r="E502" s="85"/>
      <c r="F502" s="85"/>
      <c r="G502" s="85"/>
      <c r="H502" s="85"/>
      <c r="I502" s="91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2.75" customHeight="1" spans="1:26">
      <c r="A503" s="85"/>
      <c r="B503" s="85"/>
      <c r="C503" s="85"/>
      <c r="D503" s="85"/>
      <c r="E503" s="85"/>
      <c r="F503" s="85"/>
      <c r="G503" s="85"/>
      <c r="H503" s="85"/>
      <c r="I503" s="91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2.75" customHeight="1" spans="1:26">
      <c r="A504" s="85"/>
      <c r="B504" s="85"/>
      <c r="C504" s="85"/>
      <c r="D504" s="85"/>
      <c r="E504" s="85"/>
      <c r="F504" s="85"/>
      <c r="G504" s="85"/>
      <c r="H504" s="85"/>
      <c r="I504" s="91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2.75" customHeight="1" spans="1:26">
      <c r="A505" s="85"/>
      <c r="B505" s="85"/>
      <c r="C505" s="85"/>
      <c r="D505" s="85"/>
      <c r="E505" s="85"/>
      <c r="F505" s="85"/>
      <c r="G505" s="85"/>
      <c r="H505" s="85"/>
      <c r="I505" s="91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2.75" customHeight="1" spans="1:26">
      <c r="A506" s="85"/>
      <c r="B506" s="85"/>
      <c r="C506" s="85"/>
      <c r="D506" s="85"/>
      <c r="E506" s="85"/>
      <c r="F506" s="85"/>
      <c r="G506" s="85"/>
      <c r="H506" s="85"/>
      <c r="I506" s="91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2.75" customHeight="1" spans="1:26">
      <c r="A507" s="85"/>
      <c r="B507" s="85"/>
      <c r="C507" s="85"/>
      <c r="D507" s="85"/>
      <c r="E507" s="85"/>
      <c r="F507" s="85"/>
      <c r="G507" s="85"/>
      <c r="H507" s="85"/>
      <c r="I507" s="91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2.75" customHeight="1" spans="1:26">
      <c r="A508" s="85"/>
      <c r="B508" s="85"/>
      <c r="C508" s="85"/>
      <c r="D508" s="85"/>
      <c r="E508" s="85"/>
      <c r="F508" s="85"/>
      <c r="G508" s="85"/>
      <c r="H508" s="85"/>
      <c r="I508" s="91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2.75" customHeight="1" spans="1:26">
      <c r="A509" s="85"/>
      <c r="B509" s="85"/>
      <c r="C509" s="85"/>
      <c r="D509" s="85"/>
      <c r="E509" s="85"/>
      <c r="F509" s="85"/>
      <c r="G509" s="85"/>
      <c r="H509" s="85"/>
      <c r="I509" s="91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2.75" customHeight="1" spans="1:26">
      <c r="A510" s="85"/>
      <c r="B510" s="85"/>
      <c r="C510" s="85"/>
      <c r="D510" s="85"/>
      <c r="E510" s="85"/>
      <c r="F510" s="85"/>
      <c r="G510" s="85"/>
      <c r="H510" s="85"/>
      <c r="I510" s="91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2.75" customHeight="1" spans="1:26">
      <c r="A511" s="85"/>
      <c r="B511" s="85"/>
      <c r="C511" s="85"/>
      <c r="D511" s="85"/>
      <c r="E511" s="85"/>
      <c r="F511" s="85"/>
      <c r="G511" s="85"/>
      <c r="H511" s="85"/>
      <c r="I511" s="91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2.75" customHeight="1" spans="1:26">
      <c r="A512" s="85"/>
      <c r="B512" s="85"/>
      <c r="C512" s="85"/>
      <c r="D512" s="85"/>
      <c r="E512" s="85"/>
      <c r="F512" s="85"/>
      <c r="G512" s="85"/>
      <c r="H512" s="85"/>
      <c r="I512" s="91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2.75" customHeight="1" spans="1:26">
      <c r="A513" s="85"/>
      <c r="B513" s="85"/>
      <c r="C513" s="85"/>
      <c r="D513" s="85"/>
      <c r="E513" s="85"/>
      <c r="F513" s="85"/>
      <c r="G513" s="85"/>
      <c r="H513" s="85"/>
      <c r="I513" s="91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2.75" customHeight="1" spans="1:26">
      <c r="A514" s="85"/>
      <c r="B514" s="85"/>
      <c r="C514" s="85"/>
      <c r="D514" s="85"/>
      <c r="E514" s="85"/>
      <c r="F514" s="85"/>
      <c r="G514" s="85"/>
      <c r="H514" s="85"/>
      <c r="I514" s="91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2.75" customHeight="1" spans="1:26">
      <c r="A515" s="85"/>
      <c r="B515" s="85"/>
      <c r="C515" s="85"/>
      <c r="D515" s="85"/>
      <c r="E515" s="85"/>
      <c r="F515" s="85"/>
      <c r="G515" s="85"/>
      <c r="H515" s="85"/>
      <c r="I515" s="91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2.75" customHeight="1" spans="1:26">
      <c r="A516" s="85"/>
      <c r="B516" s="85"/>
      <c r="C516" s="85"/>
      <c r="D516" s="85"/>
      <c r="E516" s="85"/>
      <c r="F516" s="85"/>
      <c r="G516" s="85"/>
      <c r="H516" s="85"/>
      <c r="I516" s="91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2.75" customHeight="1" spans="1:26">
      <c r="A517" s="85"/>
      <c r="B517" s="85"/>
      <c r="C517" s="85"/>
      <c r="D517" s="85"/>
      <c r="E517" s="85"/>
      <c r="F517" s="85"/>
      <c r="G517" s="85"/>
      <c r="H517" s="85"/>
      <c r="I517" s="91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2.75" customHeight="1" spans="1:26">
      <c r="A518" s="85"/>
      <c r="B518" s="85"/>
      <c r="C518" s="85"/>
      <c r="D518" s="85"/>
      <c r="E518" s="85"/>
      <c r="F518" s="85"/>
      <c r="G518" s="85"/>
      <c r="H518" s="85"/>
      <c r="I518" s="91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2.75" customHeight="1" spans="1:26">
      <c r="A519" s="85"/>
      <c r="B519" s="85"/>
      <c r="C519" s="85"/>
      <c r="D519" s="85"/>
      <c r="E519" s="85"/>
      <c r="F519" s="85"/>
      <c r="G519" s="85"/>
      <c r="H519" s="85"/>
      <c r="I519" s="91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2.75" customHeight="1" spans="1:26">
      <c r="A520" s="85"/>
      <c r="B520" s="85"/>
      <c r="C520" s="85"/>
      <c r="D520" s="85"/>
      <c r="E520" s="85"/>
      <c r="F520" s="85"/>
      <c r="G520" s="85"/>
      <c r="H520" s="85"/>
      <c r="I520" s="91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2.75" customHeight="1" spans="1:26">
      <c r="A521" s="85"/>
      <c r="B521" s="85"/>
      <c r="C521" s="85"/>
      <c r="D521" s="85"/>
      <c r="E521" s="85"/>
      <c r="F521" s="85"/>
      <c r="G521" s="85"/>
      <c r="H521" s="85"/>
      <c r="I521" s="91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2.75" customHeight="1" spans="1:26">
      <c r="A522" s="85"/>
      <c r="B522" s="85"/>
      <c r="C522" s="85"/>
      <c r="D522" s="85"/>
      <c r="E522" s="85"/>
      <c r="F522" s="85"/>
      <c r="G522" s="85"/>
      <c r="H522" s="85"/>
      <c r="I522" s="91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2.75" customHeight="1" spans="1:26">
      <c r="A523" s="85"/>
      <c r="B523" s="85"/>
      <c r="C523" s="85"/>
      <c r="D523" s="85"/>
      <c r="E523" s="85"/>
      <c r="F523" s="85"/>
      <c r="G523" s="85"/>
      <c r="H523" s="85"/>
      <c r="I523" s="91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2.75" customHeight="1" spans="1:26">
      <c r="A524" s="85"/>
      <c r="B524" s="85"/>
      <c r="C524" s="85"/>
      <c r="D524" s="85"/>
      <c r="E524" s="85"/>
      <c r="F524" s="85"/>
      <c r="G524" s="85"/>
      <c r="H524" s="85"/>
      <c r="I524" s="91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2.75" customHeight="1" spans="1:26">
      <c r="A525" s="85"/>
      <c r="B525" s="85"/>
      <c r="C525" s="85"/>
      <c r="D525" s="85"/>
      <c r="E525" s="85"/>
      <c r="F525" s="85"/>
      <c r="G525" s="85"/>
      <c r="H525" s="85"/>
      <c r="I525" s="91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2.75" customHeight="1" spans="1:26">
      <c r="A526" s="85"/>
      <c r="B526" s="85"/>
      <c r="C526" s="85"/>
      <c r="D526" s="85"/>
      <c r="E526" s="85"/>
      <c r="F526" s="85"/>
      <c r="G526" s="85"/>
      <c r="H526" s="85"/>
      <c r="I526" s="91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2.75" customHeight="1" spans="1:26">
      <c r="A527" s="85"/>
      <c r="B527" s="85"/>
      <c r="C527" s="85"/>
      <c r="D527" s="85"/>
      <c r="E527" s="85"/>
      <c r="F527" s="85"/>
      <c r="G527" s="85"/>
      <c r="H527" s="85"/>
      <c r="I527" s="91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2.75" customHeight="1" spans="1:26">
      <c r="A528" s="85"/>
      <c r="B528" s="85"/>
      <c r="C528" s="85"/>
      <c r="D528" s="85"/>
      <c r="E528" s="85"/>
      <c r="F528" s="85"/>
      <c r="G528" s="85"/>
      <c r="H528" s="85"/>
      <c r="I528" s="91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2.75" customHeight="1" spans="1:26">
      <c r="A529" s="85"/>
      <c r="B529" s="85"/>
      <c r="C529" s="85"/>
      <c r="D529" s="85"/>
      <c r="E529" s="85"/>
      <c r="F529" s="85"/>
      <c r="G529" s="85"/>
      <c r="H529" s="85"/>
      <c r="I529" s="91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2.75" customHeight="1" spans="1:26">
      <c r="A530" s="85"/>
      <c r="B530" s="85"/>
      <c r="C530" s="85"/>
      <c r="D530" s="85"/>
      <c r="E530" s="85"/>
      <c r="F530" s="85"/>
      <c r="G530" s="85"/>
      <c r="H530" s="85"/>
      <c r="I530" s="91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2.75" customHeight="1" spans="1:26">
      <c r="A531" s="85"/>
      <c r="B531" s="85"/>
      <c r="C531" s="85"/>
      <c r="D531" s="85"/>
      <c r="E531" s="85"/>
      <c r="F531" s="85"/>
      <c r="G531" s="85"/>
      <c r="H531" s="85"/>
      <c r="I531" s="91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2.75" customHeight="1" spans="1:26">
      <c r="A532" s="85"/>
      <c r="B532" s="85"/>
      <c r="C532" s="85"/>
      <c r="D532" s="85"/>
      <c r="E532" s="85"/>
      <c r="F532" s="85"/>
      <c r="G532" s="85"/>
      <c r="H532" s="85"/>
      <c r="I532" s="91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2.75" customHeight="1" spans="1:26">
      <c r="A533" s="85"/>
      <c r="B533" s="85"/>
      <c r="C533" s="85"/>
      <c r="D533" s="85"/>
      <c r="E533" s="85"/>
      <c r="F533" s="85"/>
      <c r="G533" s="85"/>
      <c r="H533" s="85"/>
      <c r="I533" s="91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2.75" customHeight="1" spans="1:26">
      <c r="A534" s="85"/>
      <c r="B534" s="85"/>
      <c r="C534" s="85"/>
      <c r="D534" s="85"/>
      <c r="E534" s="85"/>
      <c r="F534" s="85"/>
      <c r="G534" s="85"/>
      <c r="H534" s="85"/>
      <c r="I534" s="91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2.75" customHeight="1" spans="1:26">
      <c r="A535" s="85"/>
      <c r="B535" s="85"/>
      <c r="C535" s="85"/>
      <c r="D535" s="85"/>
      <c r="E535" s="85"/>
      <c r="F535" s="85"/>
      <c r="G535" s="85"/>
      <c r="H535" s="85"/>
      <c r="I535" s="91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2.75" customHeight="1" spans="1:26">
      <c r="A536" s="85"/>
      <c r="B536" s="85"/>
      <c r="C536" s="85"/>
      <c r="D536" s="85"/>
      <c r="E536" s="85"/>
      <c r="F536" s="85"/>
      <c r="G536" s="85"/>
      <c r="H536" s="85"/>
      <c r="I536" s="91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2.75" customHeight="1" spans="1:26">
      <c r="A537" s="85"/>
      <c r="B537" s="85"/>
      <c r="C537" s="85"/>
      <c r="D537" s="85"/>
      <c r="E537" s="85"/>
      <c r="F537" s="85"/>
      <c r="G537" s="85"/>
      <c r="H537" s="85"/>
      <c r="I537" s="91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2.75" customHeight="1" spans="1:26">
      <c r="A538" s="85"/>
      <c r="B538" s="85"/>
      <c r="C538" s="85"/>
      <c r="D538" s="85"/>
      <c r="E538" s="85"/>
      <c r="F538" s="85"/>
      <c r="G538" s="85"/>
      <c r="H538" s="85"/>
      <c r="I538" s="91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2.75" customHeight="1" spans="1:26">
      <c r="A539" s="85"/>
      <c r="B539" s="85"/>
      <c r="C539" s="85"/>
      <c r="D539" s="85"/>
      <c r="E539" s="85"/>
      <c r="F539" s="85"/>
      <c r="G539" s="85"/>
      <c r="H539" s="85"/>
      <c r="I539" s="91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2.75" customHeight="1" spans="1:26">
      <c r="A540" s="85"/>
      <c r="B540" s="85"/>
      <c r="C540" s="85"/>
      <c r="D540" s="85"/>
      <c r="E540" s="85"/>
      <c r="F540" s="85"/>
      <c r="G540" s="85"/>
      <c r="H540" s="85"/>
      <c r="I540" s="91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2.75" customHeight="1" spans="1:26">
      <c r="A541" s="85"/>
      <c r="B541" s="85"/>
      <c r="C541" s="85"/>
      <c r="D541" s="85"/>
      <c r="E541" s="85"/>
      <c r="F541" s="85"/>
      <c r="G541" s="85"/>
      <c r="H541" s="85"/>
      <c r="I541" s="91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2.75" customHeight="1" spans="1:26">
      <c r="A542" s="85"/>
      <c r="B542" s="85"/>
      <c r="C542" s="85"/>
      <c r="D542" s="85"/>
      <c r="E542" s="85"/>
      <c r="F542" s="85"/>
      <c r="G542" s="85"/>
      <c r="H542" s="85"/>
      <c r="I542" s="91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2.75" customHeight="1" spans="1:26">
      <c r="A543" s="85"/>
      <c r="B543" s="85"/>
      <c r="C543" s="85"/>
      <c r="D543" s="85"/>
      <c r="E543" s="85"/>
      <c r="F543" s="85"/>
      <c r="G543" s="85"/>
      <c r="H543" s="85"/>
      <c r="I543" s="91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2.75" customHeight="1" spans="1:26">
      <c r="A544" s="85"/>
      <c r="B544" s="85"/>
      <c r="C544" s="85"/>
      <c r="D544" s="85"/>
      <c r="E544" s="85"/>
      <c r="F544" s="85"/>
      <c r="G544" s="85"/>
      <c r="H544" s="85"/>
      <c r="I544" s="91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2.75" customHeight="1" spans="1:26">
      <c r="A545" s="85"/>
      <c r="B545" s="85"/>
      <c r="C545" s="85"/>
      <c r="D545" s="85"/>
      <c r="E545" s="85"/>
      <c r="F545" s="85"/>
      <c r="G545" s="85"/>
      <c r="H545" s="85"/>
      <c r="I545" s="91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2.75" customHeight="1" spans="1:26">
      <c r="A546" s="85"/>
      <c r="B546" s="85"/>
      <c r="C546" s="85"/>
      <c r="D546" s="85"/>
      <c r="E546" s="85"/>
      <c r="F546" s="85"/>
      <c r="G546" s="85"/>
      <c r="H546" s="85"/>
      <c r="I546" s="91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2.75" customHeight="1" spans="1:26">
      <c r="A547" s="85"/>
      <c r="B547" s="85"/>
      <c r="C547" s="85"/>
      <c r="D547" s="85"/>
      <c r="E547" s="85"/>
      <c r="F547" s="85"/>
      <c r="G547" s="85"/>
      <c r="H547" s="85"/>
      <c r="I547" s="91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2.75" customHeight="1" spans="1:26">
      <c r="A548" s="85"/>
      <c r="B548" s="85"/>
      <c r="C548" s="85"/>
      <c r="D548" s="85"/>
      <c r="E548" s="85"/>
      <c r="F548" s="85"/>
      <c r="G548" s="85"/>
      <c r="H548" s="85"/>
      <c r="I548" s="91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2.75" customHeight="1" spans="1:26">
      <c r="A549" s="85"/>
      <c r="B549" s="85"/>
      <c r="C549" s="85"/>
      <c r="D549" s="85"/>
      <c r="E549" s="85"/>
      <c r="F549" s="85"/>
      <c r="G549" s="85"/>
      <c r="H549" s="85"/>
      <c r="I549" s="91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2.75" customHeight="1" spans="1:26">
      <c r="A550" s="85"/>
      <c r="B550" s="85"/>
      <c r="C550" s="85"/>
      <c r="D550" s="85"/>
      <c r="E550" s="85"/>
      <c r="F550" s="85"/>
      <c r="G550" s="85"/>
      <c r="H550" s="85"/>
      <c r="I550" s="91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2.75" customHeight="1" spans="1:26">
      <c r="A551" s="85"/>
      <c r="B551" s="85"/>
      <c r="C551" s="85"/>
      <c r="D551" s="85"/>
      <c r="E551" s="85"/>
      <c r="F551" s="85"/>
      <c r="G551" s="85"/>
      <c r="H551" s="85"/>
      <c r="I551" s="91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2.75" customHeight="1" spans="1:26">
      <c r="A552" s="85"/>
      <c r="B552" s="85"/>
      <c r="C552" s="85"/>
      <c r="D552" s="85"/>
      <c r="E552" s="85"/>
      <c r="F552" s="85"/>
      <c r="G552" s="85"/>
      <c r="H552" s="85"/>
      <c r="I552" s="91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2.75" customHeight="1" spans="1:26">
      <c r="A553" s="85"/>
      <c r="B553" s="85"/>
      <c r="C553" s="85"/>
      <c r="D553" s="85"/>
      <c r="E553" s="85"/>
      <c r="F553" s="85"/>
      <c r="G553" s="85"/>
      <c r="H553" s="85"/>
      <c r="I553" s="91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2.75" customHeight="1" spans="1:26">
      <c r="A554" s="85"/>
      <c r="B554" s="85"/>
      <c r="C554" s="85"/>
      <c r="D554" s="85"/>
      <c r="E554" s="85"/>
      <c r="F554" s="85"/>
      <c r="G554" s="85"/>
      <c r="H554" s="85"/>
      <c r="I554" s="91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2.75" customHeight="1" spans="1:26">
      <c r="A555" s="85"/>
      <c r="B555" s="85"/>
      <c r="C555" s="85"/>
      <c r="D555" s="85"/>
      <c r="E555" s="85"/>
      <c r="F555" s="85"/>
      <c r="G555" s="85"/>
      <c r="H555" s="85"/>
      <c r="I555" s="91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2.75" customHeight="1" spans="1:26">
      <c r="A556" s="85"/>
      <c r="B556" s="85"/>
      <c r="C556" s="85"/>
      <c r="D556" s="85"/>
      <c r="E556" s="85"/>
      <c r="F556" s="85"/>
      <c r="G556" s="85"/>
      <c r="H556" s="85"/>
      <c r="I556" s="91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2.75" customHeight="1" spans="1:26">
      <c r="A557" s="85"/>
      <c r="B557" s="85"/>
      <c r="C557" s="85"/>
      <c r="D557" s="85"/>
      <c r="E557" s="85"/>
      <c r="F557" s="85"/>
      <c r="G557" s="85"/>
      <c r="H557" s="85"/>
      <c r="I557" s="91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2.75" customHeight="1" spans="1:26">
      <c r="A558" s="85"/>
      <c r="B558" s="85"/>
      <c r="C558" s="85"/>
      <c r="D558" s="85"/>
      <c r="E558" s="85"/>
      <c r="F558" s="85"/>
      <c r="G558" s="85"/>
      <c r="H558" s="85"/>
      <c r="I558" s="91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2.75" customHeight="1" spans="1:26">
      <c r="A559" s="85"/>
      <c r="B559" s="85"/>
      <c r="C559" s="85"/>
      <c r="D559" s="85"/>
      <c r="E559" s="85"/>
      <c r="F559" s="85"/>
      <c r="G559" s="85"/>
      <c r="H559" s="85"/>
      <c r="I559" s="91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2.75" customHeight="1" spans="1:26">
      <c r="A560" s="85"/>
      <c r="B560" s="85"/>
      <c r="C560" s="85"/>
      <c r="D560" s="85"/>
      <c r="E560" s="85"/>
      <c r="F560" s="85"/>
      <c r="G560" s="85"/>
      <c r="H560" s="85"/>
      <c r="I560" s="91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2.75" customHeight="1" spans="1:26">
      <c r="A561" s="85"/>
      <c r="B561" s="85"/>
      <c r="C561" s="85"/>
      <c r="D561" s="85"/>
      <c r="E561" s="85"/>
      <c r="F561" s="85"/>
      <c r="G561" s="85"/>
      <c r="H561" s="85"/>
      <c r="I561" s="91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2.75" customHeight="1" spans="1:26">
      <c r="A562" s="85"/>
      <c r="B562" s="85"/>
      <c r="C562" s="85"/>
      <c r="D562" s="85"/>
      <c r="E562" s="85"/>
      <c r="F562" s="85"/>
      <c r="G562" s="85"/>
      <c r="H562" s="85"/>
      <c r="I562" s="91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2.75" customHeight="1" spans="1:26">
      <c r="A563" s="85"/>
      <c r="B563" s="85"/>
      <c r="C563" s="85"/>
      <c r="D563" s="85"/>
      <c r="E563" s="85"/>
      <c r="F563" s="85"/>
      <c r="G563" s="85"/>
      <c r="H563" s="85"/>
      <c r="I563" s="91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2.75" customHeight="1" spans="1:26">
      <c r="A564" s="85"/>
      <c r="B564" s="85"/>
      <c r="C564" s="85"/>
      <c r="D564" s="85"/>
      <c r="E564" s="85"/>
      <c r="F564" s="85"/>
      <c r="G564" s="85"/>
      <c r="H564" s="85"/>
      <c r="I564" s="91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2.75" customHeight="1" spans="1:26">
      <c r="A565" s="85"/>
      <c r="B565" s="85"/>
      <c r="C565" s="85"/>
      <c r="D565" s="85"/>
      <c r="E565" s="85"/>
      <c r="F565" s="85"/>
      <c r="G565" s="85"/>
      <c r="H565" s="85"/>
      <c r="I565" s="91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2.75" customHeight="1" spans="1:26">
      <c r="A566" s="85"/>
      <c r="B566" s="85"/>
      <c r="C566" s="85"/>
      <c r="D566" s="85"/>
      <c r="E566" s="85"/>
      <c r="F566" s="85"/>
      <c r="G566" s="85"/>
      <c r="H566" s="85"/>
      <c r="I566" s="91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2.75" customHeight="1" spans="1:26">
      <c r="A567" s="85"/>
      <c r="B567" s="85"/>
      <c r="C567" s="85"/>
      <c r="D567" s="85"/>
      <c r="E567" s="85"/>
      <c r="F567" s="85"/>
      <c r="G567" s="85"/>
      <c r="H567" s="85"/>
      <c r="I567" s="91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2.75" customHeight="1" spans="1:26">
      <c r="A568" s="85"/>
      <c r="B568" s="85"/>
      <c r="C568" s="85"/>
      <c r="D568" s="85"/>
      <c r="E568" s="85"/>
      <c r="F568" s="85"/>
      <c r="G568" s="85"/>
      <c r="H568" s="85"/>
      <c r="I568" s="91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2.75" customHeight="1" spans="1:26">
      <c r="A569" s="85"/>
      <c r="B569" s="85"/>
      <c r="C569" s="85"/>
      <c r="D569" s="85"/>
      <c r="E569" s="85"/>
      <c r="F569" s="85"/>
      <c r="G569" s="85"/>
      <c r="H569" s="85"/>
      <c r="I569" s="91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2.75" customHeight="1" spans="1:26">
      <c r="A570" s="85"/>
      <c r="B570" s="85"/>
      <c r="C570" s="85"/>
      <c r="D570" s="85"/>
      <c r="E570" s="85"/>
      <c r="F570" s="85"/>
      <c r="G570" s="85"/>
      <c r="H570" s="85"/>
      <c r="I570" s="91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2.75" customHeight="1" spans="1:26">
      <c r="A571" s="85"/>
      <c r="B571" s="85"/>
      <c r="C571" s="85"/>
      <c r="D571" s="85"/>
      <c r="E571" s="85"/>
      <c r="F571" s="85"/>
      <c r="G571" s="85"/>
      <c r="H571" s="85"/>
      <c r="I571" s="91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2.75" customHeight="1" spans="1:26">
      <c r="A572" s="85"/>
      <c r="B572" s="85"/>
      <c r="C572" s="85"/>
      <c r="D572" s="85"/>
      <c r="E572" s="85"/>
      <c r="F572" s="85"/>
      <c r="G572" s="85"/>
      <c r="H572" s="85"/>
      <c r="I572" s="91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2.75" customHeight="1" spans="1:26">
      <c r="A573" s="85"/>
      <c r="B573" s="85"/>
      <c r="C573" s="85"/>
      <c r="D573" s="85"/>
      <c r="E573" s="85"/>
      <c r="F573" s="85"/>
      <c r="G573" s="85"/>
      <c r="H573" s="85"/>
      <c r="I573" s="91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2.75" customHeight="1" spans="1:26">
      <c r="A574" s="85"/>
      <c r="B574" s="85"/>
      <c r="C574" s="85"/>
      <c r="D574" s="85"/>
      <c r="E574" s="85"/>
      <c r="F574" s="85"/>
      <c r="G574" s="85"/>
      <c r="H574" s="85"/>
      <c r="I574" s="91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2.75" customHeight="1" spans="1:26">
      <c r="A575" s="85"/>
      <c r="B575" s="85"/>
      <c r="C575" s="85"/>
      <c r="D575" s="85"/>
      <c r="E575" s="85"/>
      <c r="F575" s="85"/>
      <c r="G575" s="85"/>
      <c r="H575" s="85"/>
      <c r="I575" s="91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2.75" customHeight="1" spans="1:26">
      <c r="A576" s="85"/>
      <c r="B576" s="85"/>
      <c r="C576" s="85"/>
      <c r="D576" s="85"/>
      <c r="E576" s="85"/>
      <c r="F576" s="85"/>
      <c r="G576" s="85"/>
      <c r="H576" s="85"/>
      <c r="I576" s="91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2.75" customHeight="1" spans="1:26">
      <c r="A577" s="85"/>
      <c r="B577" s="85"/>
      <c r="C577" s="85"/>
      <c r="D577" s="85"/>
      <c r="E577" s="85"/>
      <c r="F577" s="85"/>
      <c r="G577" s="85"/>
      <c r="H577" s="85"/>
      <c r="I577" s="91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2.75" customHeight="1" spans="1:26">
      <c r="A578" s="85"/>
      <c r="B578" s="85"/>
      <c r="C578" s="85"/>
      <c r="D578" s="85"/>
      <c r="E578" s="85"/>
      <c r="F578" s="85"/>
      <c r="G578" s="85"/>
      <c r="H578" s="85"/>
      <c r="I578" s="91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2.75" customHeight="1" spans="1:26">
      <c r="A579" s="85"/>
      <c r="B579" s="85"/>
      <c r="C579" s="85"/>
      <c r="D579" s="85"/>
      <c r="E579" s="85"/>
      <c r="F579" s="85"/>
      <c r="G579" s="85"/>
      <c r="H579" s="85"/>
      <c r="I579" s="91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2.75" customHeight="1" spans="1:26">
      <c r="A580" s="85"/>
      <c r="B580" s="85"/>
      <c r="C580" s="85"/>
      <c r="D580" s="85"/>
      <c r="E580" s="85"/>
      <c r="F580" s="85"/>
      <c r="G580" s="85"/>
      <c r="H580" s="85"/>
      <c r="I580" s="91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2.75" customHeight="1" spans="1:26">
      <c r="A581" s="85"/>
      <c r="B581" s="85"/>
      <c r="C581" s="85"/>
      <c r="D581" s="85"/>
      <c r="E581" s="85"/>
      <c r="F581" s="85"/>
      <c r="G581" s="85"/>
      <c r="H581" s="85"/>
      <c r="I581" s="91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2.75" customHeight="1" spans="1:26">
      <c r="A582" s="85"/>
      <c r="B582" s="85"/>
      <c r="C582" s="85"/>
      <c r="D582" s="85"/>
      <c r="E582" s="85"/>
      <c r="F582" s="85"/>
      <c r="G582" s="85"/>
      <c r="H582" s="85"/>
      <c r="I582" s="91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2.75" customHeight="1" spans="1:26">
      <c r="A583" s="85"/>
      <c r="B583" s="85"/>
      <c r="C583" s="85"/>
      <c r="D583" s="85"/>
      <c r="E583" s="85"/>
      <c r="F583" s="85"/>
      <c r="G583" s="85"/>
      <c r="H583" s="85"/>
      <c r="I583" s="91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2.75" customHeight="1" spans="1:26">
      <c r="A584" s="85"/>
      <c r="B584" s="85"/>
      <c r="C584" s="85"/>
      <c r="D584" s="85"/>
      <c r="E584" s="85"/>
      <c r="F584" s="85"/>
      <c r="G584" s="85"/>
      <c r="H584" s="85"/>
      <c r="I584" s="91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2.75" customHeight="1" spans="1:26">
      <c r="A585" s="85"/>
      <c r="B585" s="85"/>
      <c r="C585" s="85"/>
      <c r="D585" s="85"/>
      <c r="E585" s="85"/>
      <c r="F585" s="85"/>
      <c r="G585" s="85"/>
      <c r="H585" s="85"/>
      <c r="I585" s="91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2.75" customHeight="1" spans="1:26">
      <c r="A586" s="85"/>
      <c r="B586" s="85"/>
      <c r="C586" s="85"/>
      <c r="D586" s="85"/>
      <c r="E586" s="85"/>
      <c r="F586" s="85"/>
      <c r="G586" s="85"/>
      <c r="H586" s="85"/>
      <c r="I586" s="91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2.75" customHeight="1" spans="1:26">
      <c r="A587" s="85"/>
      <c r="B587" s="85"/>
      <c r="C587" s="85"/>
      <c r="D587" s="85"/>
      <c r="E587" s="85"/>
      <c r="F587" s="85"/>
      <c r="G587" s="85"/>
      <c r="H587" s="85"/>
      <c r="I587" s="91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2.75" customHeight="1" spans="1:26">
      <c r="A588" s="85"/>
      <c r="B588" s="85"/>
      <c r="C588" s="85"/>
      <c r="D588" s="85"/>
      <c r="E588" s="85"/>
      <c r="F588" s="85"/>
      <c r="G588" s="85"/>
      <c r="H588" s="85"/>
      <c r="I588" s="91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2.75" customHeight="1" spans="1:26">
      <c r="A589" s="85"/>
      <c r="B589" s="85"/>
      <c r="C589" s="85"/>
      <c r="D589" s="85"/>
      <c r="E589" s="85"/>
      <c r="F589" s="85"/>
      <c r="G589" s="85"/>
      <c r="H589" s="85"/>
      <c r="I589" s="91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2.75" customHeight="1" spans="1:26">
      <c r="A590" s="85"/>
      <c r="B590" s="85"/>
      <c r="C590" s="85"/>
      <c r="D590" s="85"/>
      <c r="E590" s="85"/>
      <c r="F590" s="85"/>
      <c r="G590" s="85"/>
      <c r="H590" s="85"/>
      <c r="I590" s="91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2.75" customHeight="1" spans="1:26">
      <c r="A591" s="85"/>
      <c r="B591" s="85"/>
      <c r="C591" s="85"/>
      <c r="D591" s="85"/>
      <c r="E591" s="85"/>
      <c r="F591" s="85"/>
      <c r="G591" s="85"/>
      <c r="H591" s="85"/>
      <c r="I591" s="91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2.75" customHeight="1" spans="1:26">
      <c r="A592" s="85"/>
      <c r="B592" s="85"/>
      <c r="C592" s="85"/>
      <c r="D592" s="85"/>
      <c r="E592" s="85"/>
      <c r="F592" s="85"/>
      <c r="G592" s="85"/>
      <c r="H592" s="85"/>
      <c r="I592" s="91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2.75" customHeight="1" spans="1:26">
      <c r="A593" s="85"/>
      <c r="B593" s="85"/>
      <c r="C593" s="85"/>
      <c r="D593" s="85"/>
      <c r="E593" s="85"/>
      <c r="F593" s="85"/>
      <c r="G593" s="85"/>
      <c r="H593" s="85"/>
      <c r="I593" s="91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2.75" customHeight="1" spans="1:26">
      <c r="A594" s="85"/>
      <c r="B594" s="85"/>
      <c r="C594" s="85"/>
      <c r="D594" s="85"/>
      <c r="E594" s="85"/>
      <c r="F594" s="85"/>
      <c r="G594" s="85"/>
      <c r="H594" s="85"/>
      <c r="I594" s="91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2.75" customHeight="1" spans="1:26">
      <c r="A595" s="85"/>
      <c r="B595" s="85"/>
      <c r="C595" s="85"/>
      <c r="D595" s="85"/>
      <c r="E595" s="85"/>
      <c r="F595" s="85"/>
      <c r="G595" s="85"/>
      <c r="H595" s="85"/>
      <c r="I595" s="91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2.75" customHeight="1" spans="1:26">
      <c r="A596" s="85"/>
      <c r="B596" s="85"/>
      <c r="C596" s="85"/>
      <c r="D596" s="85"/>
      <c r="E596" s="85"/>
      <c r="F596" s="85"/>
      <c r="G596" s="85"/>
      <c r="H596" s="85"/>
      <c r="I596" s="91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2.75" customHeight="1" spans="1:26">
      <c r="A597" s="85"/>
      <c r="B597" s="85"/>
      <c r="C597" s="85"/>
      <c r="D597" s="85"/>
      <c r="E597" s="85"/>
      <c r="F597" s="85"/>
      <c r="G597" s="85"/>
      <c r="H597" s="85"/>
      <c r="I597" s="91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2.75" customHeight="1" spans="1:26">
      <c r="A598" s="85"/>
      <c r="B598" s="85"/>
      <c r="C598" s="85"/>
      <c r="D598" s="85"/>
      <c r="E598" s="85"/>
      <c r="F598" s="85"/>
      <c r="G598" s="85"/>
      <c r="H598" s="85"/>
      <c r="I598" s="91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2.75" customHeight="1" spans="1:26">
      <c r="A599" s="85"/>
      <c r="B599" s="85"/>
      <c r="C599" s="85"/>
      <c r="D599" s="85"/>
      <c r="E599" s="85"/>
      <c r="F599" s="85"/>
      <c r="G599" s="85"/>
      <c r="H599" s="85"/>
      <c r="I599" s="91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2.75" customHeight="1" spans="1:26">
      <c r="A600" s="85"/>
      <c r="B600" s="85"/>
      <c r="C600" s="85"/>
      <c r="D600" s="85"/>
      <c r="E600" s="85"/>
      <c r="F600" s="85"/>
      <c r="G600" s="85"/>
      <c r="H600" s="85"/>
      <c r="I600" s="91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2.75" customHeight="1" spans="1:26">
      <c r="A601" s="85"/>
      <c r="B601" s="85"/>
      <c r="C601" s="85"/>
      <c r="D601" s="85"/>
      <c r="E601" s="85"/>
      <c r="F601" s="85"/>
      <c r="G601" s="85"/>
      <c r="H601" s="85"/>
      <c r="I601" s="91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2.75" customHeight="1" spans="1:26">
      <c r="A602" s="85"/>
      <c r="B602" s="85"/>
      <c r="C602" s="85"/>
      <c r="D602" s="85"/>
      <c r="E602" s="85"/>
      <c r="F602" s="85"/>
      <c r="G602" s="85"/>
      <c r="H602" s="85"/>
      <c r="I602" s="91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2.75" customHeight="1" spans="1:26">
      <c r="A603" s="85"/>
      <c r="B603" s="85"/>
      <c r="C603" s="85"/>
      <c r="D603" s="85"/>
      <c r="E603" s="85"/>
      <c r="F603" s="85"/>
      <c r="G603" s="85"/>
      <c r="H603" s="85"/>
      <c r="I603" s="91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2.75" customHeight="1" spans="1:26">
      <c r="A604" s="85"/>
      <c r="B604" s="85"/>
      <c r="C604" s="85"/>
      <c r="D604" s="85"/>
      <c r="E604" s="85"/>
      <c r="F604" s="85"/>
      <c r="G604" s="85"/>
      <c r="H604" s="85"/>
      <c r="I604" s="91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2.75" customHeight="1" spans="1:26">
      <c r="A605" s="85"/>
      <c r="B605" s="85"/>
      <c r="C605" s="85"/>
      <c r="D605" s="85"/>
      <c r="E605" s="85"/>
      <c r="F605" s="85"/>
      <c r="G605" s="85"/>
      <c r="H605" s="85"/>
      <c r="I605" s="91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2.75" customHeight="1" spans="1:26">
      <c r="A606" s="85"/>
      <c r="B606" s="85"/>
      <c r="C606" s="85"/>
      <c r="D606" s="85"/>
      <c r="E606" s="85"/>
      <c r="F606" s="85"/>
      <c r="G606" s="85"/>
      <c r="H606" s="85"/>
      <c r="I606" s="91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2.75" customHeight="1" spans="1:26">
      <c r="A607" s="85"/>
      <c r="B607" s="85"/>
      <c r="C607" s="85"/>
      <c r="D607" s="85"/>
      <c r="E607" s="85"/>
      <c r="F607" s="85"/>
      <c r="G607" s="85"/>
      <c r="H607" s="85"/>
      <c r="I607" s="91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2.75" customHeight="1" spans="1:26">
      <c r="A608" s="85"/>
      <c r="B608" s="85"/>
      <c r="C608" s="85"/>
      <c r="D608" s="85"/>
      <c r="E608" s="85"/>
      <c r="F608" s="85"/>
      <c r="G608" s="85"/>
      <c r="H608" s="85"/>
      <c r="I608" s="91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2.75" customHeight="1" spans="1:26">
      <c r="A609" s="85"/>
      <c r="B609" s="85"/>
      <c r="C609" s="85"/>
      <c r="D609" s="85"/>
      <c r="E609" s="85"/>
      <c r="F609" s="85"/>
      <c r="G609" s="85"/>
      <c r="H609" s="85"/>
      <c r="I609" s="91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2.75" customHeight="1" spans="1:26">
      <c r="A610" s="85"/>
      <c r="B610" s="85"/>
      <c r="C610" s="85"/>
      <c r="D610" s="85"/>
      <c r="E610" s="85"/>
      <c r="F610" s="85"/>
      <c r="G610" s="85"/>
      <c r="H610" s="85"/>
      <c r="I610" s="91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2.75" customHeight="1" spans="1:26">
      <c r="A611" s="85"/>
      <c r="B611" s="85"/>
      <c r="C611" s="85"/>
      <c r="D611" s="85"/>
      <c r="E611" s="85"/>
      <c r="F611" s="85"/>
      <c r="G611" s="85"/>
      <c r="H611" s="85"/>
      <c r="I611" s="91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2.75" customHeight="1" spans="1:26">
      <c r="A612" s="85"/>
      <c r="B612" s="85"/>
      <c r="C612" s="85"/>
      <c r="D612" s="85"/>
      <c r="E612" s="85"/>
      <c r="F612" s="85"/>
      <c r="G612" s="85"/>
      <c r="H612" s="85"/>
      <c r="I612" s="91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2.75" customHeight="1" spans="1:26">
      <c r="A613" s="85"/>
      <c r="B613" s="85"/>
      <c r="C613" s="85"/>
      <c r="D613" s="85"/>
      <c r="E613" s="85"/>
      <c r="F613" s="85"/>
      <c r="G613" s="85"/>
      <c r="H613" s="85"/>
      <c r="I613" s="91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2.75" customHeight="1" spans="1:26">
      <c r="A614" s="85"/>
      <c r="B614" s="85"/>
      <c r="C614" s="85"/>
      <c r="D614" s="85"/>
      <c r="E614" s="85"/>
      <c r="F614" s="85"/>
      <c r="G614" s="85"/>
      <c r="H614" s="85"/>
      <c r="I614" s="91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2.75" customHeight="1" spans="1:26">
      <c r="A615" s="85"/>
      <c r="B615" s="85"/>
      <c r="C615" s="85"/>
      <c r="D615" s="85"/>
      <c r="E615" s="85"/>
      <c r="F615" s="85"/>
      <c r="G615" s="85"/>
      <c r="H615" s="85"/>
      <c r="I615" s="91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2.75" customHeight="1" spans="1:26">
      <c r="A616" s="85"/>
      <c r="B616" s="85"/>
      <c r="C616" s="85"/>
      <c r="D616" s="85"/>
      <c r="E616" s="85"/>
      <c r="F616" s="85"/>
      <c r="G616" s="85"/>
      <c r="H616" s="85"/>
      <c r="I616" s="91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2.75" customHeight="1" spans="1:26">
      <c r="A617" s="85"/>
      <c r="B617" s="85"/>
      <c r="C617" s="85"/>
      <c r="D617" s="85"/>
      <c r="E617" s="85"/>
      <c r="F617" s="85"/>
      <c r="G617" s="85"/>
      <c r="H617" s="85"/>
      <c r="I617" s="91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2.75" customHeight="1" spans="1:26">
      <c r="A618" s="85"/>
      <c r="B618" s="85"/>
      <c r="C618" s="85"/>
      <c r="D618" s="85"/>
      <c r="E618" s="85"/>
      <c r="F618" s="85"/>
      <c r="G618" s="85"/>
      <c r="H618" s="85"/>
      <c r="I618" s="91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2.75" customHeight="1" spans="1:26">
      <c r="A619" s="85"/>
      <c r="B619" s="85"/>
      <c r="C619" s="85"/>
      <c r="D619" s="85"/>
      <c r="E619" s="85"/>
      <c r="F619" s="85"/>
      <c r="G619" s="85"/>
      <c r="H619" s="85"/>
      <c r="I619" s="91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2.75" customHeight="1" spans="1:26">
      <c r="A620" s="85"/>
      <c r="B620" s="85"/>
      <c r="C620" s="85"/>
      <c r="D620" s="85"/>
      <c r="E620" s="85"/>
      <c r="F620" s="85"/>
      <c r="G620" s="85"/>
      <c r="H620" s="85"/>
      <c r="I620" s="91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2.75" customHeight="1" spans="1:26">
      <c r="A621" s="85"/>
      <c r="B621" s="85"/>
      <c r="C621" s="85"/>
      <c r="D621" s="85"/>
      <c r="E621" s="85"/>
      <c r="F621" s="85"/>
      <c r="G621" s="85"/>
      <c r="H621" s="85"/>
      <c r="I621" s="91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2.75" customHeight="1" spans="1:26">
      <c r="A622" s="85"/>
      <c r="B622" s="85"/>
      <c r="C622" s="85"/>
      <c r="D622" s="85"/>
      <c r="E622" s="85"/>
      <c r="F622" s="85"/>
      <c r="G622" s="85"/>
      <c r="H622" s="85"/>
      <c r="I622" s="91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2.75" customHeight="1" spans="1:26">
      <c r="A623" s="85"/>
      <c r="B623" s="85"/>
      <c r="C623" s="85"/>
      <c r="D623" s="85"/>
      <c r="E623" s="85"/>
      <c r="F623" s="85"/>
      <c r="G623" s="85"/>
      <c r="H623" s="85"/>
      <c r="I623" s="91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2.75" customHeight="1" spans="1:26">
      <c r="A624" s="85"/>
      <c r="B624" s="85"/>
      <c r="C624" s="85"/>
      <c r="D624" s="85"/>
      <c r="E624" s="85"/>
      <c r="F624" s="85"/>
      <c r="G624" s="85"/>
      <c r="H624" s="85"/>
      <c r="I624" s="91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2.75" customHeight="1" spans="1:26">
      <c r="A625" s="85"/>
      <c r="B625" s="85"/>
      <c r="C625" s="85"/>
      <c r="D625" s="85"/>
      <c r="E625" s="85"/>
      <c r="F625" s="85"/>
      <c r="G625" s="85"/>
      <c r="H625" s="85"/>
      <c r="I625" s="91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2.75" customHeight="1" spans="1:26">
      <c r="A626" s="85"/>
      <c r="B626" s="85"/>
      <c r="C626" s="85"/>
      <c r="D626" s="85"/>
      <c r="E626" s="85"/>
      <c r="F626" s="85"/>
      <c r="G626" s="85"/>
      <c r="H626" s="85"/>
      <c r="I626" s="91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2.75" customHeight="1" spans="1:26">
      <c r="A627" s="85"/>
      <c r="B627" s="85"/>
      <c r="C627" s="85"/>
      <c r="D627" s="85"/>
      <c r="E627" s="85"/>
      <c r="F627" s="85"/>
      <c r="G627" s="85"/>
      <c r="H627" s="85"/>
      <c r="I627" s="91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2.75" customHeight="1" spans="1:26">
      <c r="A628" s="85"/>
      <c r="B628" s="85"/>
      <c r="C628" s="85"/>
      <c r="D628" s="85"/>
      <c r="E628" s="85"/>
      <c r="F628" s="85"/>
      <c r="G628" s="85"/>
      <c r="H628" s="85"/>
      <c r="I628" s="91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2.75" customHeight="1" spans="1:26">
      <c r="A629" s="85"/>
      <c r="B629" s="85"/>
      <c r="C629" s="85"/>
      <c r="D629" s="85"/>
      <c r="E629" s="85"/>
      <c r="F629" s="85"/>
      <c r="G629" s="85"/>
      <c r="H629" s="85"/>
      <c r="I629" s="91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2.75" customHeight="1" spans="1:26">
      <c r="A630" s="85"/>
      <c r="B630" s="85"/>
      <c r="C630" s="85"/>
      <c r="D630" s="85"/>
      <c r="E630" s="85"/>
      <c r="F630" s="85"/>
      <c r="G630" s="85"/>
      <c r="H630" s="85"/>
      <c r="I630" s="91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2.75" customHeight="1" spans="1:26">
      <c r="A631" s="85"/>
      <c r="B631" s="85"/>
      <c r="C631" s="85"/>
      <c r="D631" s="85"/>
      <c r="E631" s="85"/>
      <c r="F631" s="85"/>
      <c r="G631" s="85"/>
      <c r="H631" s="85"/>
      <c r="I631" s="91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2.75" customHeight="1" spans="1:26">
      <c r="A632" s="85"/>
      <c r="B632" s="85"/>
      <c r="C632" s="85"/>
      <c r="D632" s="85"/>
      <c r="E632" s="85"/>
      <c r="F632" s="85"/>
      <c r="G632" s="85"/>
      <c r="H632" s="85"/>
      <c r="I632" s="91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2.75" customHeight="1" spans="1:26">
      <c r="A633" s="85"/>
      <c r="B633" s="85"/>
      <c r="C633" s="85"/>
      <c r="D633" s="85"/>
      <c r="E633" s="85"/>
      <c r="F633" s="85"/>
      <c r="G633" s="85"/>
      <c r="H633" s="85"/>
      <c r="I633" s="91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2.75" customHeight="1" spans="1:26">
      <c r="A634" s="85"/>
      <c r="B634" s="85"/>
      <c r="C634" s="85"/>
      <c r="D634" s="85"/>
      <c r="E634" s="85"/>
      <c r="F634" s="85"/>
      <c r="G634" s="85"/>
      <c r="H634" s="85"/>
      <c r="I634" s="91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2.75" customHeight="1" spans="1:26">
      <c r="A635" s="85"/>
      <c r="B635" s="85"/>
      <c r="C635" s="85"/>
      <c r="D635" s="85"/>
      <c r="E635" s="85"/>
      <c r="F635" s="85"/>
      <c r="G635" s="85"/>
      <c r="H635" s="85"/>
      <c r="I635" s="91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2.75" customHeight="1" spans="1:26">
      <c r="A636" s="85"/>
      <c r="B636" s="85"/>
      <c r="C636" s="85"/>
      <c r="D636" s="85"/>
      <c r="E636" s="85"/>
      <c r="F636" s="85"/>
      <c r="G636" s="85"/>
      <c r="H636" s="85"/>
      <c r="I636" s="91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2.75" customHeight="1" spans="1:26">
      <c r="A637" s="85"/>
      <c r="B637" s="85"/>
      <c r="C637" s="85"/>
      <c r="D637" s="85"/>
      <c r="E637" s="85"/>
      <c r="F637" s="85"/>
      <c r="G637" s="85"/>
      <c r="H637" s="85"/>
      <c r="I637" s="91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2.75" customHeight="1" spans="1:26">
      <c r="A638" s="85"/>
      <c r="B638" s="85"/>
      <c r="C638" s="85"/>
      <c r="D638" s="85"/>
      <c r="E638" s="85"/>
      <c r="F638" s="85"/>
      <c r="G638" s="85"/>
      <c r="H638" s="85"/>
      <c r="I638" s="91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2.75" customHeight="1" spans="1:26">
      <c r="A639" s="85"/>
      <c r="B639" s="85"/>
      <c r="C639" s="85"/>
      <c r="D639" s="85"/>
      <c r="E639" s="85"/>
      <c r="F639" s="85"/>
      <c r="G639" s="85"/>
      <c r="H639" s="85"/>
      <c r="I639" s="91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2.75" customHeight="1" spans="1:26">
      <c r="A640" s="85"/>
      <c r="B640" s="85"/>
      <c r="C640" s="85"/>
      <c r="D640" s="85"/>
      <c r="E640" s="85"/>
      <c r="F640" s="85"/>
      <c r="G640" s="85"/>
      <c r="H640" s="85"/>
      <c r="I640" s="91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2.75" customHeight="1" spans="1:26">
      <c r="A641" s="85"/>
      <c r="B641" s="85"/>
      <c r="C641" s="85"/>
      <c r="D641" s="85"/>
      <c r="E641" s="85"/>
      <c r="F641" s="85"/>
      <c r="G641" s="85"/>
      <c r="H641" s="85"/>
      <c r="I641" s="91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2.75" customHeight="1" spans="1:26">
      <c r="A642" s="85"/>
      <c r="B642" s="85"/>
      <c r="C642" s="85"/>
      <c r="D642" s="85"/>
      <c r="E642" s="85"/>
      <c r="F642" s="85"/>
      <c r="G642" s="85"/>
      <c r="H642" s="85"/>
      <c r="I642" s="91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2.75" customHeight="1" spans="1:26">
      <c r="A643" s="85"/>
      <c r="B643" s="85"/>
      <c r="C643" s="85"/>
      <c r="D643" s="85"/>
      <c r="E643" s="85"/>
      <c r="F643" s="85"/>
      <c r="G643" s="85"/>
      <c r="H643" s="85"/>
      <c r="I643" s="91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2.75" customHeight="1" spans="1:26">
      <c r="A644" s="85"/>
      <c r="B644" s="85"/>
      <c r="C644" s="85"/>
      <c r="D644" s="85"/>
      <c r="E644" s="85"/>
      <c r="F644" s="85"/>
      <c r="G644" s="85"/>
      <c r="H644" s="85"/>
      <c r="I644" s="91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2.75" customHeight="1" spans="1:26">
      <c r="A645" s="85"/>
      <c r="B645" s="85"/>
      <c r="C645" s="85"/>
      <c r="D645" s="85"/>
      <c r="E645" s="85"/>
      <c r="F645" s="85"/>
      <c r="G645" s="85"/>
      <c r="H645" s="85"/>
      <c r="I645" s="91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2.75" customHeight="1" spans="1:26">
      <c r="A646" s="85"/>
      <c r="B646" s="85"/>
      <c r="C646" s="85"/>
      <c r="D646" s="85"/>
      <c r="E646" s="85"/>
      <c r="F646" s="85"/>
      <c r="G646" s="85"/>
      <c r="H646" s="85"/>
      <c r="I646" s="91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2.75" customHeight="1" spans="1:26">
      <c r="A647" s="85"/>
      <c r="B647" s="85"/>
      <c r="C647" s="85"/>
      <c r="D647" s="85"/>
      <c r="E647" s="85"/>
      <c r="F647" s="85"/>
      <c r="G647" s="85"/>
      <c r="H647" s="85"/>
      <c r="I647" s="91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2.75" customHeight="1" spans="1:26">
      <c r="A648" s="85"/>
      <c r="B648" s="85"/>
      <c r="C648" s="85"/>
      <c r="D648" s="85"/>
      <c r="E648" s="85"/>
      <c r="F648" s="85"/>
      <c r="G648" s="85"/>
      <c r="H648" s="85"/>
      <c r="I648" s="91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2.75" customHeight="1" spans="1:26">
      <c r="A649" s="85"/>
      <c r="B649" s="85"/>
      <c r="C649" s="85"/>
      <c r="D649" s="85"/>
      <c r="E649" s="85"/>
      <c r="F649" s="85"/>
      <c r="G649" s="85"/>
      <c r="H649" s="85"/>
      <c r="I649" s="91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2.75" customHeight="1" spans="1:26">
      <c r="A650" s="85"/>
      <c r="B650" s="85"/>
      <c r="C650" s="85"/>
      <c r="D650" s="85"/>
      <c r="E650" s="85"/>
      <c r="F650" s="85"/>
      <c r="G650" s="85"/>
      <c r="H650" s="85"/>
      <c r="I650" s="91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2.75" customHeight="1" spans="1:26">
      <c r="A651" s="85"/>
      <c r="B651" s="85"/>
      <c r="C651" s="85"/>
      <c r="D651" s="85"/>
      <c r="E651" s="85"/>
      <c r="F651" s="85"/>
      <c r="G651" s="85"/>
      <c r="H651" s="85"/>
      <c r="I651" s="91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2.75" customHeight="1" spans="1:26">
      <c r="A652" s="85"/>
      <c r="B652" s="85"/>
      <c r="C652" s="85"/>
      <c r="D652" s="85"/>
      <c r="E652" s="85"/>
      <c r="F652" s="85"/>
      <c r="G652" s="85"/>
      <c r="H652" s="85"/>
      <c r="I652" s="91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2.75" customHeight="1" spans="1:26">
      <c r="A653" s="85"/>
      <c r="B653" s="85"/>
      <c r="C653" s="85"/>
      <c r="D653" s="85"/>
      <c r="E653" s="85"/>
      <c r="F653" s="85"/>
      <c r="G653" s="85"/>
      <c r="H653" s="85"/>
      <c r="I653" s="91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2.75" customHeight="1" spans="1:26">
      <c r="A654" s="85"/>
      <c r="B654" s="85"/>
      <c r="C654" s="85"/>
      <c r="D654" s="85"/>
      <c r="E654" s="85"/>
      <c r="F654" s="85"/>
      <c r="G654" s="85"/>
      <c r="H654" s="85"/>
      <c r="I654" s="91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2.75" customHeight="1" spans="1:26">
      <c r="A655" s="85"/>
      <c r="B655" s="85"/>
      <c r="C655" s="85"/>
      <c r="D655" s="85"/>
      <c r="E655" s="85"/>
      <c r="F655" s="85"/>
      <c r="G655" s="85"/>
      <c r="H655" s="85"/>
      <c r="I655" s="91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2.75" customHeight="1" spans="1:26">
      <c r="A656" s="85"/>
      <c r="B656" s="85"/>
      <c r="C656" s="85"/>
      <c r="D656" s="85"/>
      <c r="E656" s="85"/>
      <c r="F656" s="85"/>
      <c r="G656" s="85"/>
      <c r="H656" s="85"/>
      <c r="I656" s="91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2.75" customHeight="1" spans="1:26">
      <c r="A657" s="85"/>
      <c r="B657" s="85"/>
      <c r="C657" s="85"/>
      <c r="D657" s="85"/>
      <c r="E657" s="85"/>
      <c r="F657" s="85"/>
      <c r="G657" s="85"/>
      <c r="H657" s="85"/>
      <c r="I657" s="91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2.75" customHeight="1" spans="1:26">
      <c r="A658" s="85"/>
      <c r="B658" s="85"/>
      <c r="C658" s="85"/>
      <c r="D658" s="85"/>
      <c r="E658" s="85"/>
      <c r="F658" s="85"/>
      <c r="G658" s="85"/>
      <c r="H658" s="85"/>
      <c r="I658" s="91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2.75" customHeight="1" spans="1:26">
      <c r="A659" s="85"/>
      <c r="B659" s="85"/>
      <c r="C659" s="85"/>
      <c r="D659" s="85"/>
      <c r="E659" s="85"/>
      <c r="F659" s="85"/>
      <c r="G659" s="85"/>
      <c r="H659" s="85"/>
      <c r="I659" s="91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2.75" customHeight="1" spans="1:26">
      <c r="A660" s="85"/>
      <c r="B660" s="85"/>
      <c r="C660" s="85"/>
      <c r="D660" s="85"/>
      <c r="E660" s="85"/>
      <c r="F660" s="85"/>
      <c r="G660" s="85"/>
      <c r="H660" s="85"/>
      <c r="I660" s="91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2.75" customHeight="1" spans="1:26">
      <c r="A661" s="85"/>
      <c r="B661" s="85"/>
      <c r="C661" s="85"/>
      <c r="D661" s="85"/>
      <c r="E661" s="85"/>
      <c r="F661" s="85"/>
      <c r="G661" s="85"/>
      <c r="H661" s="85"/>
      <c r="I661" s="91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2.75" customHeight="1" spans="1:26">
      <c r="A662" s="85"/>
      <c r="B662" s="85"/>
      <c r="C662" s="85"/>
      <c r="D662" s="85"/>
      <c r="E662" s="85"/>
      <c r="F662" s="85"/>
      <c r="G662" s="85"/>
      <c r="H662" s="85"/>
      <c r="I662" s="91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2.75" customHeight="1" spans="1:26">
      <c r="A663" s="85"/>
      <c r="B663" s="85"/>
      <c r="C663" s="85"/>
      <c r="D663" s="85"/>
      <c r="E663" s="85"/>
      <c r="F663" s="85"/>
      <c r="G663" s="85"/>
      <c r="H663" s="85"/>
      <c r="I663" s="91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2.75" customHeight="1" spans="1:26">
      <c r="A664" s="85"/>
      <c r="B664" s="85"/>
      <c r="C664" s="85"/>
      <c r="D664" s="85"/>
      <c r="E664" s="85"/>
      <c r="F664" s="85"/>
      <c r="G664" s="85"/>
      <c r="H664" s="85"/>
      <c r="I664" s="91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2.75" customHeight="1" spans="1:26">
      <c r="A665" s="85"/>
      <c r="B665" s="85"/>
      <c r="C665" s="85"/>
      <c r="D665" s="85"/>
      <c r="E665" s="85"/>
      <c r="F665" s="85"/>
      <c r="G665" s="85"/>
      <c r="H665" s="85"/>
      <c r="I665" s="91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2.75" customHeight="1" spans="1:26">
      <c r="A666" s="85"/>
      <c r="B666" s="85"/>
      <c r="C666" s="85"/>
      <c r="D666" s="85"/>
      <c r="E666" s="85"/>
      <c r="F666" s="85"/>
      <c r="G666" s="85"/>
      <c r="H666" s="85"/>
      <c r="I666" s="91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2.75" customHeight="1" spans="1:26">
      <c r="A667" s="85"/>
      <c r="B667" s="85"/>
      <c r="C667" s="85"/>
      <c r="D667" s="85"/>
      <c r="E667" s="85"/>
      <c r="F667" s="85"/>
      <c r="G667" s="85"/>
      <c r="H667" s="85"/>
      <c r="I667" s="91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2.75" customHeight="1" spans="1:26">
      <c r="A668" s="85"/>
      <c r="B668" s="85"/>
      <c r="C668" s="85"/>
      <c r="D668" s="85"/>
      <c r="E668" s="85"/>
      <c r="F668" s="85"/>
      <c r="G668" s="85"/>
      <c r="H668" s="85"/>
      <c r="I668" s="91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2.75" customHeight="1" spans="1:26">
      <c r="A669" s="85"/>
      <c r="B669" s="85"/>
      <c r="C669" s="85"/>
      <c r="D669" s="85"/>
      <c r="E669" s="85"/>
      <c r="F669" s="85"/>
      <c r="G669" s="85"/>
      <c r="H669" s="85"/>
      <c r="I669" s="91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2.75" customHeight="1" spans="1:26">
      <c r="A670" s="85"/>
      <c r="B670" s="85"/>
      <c r="C670" s="85"/>
      <c r="D670" s="85"/>
      <c r="E670" s="85"/>
      <c r="F670" s="85"/>
      <c r="G670" s="85"/>
      <c r="H670" s="85"/>
      <c r="I670" s="91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2.75" customHeight="1" spans="1:26">
      <c r="A671" s="85"/>
      <c r="B671" s="85"/>
      <c r="C671" s="85"/>
      <c r="D671" s="85"/>
      <c r="E671" s="85"/>
      <c r="F671" s="85"/>
      <c r="G671" s="85"/>
      <c r="H671" s="85"/>
      <c r="I671" s="91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2.75" customHeight="1" spans="1:26">
      <c r="A672" s="85"/>
      <c r="B672" s="85"/>
      <c r="C672" s="85"/>
      <c r="D672" s="85"/>
      <c r="E672" s="85"/>
      <c r="F672" s="85"/>
      <c r="G672" s="85"/>
      <c r="H672" s="85"/>
      <c r="I672" s="91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2.75" customHeight="1" spans="1:26">
      <c r="A673" s="85"/>
      <c r="B673" s="85"/>
      <c r="C673" s="85"/>
      <c r="D673" s="85"/>
      <c r="E673" s="85"/>
      <c r="F673" s="85"/>
      <c r="G673" s="85"/>
      <c r="H673" s="85"/>
      <c r="I673" s="91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2.75" customHeight="1" spans="1:26">
      <c r="A674" s="85"/>
      <c r="B674" s="85"/>
      <c r="C674" s="85"/>
      <c r="D674" s="85"/>
      <c r="E674" s="85"/>
      <c r="F674" s="85"/>
      <c r="G674" s="85"/>
      <c r="H674" s="85"/>
      <c r="I674" s="91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2.75" customHeight="1" spans="1:26">
      <c r="A675" s="85"/>
      <c r="B675" s="85"/>
      <c r="C675" s="85"/>
      <c r="D675" s="85"/>
      <c r="E675" s="85"/>
      <c r="F675" s="85"/>
      <c r="G675" s="85"/>
      <c r="H675" s="85"/>
      <c r="I675" s="91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2.75" customHeight="1" spans="1:26">
      <c r="A676" s="85"/>
      <c r="B676" s="85"/>
      <c r="C676" s="85"/>
      <c r="D676" s="85"/>
      <c r="E676" s="85"/>
      <c r="F676" s="85"/>
      <c r="G676" s="85"/>
      <c r="H676" s="85"/>
      <c r="I676" s="91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2.75" customHeight="1" spans="1:26">
      <c r="A677" s="85"/>
      <c r="B677" s="85"/>
      <c r="C677" s="85"/>
      <c r="D677" s="85"/>
      <c r="E677" s="85"/>
      <c r="F677" s="85"/>
      <c r="G677" s="85"/>
      <c r="H677" s="85"/>
      <c r="I677" s="91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2.75" customHeight="1" spans="1:26">
      <c r="A678" s="85"/>
      <c r="B678" s="85"/>
      <c r="C678" s="85"/>
      <c r="D678" s="85"/>
      <c r="E678" s="85"/>
      <c r="F678" s="85"/>
      <c r="G678" s="85"/>
      <c r="H678" s="85"/>
      <c r="I678" s="91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2.75" customHeight="1" spans="1:26">
      <c r="A679" s="85"/>
      <c r="B679" s="85"/>
      <c r="C679" s="85"/>
      <c r="D679" s="85"/>
      <c r="E679" s="85"/>
      <c r="F679" s="85"/>
      <c r="G679" s="85"/>
      <c r="H679" s="85"/>
      <c r="I679" s="91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2.75" customHeight="1" spans="1:26">
      <c r="A680" s="85"/>
      <c r="B680" s="85"/>
      <c r="C680" s="85"/>
      <c r="D680" s="85"/>
      <c r="E680" s="85"/>
      <c r="F680" s="85"/>
      <c r="G680" s="85"/>
      <c r="H680" s="85"/>
      <c r="I680" s="91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2.75" customHeight="1" spans="1:26">
      <c r="A681" s="85"/>
      <c r="B681" s="85"/>
      <c r="C681" s="85"/>
      <c r="D681" s="85"/>
      <c r="E681" s="85"/>
      <c r="F681" s="85"/>
      <c r="G681" s="85"/>
      <c r="H681" s="85"/>
      <c r="I681" s="91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2.75" customHeight="1" spans="1:26">
      <c r="A682" s="85"/>
      <c r="B682" s="85"/>
      <c r="C682" s="85"/>
      <c r="D682" s="85"/>
      <c r="E682" s="85"/>
      <c r="F682" s="85"/>
      <c r="G682" s="85"/>
      <c r="H682" s="85"/>
      <c r="I682" s="91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2.75" customHeight="1" spans="1:26">
      <c r="A683" s="85"/>
      <c r="B683" s="85"/>
      <c r="C683" s="85"/>
      <c r="D683" s="85"/>
      <c r="E683" s="85"/>
      <c r="F683" s="85"/>
      <c r="G683" s="85"/>
      <c r="H683" s="85"/>
      <c r="I683" s="91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2.75" customHeight="1" spans="1:26">
      <c r="A684" s="85"/>
      <c r="B684" s="85"/>
      <c r="C684" s="85"/>
      <c r="D684" s="85"/>
      <c r="E684" s="85"/>
      <c r="F684" s="85"/>
      <c r="G684" s="85"/>
      <c r="H684" s="85"/>
      <c r="I684" s="91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2.75" customHeight="1" spans="1:26">
      <c r="A685" s="85"/>
      <c r="B685" s="85"/>
      <c r="C685" s="85"/>
      <c r="D685" s="85"/>
      <c r="E685" s="85"/>
      <c r="F685" s="85"/>
      <c r="G685" s="85"/>
      <c r="H685" s="85"/>
      <c r="I685" s="91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2.75" customHeight="1" spans="1:26">
      <c r="A686" s="85"/>
      <c r="B686" s="85"/>
      <c r="C686" s="85"/>
      <c r="D686" s="85"/>
      <c r="E686" s="85"/>
      <c r="F686" s="85"/>
      <c r="G686" s="85"/>
      <c r="H686" s="85"/>
      <c r="I686" s="91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2.75" customHeight="1" spans="1:26">
      <c r="A687" s="85"/>
      <c r="B687" s="85"/>
      <c r="C687" s="85"/>
      <c r="D687" s="85"/>
      <c r="E687" s="85"/>
      <c r="F687" s="85"/>
      <c r="G687" s="85"/>
      <c r="H687" s="85"/>
      <c r="I687" s="91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2.75" customHeight="1" spans="1:26">
      <c r="A688" s="85"/>
      <c r="B688" s="85"/>
      <c r="C688" s="85"/>
      <c r="D688" s="85"/>
      <c r="E688" s="85"/>
      <c r="F688" s="85"/>
      <c r="G688" s="85"/>
      <c r="H688" s="85"/>
      <c r="I688" s="91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2.75" customHeight="1" spans="1:26">
      <c r="A689" s="85"/>
      <c r="B689" s="85"/>
      <c r="C689" s="85"/>
      <c r="D689" s="85"/>
      <c r="E689" s="85"/>
      <c r="F689" s="85"/>
      <c r="G689" s="85"/>
      <c r="H689" s="85"/>
      <c r="I689" s="91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2.75" customHeight="1" spans="1:26">
      <c r="A690" s="85"/>
      <c r="B690" s="85"/>
      <c r="C690" s="85"/>
      <c r="D690" s="85"/>
      <c r="E690" s="85"/>
      <c r="F690" s="85"/>
      <c r="G690" s="85"/>
      <c r="H690" s="85"/>
      <c r="I690" s="91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2.75" customHeight="1" spans="1:26">
      <c r="A691" s="85"/>
      <c r="B691" s="85"/>
      <c r="C691" s="85"/>
      <c r="D691" s="85"/>
      <c r="E691" s="85"/>
      <c r="F691" s="85"/>
      <c r="G691" s="85"/>
      <c r="H691" s="85"/>
      <c r="I691" s="91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2.75" customHeight="1" spans="1:26">
      <c r="A692" s="85"/>
      <c r="B692" s="85"/>
      <c r="C692" s="85"/>
      <c r="D692" s="85"/>
      <c r="E692" s="85"/>
      <c r="F692" s="85"/>
      <c r="G692" s="85"/>
      <c r="H692" s="85"/>
      <c r="I692" s="91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2.75" customHeight="1" spans="1:26">
      <c r="A693" s="85"/>
      <c r="B693" s="85"/>
      <c r="C693" s="85"/>
      <c r="D693" s="85"/>
      <c r="E693" s="85"/>
      <c r="F693" s="85"/>
      <c r="G693" s="85"/>
      <c r="H693" s="85"/>
      <c r="I693" s="91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2.75" customHeight="1" spans="1:26">
      <c r="A694" s="85"/>
      <c r="B694" s="85"/>
      <c r="C694" s="85"/>
      <c r="D694" s="85"/>
      <c r="E694" s="85"/>
      <c r="F694" s="85"/>
      <c r="G694" s="85"/>
      <c r="H694" s="85"/>
      <c r="I694" s="91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2.75" customHeight="1" spans="1:26">
      <c r="A695" s="85"/>
      <c r="B695" s="85"/>
      <c r="C695" s="85"/>
      <c r="D695" s="85"/>
      <c r="E695" s="85"/>
      <c r="F695" s="85"/>
      <c r="G695" s="85"/>
      <c r="H695" s="85"/>
      <c r="I695" s="91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2.75" customHeight="1" spans="1:26">
      <c r="A696" s="85"/>
      <c r="B696" s="85"/>
      <c r="C696" s="85"/>
      <c r="D696" s="85"/>
      <c r="E696" s="85"/>
      <c r="F696" s="85"/>
      <c r="G696" s="85"/>
      <c r="H696" s="85"/>
      <c r="I696" s="91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2.75" customHeight="1" spans="1:26">
      <c r="A697" s="85"/>
      <c r="B697" s="85"/>
      <c r="C697" s="85"/>
      <c r="D697" s="85"/>
      <c r="E697" s="85"/>
      <c r="F697" s="85"/>
      <c r="G697" s="85"/>
      <c r="H697" s="85"/>
      <c r="I697" s="91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2.75" customHeight="1" spans="1:26">
      <c r="A698" s="85"/>
      <c r="B698" s="85"/>
      <c r="C698" s="85"/>
      <c r="D698" s="85"/>
      <c r="E698" s="85"/>
      <c r="F698" s="85"/>
      <c r="G698" s="85"/>
      <c r="H698" s="85"/>
      <c r="I698" s="91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2.75" customHeight="1" spans="1:26">
      <c r="A699" s="85"/>
      <c r="B699" s="85"/>
      <c r="C699" s="85"/>
      <c r="D699" s="85"/>
      <c r="E699" s="85"/>
      <c r="F699" s="85"/>
      <c r="G699" s="85"/>
      <c r="H699" s="85"/>
      <c r="I699" s="91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2.75" customHeight="1" spans="1:26">
      <c r="A700" s="85"/>
      <c r="B700" s="85"/>
      <c r="C700" s="85"/>
      <c r="D700" s="85"/>
      <c r="E700" s="85"/>
      <c r="F700" s="85"/>
      <c r="G700" s="85"/>
      <c r="H700" s="85"/>
      <c r="I700" s="91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2.75" customHeight="1" spans="1:26">
      <c r="A701" s="85"/>
      <c r="B701" s="85"/>
      <c r="C701" s="85"/>
      <c r="D701" s="85"/>
      <c r="E701" s="85"/>
      <c r="F701" s="85"/>
      <c r="G701" s="85"/>
      <c r="H701" s="85"/>
      <c r="I701" s="91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2.75" customHeight="1" spans="1:26">
      <c r="A702" s="85"/>
      <c r="B702" s="85"/>
      <c r="C702" s="85"/>
      <c r="D702" s="85"/>
      <c r="E702" s="85"/>
      <c r="F702" s="85"/>
      <c r="G702" s="85"/>
      <c r="H702" s="85"/>
      <c r="I702" s="91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2.75" customHeight="1" spans="1:26">
      <c r="A703" s="85"/>
      <c r="B703" s="85"/>
      <c r="C703" s="85"/>
      <c r="D703" s="85"/>
      <c r="E703" s="85"/>
      <c r="F703" s="85"/>
      <c r="G703" s="85"/>
      <c r="H703" s="85"/>
      <c r="I703" s="91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2.75" customHeight="1" spans="1:26">
      <c r="A704" s="85"/>
      <c r="B704" s="85"/>
      <c r="C704" s="85"/>
      <c r="D704" s="85"/>
      <c r="E704" s="85"/>
      <c r="F704" s="85"/>
      <c r="G704" s="85"/>
      <c r="H704" s="85"/>
      <c r="I704" s="91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2.75" customHeight="1" spans="1:26">
      <c r="A705" s="85"/>
      <c r="B705" s="85"/>
      <c r="C705" s="85"/>
      <c r="D705" s="85"/>
      <c r="E705" s="85"/>
      <c r="F705" s="85"/>
      <c r="G705" s="85"/>
      <c r="H705" s="85"/>
      <c r="I705" s="91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2.75" customHeight="1" spans="1:26">
      <c r="A706" s="85"/>
      <c r="B706" s="85"/>
      <c r="C706" s="85"/>
      <c r="D706" s="85"/>
      <c r="E706" s="85"/>
      <c r="F706" s="85"/>
      <c r="G706" s="85"/>
      <c r="H706" s="85"/>
      <c r="I706" s="91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2.75" customHeight="1" spans="1:26">
      <c r="A707" s="85"/>
      <c r="B707" s="85"/>
      <c r="C707" s="85"/>
      <c r="D707" s="85"/>
      <c r="E707" s="85"/>
      <c r="F707" s="85"/>
      <c r="G707" s="85"/>
      <c r="H707" s="85"/>
      <c r="I707" s="91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2.75" customHeight="1" spans="1:26">
      <c r="A708" s="85"/>
      <c r="B708" s="85"/>
      <c r="C708" s="85"/>
      <c r="D708" s="85"/>
      <c r="E708" s="85"/>
      <c r="F708" s="85"/>
      <c r="G708" s="85"/>
      <c r="H708" s="85"/>
      <c r="I708" s="91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2.75" customHeight="1" spans="1:26">
      <c r="A709" s="85"/>
      <c r="B709" s="85"/>
      <c r="C709" s="85"/>
      <c r="D709" s="85"/>
      <c r="E709" s="85"/>
      <c r="F709" s="85"/>
      <c r="G709" s="85"/>
      <c r="H709" s="85"/>
      <c r="I709" s="91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2.75" customHeight="1" spans="1:26">
      <c r="A710" s="85"/>
      <c r="B710" s="85"/>
      <c r="C710" s="85"/>
      <c r="D710" s="85"/>
      <c r="E710" s="85"/>
      <c r="F710" s="85"/>
      <c r="G710" s="85"/>
      <c r="H710" s="85"/>
      <c r="I710" s="91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2.75" customHeight="1" spans="1:26">
      <c r="A711" s="85"/>
      <c r="B711" s="85"/>
      <c r="C711" s="85"/>
      <c r="D711" s="85"/>
      <c r="E711" s="85"/>
      <c r="F711" s="85"/>
      <c r="G711" s="85"/>
      <c r="H711" s="85"/>
      <c r="I711" s="91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2.75" customHeight="1" spans="1:26">
      <c r="A712" s="85"/>
      <c r="B712" s="85"/>
      <c r="C712" s="85"/>
      <c r="D712" s="85"/>
      <c r="E712" s="85"/>
      <c r="F712" s="85"/>
      <c r="G712" s="85"/>
      <c r="H712" s="85"/>
      <c r="I712" s="91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2.75" customHeight="1" spans="1:26">
      <c r="A713" s="85"/>
      <c r="B713" s="85"/>
      <c r="C713" s="85"/>
      <c r="D713" s="85"/>
      <c r="E713" s="85"/>
      <c r="F713" s="85"/>
      <c r="G713" s="85"/>
      <c r="H713" s="85"/>
      <c r="I713" s="91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2.75" customHeight="1" spans="1:26">
      <c r="A714" s="85"/>
      <c r="B714" s="85"/>
      <c r="C714" s="85"/>
      <c r="D714" s="85"/>
      <c r="E714" s="85"/>
      <c r="F714" s="85"/>
      <c r="G714" s="85"/>
      <c r="H714" s="85"/>
      <c r="I714" s="91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2.75" customHeight="1" spans="1:26">
      <c r="A715" s="85"/>
      <c r="B715" s="85"/>
      <c r="C715" s="85"/>
      <c r="D715" s="85"/>
      <c r="E715" s="85"/>
      <c r="F715" s="85"/>
      <c r="G715" s="85"/>
      <c r="H715" s="85"/>
      <c r="I715" s="91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2.75" customHeight="1" spans="1:26">
      <c r="A716" s="85"/>
      <c r="B716" s="85"/>
      <c r="C716" s="85"/>
      <c r="D716" s="85"/>
      <c r="E716" s="85"/>
      <c r="F716" s="85"/>
      <c r="G716" s="85"/>
      <c r="H716" s="85"/>
      <c r="I716" s="91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2.75" customHeight="1" spans="1:26">
      <c r="A717" s="85"/>
      <c r="B717" s="85"/>
      <c r="C717" s="85"/>
      <c r="D717" s="85"/>
      <c r="E717" s="85"/>
      <c r="F717" s="85"/>
      <c r="G717" s="85"/>
      <c r="H717" s="85"/>
      <c r="I717" s="91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2.75" customHeight="1" spans="1:26">
      <c r="A718" s="85"/>
      <c r="B718" s="85"/>
      <c r="C718" s="85"/>
      <c r="D718" s="85"/>
      <c r="E718" s="85"/>
      <c r="F718" s="85"/>
      <c r="G718" s="85"/>
      <c r="H718" s="85"/>
      <c r="I718" s="91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2.75" customHeight="1" spans="1:26">
      <c r="A719" s="85"/>
      <c r="B719" s="85"/>
      <c r="C719" s="85"/>
      <c r="D719" s="85"/>
      <c r="E719" s="85"/>
      <c r="F719" s="85"/>
      <c r="G719" s="85"/>
      <c r="H719" s="85"/>
      <c r="I719" s="91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2.75" customHeight="1" spans="1:26">
      <c r="A720" s="85"/>
      <c r="B720" s="85"/>
      <c r="C720" s="85"/>
      <c r="D720" s="85"/>
      <c r="E720" s="85"/>
      <c r="F720" s="85"/>
      <c r="G720" s="85"/>
      <c r="H720" s="85"/>
      <c r="I720" s="91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2.75" customHeight="1" spans="1:26">
      <c r="A721" s="85"/>
      <c r="B721" s="85"/>
      <c r="C721" s="85"/>
      <c r="D721" s="85"/>
      <c r="E721" s="85"/>
      <c r="F721" s="85"/>
      <c r="G721" s="85"/>
      <c r="H721" s="85"/>
      <c r="I721" s="91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2.75" customHeight="1" spans="1:26">
      <c r="A722" s="85"/>
      <c r="B722" s="85"/>
      <c r="C722" s="85"/>
      <c r="D722" s="85"/>
      <c r="E722" s="85"/>
      <c r="F722" s="85"/>
      <c r="G722" s="85"/>
      <c r="H722" s="85"/>
      <c r="I722" s="91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2.75" customHeight="1" spans="1:26">
      <c r="A723" s="85"/>
      <c r="B723" s="85"/>
      <c r="C723" s="85"/>
      <c r="D723" s="85"/>
      <c r="E723" s="85"/>
      <c r="F723" s="85"/>
      <c r="G723" s="85"/>
      <c r="H723" s="85"/>
      <c r="I723" s="91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2.75" customHeight="1" spans="1:26">
      <c r="A724" s="85"/>
      <c r="B724" s="85"/>
      <c r="C724" s="85"/>
      <c r="D724" s="85"/>
      <c r="E724" s="85"/>
      <c r="F724" s="85"/>
      <c r="G724" s="85"/>
      <c r="H724" s="85"/>
      <c r="I724" s="91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2.75" customHeight="1" spans="1:26">
      <c r="A725" s="85"/>
      <c r="B725" s="85"/>
      <c r="C725" s="85"/>
      <c r="D725" s="85"/>
      <c r="E725" s="85"/>
      <c r="F725" s="85"/>
      <c r="G725" s="85"/>
      <c r="H725" s="85"/>
      <c r="I725" s="91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2.75" customHeight="1" spans="1:26">
      <c r="A726" s="85"/>
      <c r="B726" s="85"/>
      <c r="C726" s="85"/>
      <c r="D726" s="85"/>
      <c r="E726" s="85"/>
      <c r="F726" s="85"/>
      <c r="G726" s="85"/>
      <c r="H726" s="85"/>
      <c r="I726" s="91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2.75" customHeight="1" spans="1:26">
      <c r="A727" s="85"/>
      <c r="B727" s="85"/>
      <c r="C727" s="85"/>
      <c r="D727" s="85"/>
      <c r="E727" s="85"/>
      <c r="F727" s="85"/>
      <c r="G727" s="85"/>
      <c r="H727" s="85"/>
      <c r="I727" s="91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2.75" customHeight="1" spans="1:26">
      <c r="A728" s="85"/>
      <c r="B728" s="85"/>
      <c r="C728" s="85"/>
      <c r="D728" s="85"/>
      <c r="E728" s="85"/>
      <c r="F728" s="85"/>
      <c r="G728" s="85"/>
      <c r="H728" s="85"/>
      <c r="I728" s="91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2.75" customHeight="1" spans="1:26">
      <c r="A729" s="85"/>
      <c r="B729" s="85"/>
      <c r="C729" s="85"/>
      <c r="D729" s="85"/>
      <c r="E729" s="85"/>
      <c r="F729" s="85"/>
      <c r="G729" s="85"/>
      <c r="H729" s="85"/>
      <c r="I729" s="91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2.75" customHeight="1" spans="1:26">
      <c r="A730" s="85"/>
      <c r="B730" s="85"/>
      <c r="C730" s="85"/>
      <c r="D730" s="85"/>
      <c r="E730" s="85"/>
      <c r="F730" s="85"/>
      <c r="G730" s="85"/>
      <c r="H730" s="85"/>
      <c r="I730" s="91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2.75" customHeight="1" spans="1:26">
      <c r="A731" s="85"/>
      <c r="B731" s="85"/>
      <c r="C731" s="85"/>
      <c r="D731" s="85"/>
      <c r="E731" s="85"/>
      <c r="F731" s="85"/>
      <c r="G731" s="85"/>
      <c r="H731" s="85"/>
      <c r="I731" s="91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2.75" customHeight="1" spans="1:26">
      <c r="A732" s="85"/>
      <c r="B732" s="85"/>
      <c r="C732" s="85"/>
      <c r="D732" s="85"/>
      <c r="E732" s="85"/>
      <c r="F732" s="85"/>
      <c r="G732" s="85"/>
      <c r="H732" s="85"/>
      <c r="I732" s="91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2.75" customHeight="1" spans="1:26">
      <c r="A733" s="85"/>
      <c r="B733" s="85"/>
      <c r="C733" s="85"/>
      <c r="D733" s="85"/>
      <c r="E733" s="85"/>
      <c r="F733" s="85"/>
      <c r="G733" s="85"/>
      <c r="H733" s="85"/>
      <c r="I733" s="91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2.75" customHeight="1" spans="1:26">
      <c r="A734" s="85"/>
      <c r="B734" s="85"/>
      <c r="C734" s="85"/>
      <c r="D734" s="85"/>
      <c r="E734" s="85"/>
      <c r="F734" s="85"/>
      <c r="G734" s="85"/>
      <c r="H734" s="85"/>
      <c r="I734" s="91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2.75" customHeight="1" spans="1:26">
      <c r="A735" s="85"/>
      <c r="B735" s="85"/>
      <c r="C735" s="85"/>
      <c r="D735" s="85"/>
      <c r="E735" s="85"/>
      <c r="F735" s="85"/>
      <c r="G735" s="85"/>
      <c r="H735" s="85"/>
      <c r="I735" s="91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2.75" customHeight="1" spans="1:26">
      <c r="A736" s="85"/>
      <c r="B736" s="85"/>
      <c r="C736" s="85"/>
      <c r="D736" s="85"/>
      <c r="E736" s="85"/>
      <c r="F736" s="85"/>
      <c r="G736" s="85"/>
      <c r="H736" s="85"/>
      <c r="I736" s="91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2.75" customHeight="1" spans="1:26">
      <c r="A737" s="85"/>
      <c r="B737" s="85"/>
      <c r="C737" s="85"/>
      <c r="D737" s="85"/>
      <c r="E737" s="85"/>
      <c r="F737" s="85"/>
      <c r="G737" s="85"/>
      <c r="H737" s="85"/>
      <c r="I737" s="91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2.75" customHeight="1" spans="1:26">
      <c r="A738" s="85"/>
      <c r="B738" s="85"/>
      <c r="C738" s="85"/>
      <c r="D738" s="85"/>
      <c r="E738" s="85"/>
      <c r="F738" s="85"/>
      <c r="G738" s="85"/>
      <c r="H738" s="85"/>
      <c r="I738" s="91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2.75" customHeight="1" spans="1:26">
      <c r="A739" s="85"/>
      <c r="B739" s="85"/>
      <c r="C739" s="85"/>
      <c r="D739" s="85"/>
      <c r="E739" s="85"/>
      <c r="F739" s="85"/>
      <c r="G739" s="85"/>
      <c r="H739" s="85"/>
      <c r="I739" s="91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2.75" customHeight="1" spans="1:26">
      <c r="A740" s="85"/>
      <c r="B740" s="85"/>
      <c r="C740" s="85"/>
      <c r="D740" s="85"/>
      <c r="E740" s="85"/>
      <c r="F740" s="85"/>
      <c r="G740" s="85"/>
      <c r="H740" s="85"/>
      <c r="I740" s="91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2.75" customHeight="1" spans="1:26">
      <c r="A741" s="85"/>
      <c r="B741" s="85"/>
      <c r="C741" s="85"/>
      <c r="D741" s="85"/>
      <c r="E741" s="85"/>
      <c r="F741" s="85"/>
      <c r="G741" s="85"/>
      <c r="H741" s="85"/>
      <c r="I741" s="91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2.75" customHeight="1" spans="1:26">
      <c r="A742" s="85"/>
      <c r="B742" s="85"/>
      <c r="C742" s="85"/>
      <c r="D742" s="85"/>
      <c r="E742" s="85"/>
      <c r="F742" s="85"/>
      <c r="G742" s="85"/>
      <c r="H742" s="85"/>
      <c r="I742" s="91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2.75" customHeight="1" spans="1:26">
      <c r="A743" s="85"/>
      <c r="B743" s="85"/>
      <c r="C743" s="85"/>
      <c r="D743" s="85"/>
      <c r="E743" s="85"/>
      <c r="F743" s="85"/>
      <c r="G743" s="85"/>
      <c r="H743" s="85"/>
      <c r="I743" s="91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2.75" customHeight="1" spans="1:26">
      <c r="A744" s="85"/>
      <c r="B744" s="85"/>
      <c r="C744" s="85"/>
      <c r="D744" s="85"/>
      <c r="E744" s="85"/>
      <c r="F744" s="85"/>
      <c r="G744" s="85"/>
      <c r="H744" s="85"/>
      <c r="I744" s="91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2.75" customHeight="1" spans="1:26">
      <c r="A745" s="85"/>
      <c r="B745" s="85"/>
      <c r="C745" s="85"/>
      <c r="D745" s="85"/>
      <c r="E745" s="85"/>
      <c r="F745" s="85"/>
      <c r="G745" s="85"/>
      <c r="H745" s="85"/>
      <c r="I745" s="91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2.75" customHeight="1" spans="1:26">
      <c r="A746" s="85"/>
      <c r="B746" s="85"/>
      <c r="C746" s="85"/>
      <c r="D746" s="85"/>
      <c r="E746" s="85"/>
      <c r="F746" s="85"/>
      <c r="G746" s="85"/>
      <c r="H746" s="85"/>
      <c r="I746" s="91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2.75" customHeight="1" spans="1:26">
      <c r="A747" s="85"/>
      <c r="B747" s="85"/>
      <c r="C747" s="85"/>
      <c r="D747" s="85"/>
      <c r="E747" s="85"/>
      <c r="F747" s="85"/>
      <c r="G747" s="85"/>
      <c r="H747" s="85"/>
      <c r="I747" s="91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2.75" customHeight="1" spans="1:26">
      <c r="A748" s="85"/>
      <c r="B748" s="85"/>
      <c r="C748" s="85"/>
      <c r="D748" s="85"/>
      <c r="E748" s="85"/>
      <c r="F748" s="85"/>
      <c r="G748" s="85"/>
      <c r="H748" s="85"/>
      <c r="I748" s="91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2.75" customHeight="1" spans="1:26">
      <c r="A749" s="85"/>
      <c r="B749" s="85"/>
      <c r="C749" s="85"/>
      <c r="D749" s="85"/>
      <c r="E749" s="85"/>
      <c r="F749" s="85"/>
      <c r="G749" s="85"/>
      <c r="H749" s="85"/>
      <c r="I749" s="91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2.75" customHeight="1" spans="1:26">
      <c r="A750" s="85"/>
      <c r="B750" s="85"/>
      <c r="C750" s="85"/>
      <c r="D750" s="85"/>
      <c r="E750" s="85"/>
      <c r="F750" s="85"/>
      <c r="G750" s="85"/>
      <c r="H750" s="85"/>
      <c r="I750" s="91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2.75" customHeight="1" spans="1:26">
      <c r="A751" s="85"/>
      <c r="B751" s="85"/>
      <c r="C751" s="85"/>
      <c r="D751" s="85"/>
      <c r="E751" s="85"/>
      <c r="F751" s="85"/>
      <c r="G751" s="85"/>
      <c r="H751" s="85"/>
      <c r="I751" s="91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2.75" customHeight="1" spans="1:26">
      <c r="A752" s="85"/>
      <c r="B752" s="85"/>
      <c r="C752" s="85"/>
      <c r="D752" s="85"/>
      <c r="E752" s="85"/>
      <c r="F752" s="85"/>
      <c r="G752" s="85"/>
      <c r="H752" s="85"/>
      <c r="I752" s="91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2.75" customHeight="1" spans="1:26">
      <c r="A753" s="85"/>
      <c r="B753" s="85"/>
      <c r="C753" s="85"/>
      <c r="D753" s="85"/>
      <c r="E753" s="85"/>
      <c r="F753" s="85"/>
      <c r="G753" s="85"/>
      <c r="H753" s="85"/>
      <c r="I753" s="91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2.75" customHeight="1" spans="1:26">
      <c r="A754" s="85"/>
      <c r="B754" s="85"/>
      <c r="C754" s="85"/>
      <c r="D754" s="85"/>
      <c r="E754" s="85"/>
      <c r="F754" s="85"/>
      <c r="G754" s="85"/>
      <c r="H754" s="85"/>
      <c r="I754" s="91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2.75" customHeight="1" spans="1:26">
      <c r="A755" s="85"/>
      <c r="B755" s="85"/>
      <c r="C755" s="85"/>
      <c r="D755" s="85"/>
      <c r="E755" s="85"/>
      <c r="F755" s="85"/>
      <c r="G755" s="85"/>
      <c r="H755" s="85"/>
      <c r="I755" s="91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2.75" customHeight="1" spans="1:26">
      <c r="A756" s="85"/>
      <c r="B756" s="85"/>
      <c r="C756" s="85"/>
      <c r="D756" s="85"/>
      <c r="E756" s="85"/>
      <c r="F756" s="85"/>
      <c r="G756" s="85"/>
      <c r="H756" s="85"/>
      <c r="I756" s="91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2.75" customHeight="1" spans="1:26">
      <c r="A757" s="85"/>
      <c r="B757" s="85"/>
      <c r="C757" s="85"/>
      <c r="D757" s="85"/>
      <c r="E757" s="85"/>
      <c r="F757" s="85"/>
      <c r="G757" s="85"/>
      <c r="H757" s="85"/>
      <c r="I757" s="91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2.75" customHeight="1" spans="1:26">
      <c r="A758" s="85"/>
      <c r="B758" s="85"/>
      <c r="C758" s="85"/>
      <c r="D758" s="85"/>
      <c r="E758" s="85"/>
      <c r="F758" s="85"/>
      <c r="G758" s="85"/>
      <c r="H758" s="85"/>
      <c r="I758" s="91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2.75" customHeight="1" spans="1:26">
      <c r="A759" s="85"/>
      <c r="B759" s="85"/>
      <c r="C759" s="85"/>
      <c r="D759" s="85"/>
      <c r="E759" s="85"/>
      <c r="F759" s="85"/>
      <c r="G759" s="85"/>
      <c r="H759" s="85"/>
      <c r="I759" s="91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2.75" customHeight="1" spans="1:26">
      <c r="A760" s="85"/>
      <c r="B760" s="85"/>
      <c r="C760" s="85"/>
      <c r="D760" s="85"/>
      <c r="E760" s="85"/>
      <c r="F760" s="85"/>
      <c r="G760" s="85"/>
      <c r="H760" s="85"/>
      <c r="I760" s="91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2.75" customHeight="1" spans="1:26">
      <c r="A761" s="85"/>
      <c r="B761" s="85"/>
      <c r="C761" s="85"/>
      <c r="D761" s="85"/>
      <c r="E761" s="85"/>
      <c r="F761" s="85"/>
      <c r="G761" s="85"/>
      <c r="H761" s="85"/>
      <c r="I761" s="91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2.75" customHeight="1" spans="1:26">
      <c r="A762" s="85"/>
      <c r="B762" s="85"/>
      <c r="C762" s="85"/>
      <c r="D762" s="85"/>
      <c r="E762" s="85"/>
      <c r="F762" s="85"/>
      <c r="G762" s="85"/>
      <c r="H762" s="85"/>
      <c r="I762" s="91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2.75" customHeight="1" spans="1:26">
      <c r="A763" s="85"/>
      <c r="B763" s="85"/>
      <c r="C763" s="85"/>
      <c r="D763" s="85"/>
      <c r="E763" s="85"/>
      <c r="F763" s="85"/>
      <c r="G763" s="85"/>
      <c r="H763" s="85"/>
      <c r="I763" s="91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2.75" customHeight="1" spans="1:26">
      <c r="A764" s="85"/>
      <c r="B764" s="85"/>
      <c r="C764" s="85"/>
      <c r="D764" s="85"/>
      <c r="E764" s="85"/>
      <c r="F764" s="85"/>
      <c r="G764" s="85"/>
      <c r="H764" s="85"/>
      <c r="I764" s="91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2.75" customHeight="1" spans="1:26">
      <c r="A765" s="85"/>
      <c r="B765" s="85"/>
      <c r="C765" s="85"/>
      <c r="D765" s="85"/>
      <c r="E765" s="85"/>
      <c r="F765" s="85"/>
      <c r="G765" s="85"/>
      <c r="H765" s="85"/>
      <c r="I765" s="91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2.75" customHeight="1" spans="1:26">
      <c r="A766" s="85"/>
      <c r="B766" s="85"/>
      <c r="C766" s="85"/>
      <c r="D766" s="85"/>
      <c r="E766" s="85"/>
      <c r="F766" s="85"/>
      <c r="G766" s="85"/>
      <c r="H766" s="85"/>
      <c r="I766" s="91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2.75" customHeight="1" spans="1:26">
      <c r="A767" s="85"/>
      <c r="B767" s="85"/>
      <c r="C767" s="85"/>
      <c r="D767" s="85"/>
      <c r="E767" s="85"/>
      <c r="F767" s="85"/>
      <c r="G767" s="85"/>
      <c r="H767" s="85"/>
      <c r="I767" s="91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2.75" customHeight="1" spans="1:26">
      <c r="A768" s="85"/>
      <c r="B768" s="85"/>
      <c r="C768" s="85"/>
      <c r="D768" s="85"/>
      <c r="E768" s="85"/>
      <c r="F768" s="85"/>
      <c r="G768" s="85"/>
      <c r="H768" s="85"/>
      <c r="I768" s="91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2.75" customHeight="1" spans="1:26">
      <c r="A769" s="85"/>
      <c r="B769" s="85"/>
      <c r="C769" s="85"/>
      <c r="D769" s="85"/>
      <c r="E769" s="85"/>
      <c r="F769" s="85"/>
      <c r="G769" s="85"/>
      <c r="H769" s="85"/>
      <c r="I769" s="91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2.75" customHeight="1" spans="1:26">
      <c r="A770" s="85"/>
      <c r="B770" s="85"/>
      <c r="C770" s="85"/>
      <c r="D770" s="85"/>
      <c r="E770" s="85"/>
      <c r="F770" s="85"/>
      <c r="G770" s="85"/>
      <c r="H770" s="85"/>
      <c r="I770" s="91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2.75" customHeight="1" spans="1:26">
      <c r="A771" s="85"/>
      <c r="B771" s="85"/>
      <c r="C771" s="85"/>
      <c r="D771" s="85"/>
      <c r="E771" s="85"/>
      <c r="F771" s="85"/>
      <c r="G771" s="85"/>
      <c r="H771" s="85"/>
      <c r="I771" s="91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2.75" customHeight="1" spans="1:26">
      <c r="A772" s="85"/>
      <c r="B772" s="85"/>
      <c r="C772" s="85"/>
      <c r="D772" s="85"/>
      <c r="E772" s="85"/>
      <c r="F772" s="85"/>
      <c r="G772" s="85"/>
      <c r="H772" s="85"/>
      <c r="I772" s="91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2.75" customHeight="1" spans="1:26">
      <c r="A773" s="85"/>
      <c r="B773" s="85"/>
      <c r="C773" s="85"/>
      <c r="D773" s="85"/>
      <c r="E773" s="85"/>
      <c r="F773" s="85"/>
      <c r="G773" s="85"/>
      <c r="H773" s="85"/>
      <c r="I773" s="91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2.75" customHeight="1" spans="1:26">
      <c r="A774" s="85"/>
      <c r="B774" s="85"/>
      <c r="C774" s="85"/>
      <c r="D774" s="85"/>
      <c r="E774" s="85"/>
      <c r="F774" s="85"/>
      <c r="G774" s="85"/>
      <c r="H774" s="85"/>
      <c r="I774" s="91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2.75" customHeight="1" spans="1:26">
      <c r="A775" s="85"/>
      <c r="B775" s="85"/>
      <c r="C775" s="85"/>
      <c r="D775" s="85"/>
      <c r="E775" s="85"/>
      <c r="F775" s="85"/>
      <c r="G775" s="85"/>
      <c r="H775" s="85"/>
      <c r="I775" s="91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2.75" customHeight="1" spans="1:26">
      <c r="A776" s="85"/>
      <c r="B776" s="85"/>
      <c r="C776" s="85"/>
      <c r="D776" s="85"/>
      <c r="E776" s="85"/>
      <c r="F776" s="85"/>
      <c r="G776" s="85"/>
      <c r="H776" s="85"/>
      <c r="I776" s="91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2.75" customHeight="1" spans="1:26">
      <c r="A777" s="85"/>
      <c r="B777" s="85"/>
      <c r="C777" s="85"/>
      <c r="D777" s="85"/>
      <c r="E777" s="85"/>
      <c r="F777" s="85"/>
      <c r="G777" s="85"/>
      <c r="H777" s="85"/>
      <c r="I777" s="91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2.75" customHeight="1" spans="1:26">
      <c r="A778" s="85"/>
      <c r="B778" s="85"/>
      <c r="C778" s="85"/>
      <c r="D778" s="85"/>
      <c r="E778" s="85"/>
      <c r="F778" s="85"/>
      <c r="G778" s="85"/>
      <c r="H778" s="85"/>
      <c r="I778" s="91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2.75" customHeight="1" spans="1:26">
      <c r="A779" s="85"/>
      <c r="B779" s="85"/>
      <c r="C779" s="85"/>
      <c r="D779" s="85"/>
      <c r="E779" s="85"/>
      <c r="F779" s="85"/>
      <c r="G779" s="85"/>
      <c r="H779" s="85"/>
      <c r="I779" s="91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2.75" customHeight="1" spans="1:26">
      <c r="A780" s="85"/>
      <c r="B780" s="85"/>
      <c r="C780" s="85"/>
      <c r="D780" s="85"/>
      <c r="E780" s="85"/>
      <c r="F780" s="85"/>
      <c r="G780" s="85"/>
      <c r="H780" s="85"/>
      <c r="I780" s="91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2.75" customHeight="1" spans="1:26">
      <c r="A781" s="85"/>
      <c r="B781" s="85"/>
      <c r="C781" s="85"/>
      <c r="D781" s="85"/>
      <c r="E781" s="85"/>
      <c r="F781" s="85"/>
      <c r="G781" s="85"/>
      <c r="H781" s="85"/>
      <c r="I781" s="91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2.75" customHeight="1" spans="1:26">
      <c r="A782" s="85"/>
      <c r="B782" s="85"/>
      <c r="C782" s="85"/>
      <c r="D782" s="85"/>
      <c r="E782" s="85"/>
      <c r="F782" s="85"/>
      <c r="G782" s="85"/>
      <c r="H782" s="85"/>
      <c r="I782" s="91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2.75" customHeight="1" spans="1:26">
      <c r="A783" s="85"/>
      <c r="B783" s="85"/>
      <c r="C783" s="85"/>
      <c r="D783" s="85"/>
      <c r="E783" s="85"/>
      <c r="F783" s="85"/>
      <c r="G783" s="85"/>
      <c r="H783" s="85"/>
      <c r="I783" s="91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2.75" customHeight="1" spans="1:26">
      <c r="A784" s="85"/>
      <c r="B784" s="85"/>
      <c r="C784" s="85"/>
      <c r="D784" s="85"/>
      <c r="E784" s="85"/>
      <c r="F784" s="85"/>
      <c r="G784" s="85"/>
      <c r="H784" s="85"/>
      <c r="I784" s="91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2.75" customHeight="1" spans="1:26">
      <c r="A785" s="85"/>
      <c r="B785" s="85"/>
      <c r="C785" s="85"/>
      <c r="D785" s="85"/>
      <c r="E785" s="85"/>
      <c r="F785" s="85"/>
      <c r="G785" s="85"/>
      <c r="H785" s="85"/>
      <c r="I785" s="91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2.75" customHeight="1" spans="1:26">
      <c r="A786" s="85"/>
      <c r="B786" s="85"/>
      <c r="C786" s="85"/>
      <c r="D786" s="85"/>
      <c r="E786" s="85"/>
      <c r="F786" s="85"/>
      <c r="G786" s="85"/>
      <c r="H786" s="85"/>
      <c r="I786" s="91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2.75" customHeight="1" spans="1:26">
      <c r="A787" s="85"/>
      <c r="B787" s="85"/>
      <c r="C787" s="85"/>
      <c r="D787" s="85"/>
      <c r="E787" s="85"/>
      <c r="F787" s="85"/>
      <c r="G787" s="85"/>
      <c r="H787" s="85"/>
      <c r="I787" s="91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2.75" customHeight="1" spans="1:26">
      <c r="A788" s="85"/>
      <c r="B788" s="85"/>
      <c r="C788" s="85"/>
      <c r="D788" s="85"/>
      <c r="E788" s="85"/>
      <c r="F788" s="85"/>
      <c r="G788" s="85"/>
      <c r="H788" s="85"/>
      <c r="I788" s="91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2.75" customHeight="1" spans="1:26">
      <c r="A789" s="85"/>
      <c r="B789" s="85"/>
      <c r="C789" s="85"/>
      <c r="D789" s="85"/>
      <c r="E789" s="85"/>
      <c r="F789" s="85"/>
      <c r="G789" s="85"/>
      <c r="H789" s="85"/>
      <c r="I789" s="91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2.75" customHeight="1" spans="1:26">
      <c r="A790" s="85"/>
      <c r="B790" s="85"/>
      <c r="C790" s="85"/>
      <c r="D790" s="85"/>
      <c r="E790" s="85"/>
      <c r="F790" s="85"/>
      <c r="G790" s="85"/>
      <c r="H790" s="85"/>
      <c r="I790" s="91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2.75" customHeight="1" spans="1:26">
      <c r="A791" s="85"/>
      <c r="B791" s="85"/>
      <c r="C791" s="85"/>
      <c r="D791" s="85"/>
      <c r="E791" s="85"/>
      <c r="F791" s="85"/>
      <c r="G791" s="85"/>
      <c r="H791" s="85"/>
      <c r="I791" s="91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2.75" customHeight="1" spans="1:26">
      <c r="A792" s="85"/>
      <c r="B792" s="85"/>
      <c r="C792" s="85"/>
      <c r="D792" s="85"/>
      <c r="E792" s="85"/>
      <c r="F792" s="85"/>
      <c r="G792" s="85"/>
      <c r="H792" s="85"/>
      <c r="I792" s="91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2.75" customHeight="1" spans="1:26">
      <c r="A793" s="85"/>
      <c r="B793" s="85"/>
      <c r="C793" s="85"/>
      <c r="D793" s="85"/>
      <c r="E793" s="85"/>
      <c r="F793" s="85"/>
      <c r="G793" s="85"/>
      <c r="H793" s="85"/>
      <c r="I793" s="91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2.75" customHeight="1" spans="1:26">
      <c r="A794" s="85"/>
      <c r="B794" s="85"/>
      <c r="C794" s="85"/>
      <c r="D794" s="85"/>
      <c r="E794" s="85"/>
      <c r="F794" s="85"/>
      <c r="G794" s="85"/>
      <c r="H794" s="85"/>
      <c r="I794" s="91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2.75" customHeight="1" spans="1:26">
      <c r="A795" s="85"/>
      <c r="B795" s="85"/>
      <c r="C795" s="85"/>
      <c r="D795" s="85"/>
      <c r="E795" s="85"/>
      <c r="F795" s="85"/>
      <c r="G795" s="85"/>
      <c r="H795" s="85"/>
      <c r="I795" s="91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2.75" customHeight="1" spans="1:26">
      <c r="A796" s="85"/>
      <c r="B796" s="85"/>
      <c r="C796" s="85"/>
      <c r="D796" s="85"/>
      <c r="E796" s="85"/>
      <c r="F796" s="85"/>
      <c r="G796" s="85"/>
      <c r="H796" s="85"/>
      <c r="I796" s="91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2.75" customHeight="1" spans="1:26">
      <c r="A797" s="85"/>
      <c r="B797" s="85"/>
      <c r="C797" s="85"/>
      <c r="D797" s="85"/>
      <c r="E797" s="85"/>
      <c r="F797" s="85"/>
      <c r="G797" s="85"/>
      <c r="H797" s="85"/>
      <c r="I797" s="91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2.75" customHeight="1" spans="1:26">
      <c r="A798" s="85"/>
      <c r="B798" s="85"/>
      <c r="C798" s="85"/>
      <c r="D798" s="85"/>
      <c r="E798" s="85"/>
      <c r="F798" s="85"/>
      <c r="G798" s="85"/>
      <c r="H798" s="85"/>
      <c r="I798" s="91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2.75" customHeight="1" spans="1:26">
      <c r="A799" s="85"/>
      <c r="B799" s="85"/>
      <c r="C799" s="85"/>
      <c r="D799" s="85"/>
      <c r="E799" s="85"/>
      <c r="F799" s="85"/>
      <c r="G799" s="85"/>
      <c r="H799" s="85"/>
      <c r="I799" s="91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2.75" customHeight="1" spans="1:26">
      <c r="A800" s="85"/>
      <c r="B800" s="85"/>
      <c r="C800" s="85"/>
      <c r="D800" s="85"/>
      <c r="E800" s="85"/>
      <c r="F800" s="85"/>
      <c r="G800" s="85"/>
      <c r="H800" s="85"/>
      <c r="I800" s="91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2.75" customHeight="1" spans="1:26">
      <c r="A801" s="85"/>
      <c r="B801" s="85"/>
      <c r="C801" s="85"/>
      <c r="D801" s="85"/>
      <c r="E801" s="85"/>
      <c r="F801" s="85"/>
      <c r="G801" s="85"/>
      <c r="H801" s="85"/>
      <c r="I801" s="91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2.75" customHeight="1" spans="1:26">
      <c r="A802" s="85"/>
      <c r="B802" s="85"/>
      <c r="C802" s="85"/>
      <c r="D802" s="85"/>
      <c r="E802" s="85"/>
      <c r="F802" s="85"/>
      <c r="G802" s="85"/>
      <c r="H802" s="85"/>
      <c r="I802" s="91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2.75" customHeight="1" spans="1:26">
      <c r="A803" s="85"/>
      <c r="B803" s="85"/>
      <c r="C803" s="85"/>
      <c r="D803" s="85"/>
      <c r="E803" s="85"/>
      <c r="F803" s="85"/>
      <c r="G803" s="85"/>
      <c r="H803" s="85"/>
      <c r="I803" s="91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2.75" customHeight="1" spans="1:26">
      <c r="A804" s="85"/>
      <c r="B804" s="85"/>
      <c r="C804" s="85"/>
      <c r="D804" s="85"/>
      <c r="E804" s="85"/>
      <c r="F804" s="85"/>
      <c r="G804" s="85"/>
      <c r="H804" s="85"/>
      <c r="I804" s="91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2.75" customHeight="1" spans="1:26">
      <c r="A805" s="85"/>
      <c r="B805" s="85"/>
      <c r="C805" s="85"/>
      <c r="D805" s="85"/>
      <c r="E805" s="85"/>
      <c r="F805" s="85"/>
      <c r="G805" s="85"/>
      <c r="H805" s="85"/>
      <c r="I805" s="91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2.75" customHeight="1" spans="1:26">
      <c r="A806" s="85"/>
      <c r="B806" s="85"/>
      <c r="C806" s="85"/>
      <c r="D806" s="85"/>
      <c r="E806" s="85"/>
      <c r="F806" s="85"/>
      <c r="G806" s="85"/>
      <c r="H806" s="85"/>
      <c r="I806" s="91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2.75" customHeight="1" spans="1:26">
      <c r="A807" s="85"/>
      <c r="B807" s="85"/>
      <c r="C807" s="85"/>
      <c r="D807" s="85"/>
      <c r="E807" s="85"/>
      <c r="F807" s="85"/>
      <c r="G807" s="85"/>
      <c r="H807" s="85"/>
      <c r="I807" s="91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2.75" customHeight="1" spans="1:26">
      <c r="A808" s="85"/>
      <c r="B808" s="85"/>
      <c r="C808" s="85"/>
      <c r="D808" s="85"/>
      <c r="E808" s="85"/>
      <c r="F808" s="85"/>
      <c r="G808" s="85"/>
      <c r="H808" s="85"/>
      <c r="I808" s="91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2.75" customHeight="1" spans="1:26">
      <c r="A809" s="85"/>
      <c r="B809" s="85"/>
      <c r="C809" s="85"/>
      <c r="D809" s="85"/>
      <c r="E809" s="85"/>
      <c r="F809" s="85"/>
      <c r="G809" s="85"/>
      <c r="H809" s="85"/>
      <c r="I809" s="91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2.75" customHeight="1" spans="1:26">
      <c r="A810" s="85"/>
      <c r="B810" s="85"/>
      <c r="C810" s="85"/>
      <c r="D810" s="85"/>
      <c r="E810" s="85"/>
      <c r="F810" s="85"/>
      <c r="G810" s="85"/>
      <c r="H810" s="85"/>
      <c r="I810" s="91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2.75" customHeight="1" spans="1:26">
      <c r="A811" s="85"/>
      <c r="B811" s="85"/>
      <c r="C811" s="85"/>
      <c r="D811" s="85"/>
      <c r="E811" s="85"/>
      <c r="F811" s="85"/>
      <c r="G811" s="85"/>
      <c r="H811" s="85"/>
      <c r="I811" s="91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2.75" customHeight="1" spans="1:26">
      <c r="A812" s="85"/>
      <c r="B812" s="85"/>
      <c r="C812" s="85"/>
      <c r="D812" s="85"/>
      <c r="E812" s="85"/>
      <c r="F812" s="85"/>
      <c r="G812" s="85"/>
      <c r="H812" s="85"/>
      <c r="I812" s="91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2.75" customHeight="1" spans="1:26">
      <c r="A813" s="85"/>
      <c r="B813" s="85"/>
      <c r="C813" s="85"/>
      <c r="D813" s="85"/>
      <c r="E813" s="85"/>
      <c r="F813" s="85"/>
      <c r="G813" s="85"/>
      <c r="H813" s="85"/>
      <c r="I813" s="91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2.75" customHeight="1" spans="1:26">
      <c r="A814" s="85"/>
      <c r="B814" s="85"/>
      <c r="C814" s="85"/>
      <c r="D814" s="85"/>
      <c r="E814" s="85"/>
      <c r="F814" s="85"/>
      <c r="G814" s="85"/>
      <c r="H814" s="85"/>
      <c r="I814" s="91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2.75" customHeight="1" spans="1:26">
      <c r="A815" s="85"/>
      <c r="B815" s="85"/>
      <c r="C815" s="85"/>
      <c r="D815" s="85"/>
      <c r="E815" s="85"/>
      <c r="F815" s="85"/>
      <c r="G815" s="85"/>
      <c r="H815" s="85"/>
      <c r="I815" s="91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2.75" customHeight="1" spans="1:26">
      <c r="A816" s="85"/>
      <c r="B816" s="85"/>
      <c r="C816" s="85"/>
      <c r="D816" s="85"/>
      <c r="E816" s="85"/>
      <c r="F816" s="85"/>
      <c r="G816" s="85"/>
      <c r="H816" s="85"/>
      <c r="I816" s="91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2.75" customHeight="1" spans="1:26">
      <c r="A817" s="85"/>
      <c r="B817" s="85"/>
      <c r="C817" s="85"/>
      <c r="D817" s="85"/>
      <c r="E817" s="85"/>
      <c r="F817" s="85"/>
      <c r="G817" s="85"/>
      <c r="H817" s="85"/>
      <c r="I817" s="91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2.75" customHeight="1" spans="1:26">
      <c r="A818" s="85"/>
      <c r="B818" s="85"/>
      <c r="C818" s="85"/>
      <c r="D818" s="85"/>
      <c r="E818" s="85"/>
      <c r="F818" s="85"/>
      <c r="G818" s="85"/>
      <c r="H818" s="85"/>
      <c r="I818" s="91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2.75" customHeight="1" spans="1:26">
      <c r="A819" s="85"/>
      <c r="B819" s="85"/>
      <c r="C819" s="85"/>
      <c r="D819" s="85"/>
      <c r="E819" s="85"/>
      <c r="F819" s="85"/>
      <c r="G819" s="85"/>
      <c r="H819" s="85"/>
      <c r="I819" s="91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2.75" customHeight="1" spans="1:26">
      <c r="A820" s="85"/>
      <c r="B820" s="85"/>
      <c r="C820" s="85"/>
      <c r="D820" s="85"/>
      <c r="E820" s="85"/>
      <c r="F820" s="85"/>
      <c r="G820" s="85"/>
      <c r="H820" s="85"/>
      <c r="I820" s="91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2.75" customHeight="1" spans="1:26">
      <c r="A821" s="85"/>
      <c r="B821" s="85"/>
      <c r="C821" s="85"/>
      <c r="D821" s="85"/>
      <c r="E821" s="85"/>
      <c r="F821" s="85"/>
      <c r="G821" s="85"/>
      <c r="H821" s="85"/>
      <c r="I821" s="91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2.75" customHeight="1" spans="1:26">
      <c r="A822" s="85"/>
      <c r="B822" s="85"/>
      <c r="C822" s="85"/>
      <c r="D822" s="85"/>
      <c r="E822" s="85"/>
      <c r="F822" s="85"/>
      <c r="G822" s="85"/>
      <c r="H822" s="85"/>
      <c r="I822" s="91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2.75" customHeight="1" spans="1:26">
      <c r="A823" s="85"/>
      <c r="B823" s="85"/>
      <c r="C823" s="85"/>
      <c r="D823" s="85"/>
      <c r="E823" s="85"/>
      <c r="F823" s="85"/>
      <c r="G823" s="85"/>
      <c r="H823" s="85"/>
      <c r="I823" s="91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2.75" customHeight="1" spans="1:26">
      <c r="A824" s="85"/>
      <c r="B824" s="85"/>
      <c r="C824" s="85"/>
      <c r="D824" s="85"/>
      <c r="E824" s="85"/>
      <c r="F824" s="85"/>
      <c r="G824" s="85"/>
      <c r="H824" s="85"/>
      <c r="I824" s="91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2.75" customHeight="1" spans="1:26">
      <c r="A825" s="85"/>
      <c r="B825" s="85"/>
      <c r="C825" s="85"/>
      <c r="D825" s="85"/>
      <c r="E825" s="85"/>
      <c r="F825" s="85"/>
      <c r="G825" s="85"/>
      <c r="H825" s="85"/>
      <c r="I825" s="91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2.75" customHeight="1" spans="1:26">
      <c r="A826" s="85"/>
      <c r="B826" s="85"/>
      <c r="C826" s="85"/>
      <c r="D826" s="85"/>
      <c r="E826" s="85"/>
      <c r="F826" s="85"/>
      <c r="G826" s="85"/>
      <c r="H826" s="85"/>
      <c r="I826" s="91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2.75" customHeight="1" spans="1:26">
      <c r="A827" s="85"/>
      <c r="B827" s="85"/>
      <c r="C827" s="85"/>
      <c r="D827" s="85"/>
      <c r="E827" s="85"/>
      <c r="F827" s="85"/>
      <c r="G827" s="85"/>
      <c r="H827" s="85"/>
      <c r="I827" s="91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2.75" customHeight="1" spans="1:26">
      <c r="A828" s="85"/>
      <c r="B828" s="85"/>
      <c r="C828" s="85"/>
      <c r="D828" s="85"/>
      <c r="E828" s="85"/>
      <c r="F828" s="85"/>
      <c r="G828" s="85"/>
      <c r="H828" s="85"/>
      <c r="I828" s="91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2.75" customHeight="1" spans="1:26">
      <c r="A829" s="85"/>
      <c r="B829" s="85"/>
      <c r="C829" s="85"/>
      <c r="D829" s="85"/>
      <c r="E829" s="85"/>
      <c r="F829" s="85"/>
      <c r="G829" s="85"/>
      <c r="H829" s="85"/>
      <c r="I829" s="91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2.75" customHeight="1" spans="1:26">
      <c r="A830" s="85"/>
      <c r="B830" s="85"/>
      <c r="C830" s="85"/>
      <c r="D830" s="85"/>
      <c r="E830" s="85"/>
      <c r="F830" s="85"/>
      <c r="G830" s="85"/>
      <c r="H830" s="85"/>
      <c r="I830" s="91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2.75" customHeight="1" spans="1:26">
      <c r="A831" s="85"/>
      <c r="B831" s="85"/>
      <c r="C831" s="85"/>
      <c r="D831" s="85"/>
      <c r="E831" s="85"/>
      <c r="F831" s="85"/>
      <c r="G831" s="85"/>
      <c r="H831" s="85"/>
      <c r="I831" s="91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2.75" customHeight="1" spans="1:26">
      <c r="A832" s="85"/>
      <c r="B832" s="85"/>
      <c r="C832" s="85"/>
      <c r="D832" s="85"/>
      <c r="E832" s="85"/>
      <c r="F832" s="85"/>
      <c r="G832" s="85"/>
      <c r="H832" s="85"/>
      <c r="I832" s="91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2.75" customHeight="1" spans="1:26">
      <c r="A833" s="85"/>
      <c r="B833" s="85"/>
      <c r="C833" s="85"/>
      <c r="D833" s="85"/>
      <c r="E833" s="85"/>
      <c r="F833" s="85"/>
      <c r="G833" s="85"/>
      <c r="H833" s="85"/>
      <c r="I833" s="91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2.75" customHeight="1" spans="1:26">
      <c r="A834" s="85"/>
      <c r="B834" s="85"/>
      <c r="C834" s="85"/>
      <c r="D834" s="85"/>
      <c r="E834" s="85"/>
      <c r="F834" s="85"/>
      <c r="G834" s="85"/>
      <c r="H834" s="85"/>
      <c r="I834" s="91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2.75" customHeight="1" spans="1:26">
      <c r="A835" s="85"/>
      <c r="B835" s="85"/>
      <c r="C835" s="85"/>
      <c r="D835" s="85"/>
      <c r="E835" s="85"/>
      <c r="F835" s="85"/>
      <c r="G835" s="85"/>
      <c r="H835" s="85"/>
      <c r="I835" s="91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2.75" customHeight="1" spans="1:26">
      <c r="A836" s="85"/>
      <c r="B836" s="85"/>
      <c r="C836" s="85"/>
      <c r="D836" s="85"/>
      <c r="E836" s="85"/>
      <c r="F836" s="85"/>
      <c r="G836" s="85"/>
      <c r="H836" s="85"/>
      <c r="I836" s="91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2.75" customHeight="1" spans="1:26">
      <c r="A837" s="85"/>
      <c r="B837" s="85"/>
      <c r="C837" s="85"/>
      <c r="D837" s="85"/>
      <c r="E837" s="85"/>
      <c r="F837" s="85"/>
      <c r="G837" s="85"/>
      <c r="H837" s="85"/>
      <c r="I837" s="91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2.75" customHeight="1" spans="1:26">
      <c r="A838" s="85"/>
      <c r="B838" s="85"/>
      <c r="C838" s="85"/>
      <c r="D838" s="85"/>
      <c r="E838" s="85"/>
      <c r="F838" s="85"/>
      <c r="G838" s="85"/>
      <c r="H838" s="85"/>
      <c r="I838" s="91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2.75" customHeight="1" spans="1:26">
      <c r="A839" s="85"/>
      <c r="B839" s="85"/>
      <c r="C839" s="85"/>
      <c r="D839" s="85"/>
      <c r="E839" s="85"/>
      <c r="F839" s="85"/>
      <c r="G839" s="85"/>
      <c r="H839" s="85"/>
      <c r="I839" s="91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2.75" customHeight="1" spans="1:26">
      <c r="A840" s="85"/>
      <c r="B840" s="85"/>
      <c r="C840" s="85"/>
      <c r="D840" s="85"/>
      <c r="E840" s="85"/>
      <c r="F840" s="85"/>
      <c r="G840" s="85"/>
      <c r="H840" s="85"/>
      <c r="I840" s="91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2.75" customHeight="1" spans="1:26">
      <c r="A841" s="85"/>
      <c r="B841" s="85"/>
      <c r="C841" s="85"/>
      <c r="D841" s="85"/>
      <c r="E841" s="85"/>
      <c r="F841" s="85"/>
      <c r="G841" s="85"/>
      <c r="H841" s="85"/>
      <c r="I841" s="91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2.75" customHeight="1" spans="1:26">
      <c r="A842" s="85"/>
      <c r="B842" s="85"/>
      <c r="C842" s="85"/>
      <c r="D842" s="85"/>
      <c r="E842" s="85"/>
      <c r="F842" s="85"/>
      <c r="G842" s="85"/>
      <c r="H842" s="85"/>
      <c r="I842" s="91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2.75" customHeight="1" spans="1:26">
      <c r="A843" s="85"/>
      <c r="B843" s="85"/>
      <c r="C843" s="85"/>
      <c r="D843" s="85"/>
      <c r="E843" s="85"/>
      <c r="F843" s="85"/>
      <c r="G843" s="85"/>
      <c r="H843" s="85"/>
      <c r="I843" s="91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2.75" customHeight="1" spans="1:26">
      <c r="A844" s="85"/>
      <c r="B844" s="85"/>
      <c r="C844" s="85"/>
      <c r="D844" s="85"/>
      <c r="E844" s="85"/>
      <c r="F844" s="85"/>
      <c r="G844" s="85"/>
      <c r="H844" s="85"/>
      <c r="I844" s="91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2.75" customHeight="1" spans="1:26">
      <c r="A845" s="85"/>
      <c r="B845" s="85"/>
      <c r="C845" s="85"/>
      <c r="D845" s="85"/>
      <c r="E845" s="85"/>
      <c r="F845" s="85"/>
      <c r="G845" s="85"/>
      <c r="H845" s="85"/>
      <c r="I845" s="91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2.75" customHeight="1" spans="1:26">
      <c r="A846" s="85"/>
      <c r="B846" s="85"/>
      <c r="C846" s="85"/>
      <c r="D846" s="85"/>
      <c r="E846" s="85"/>
      <c r="F846" s="85"/>
      <c r="G846" s="85"/>
      <c r="H846" s="85"/>
      <c r="I846" s="91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2.75" customHeight="1" spans="1:26">
      <c r="A847" s="85"/>
      <c r="B847" s="85"/>
      <c r="C847" s="85"/>
      <c r="D847" s="85"/>
      <c r="E847" s="85"/>
      <c r="F847" s="85"/>
      <c r="G847" s="85"/>
      <c r="H847" s="85"/>
      <c r="I847" s="91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2.75" customHeight="1" spans="1:26">
      <c r="A848" s="85"/>
      <c r="B848" s="85"/>
      <c r="C848" s="85"/>
      <c r="D848" s="85"/>
      <c r="E848" s="85"/>
      <c r="F848" s="85"/>
      <c r="G848" s="85"/>
      <c r="H848" s="85"/>
      <c r="I848" s="91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2.75" customHeight="1" spans="1:26">
      <c r="A849" s="85"/>
      <c r="B849" s="85"/>
      <c r="C849" s="85"/>
      <c r="D849" s="85"/>
      <c r="E849" s="85"/>
      <c r="F849" s="85"/>
      <c r="G849" s="85"/>
      <c r="H849" s="85"/>
      <c r="I849" s="91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2.75" customHeight="1" spans="1:26">
      <c r="A850" s="85"/>
      <c r="B850" s="85"/>
      <c r="C850" s="85"/>
      <c r="D850" s="85"/>
      <c r="E850" s="85"/>
      <c r="F850" s="85"/>
      <c r="G850" s="85"/>
      <c r="H850" s="85"/>
      <c r="I850" s="91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2.75" customHeight="1" spans="1:26">
      <c r="A851" s="85"/>
      <c r="B851" s="85"/>
      <c r="C851" s="85"/>
      <c r="D851" s="85"/>
      <c r="E851" s="85"/>
      <c r="F851" s="85"/>
      <c r="G851" s="85"/>
      <c r="H851" s="85"/>
      <c r="I851" s="91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2.75" customHeight="1" spans="1:26">
      <c r="A852" s="85"/>
      <c r="B852" s="85"/>
      <c r="C852" s="85"/>
      <c r="D852" s="85"/>
      <c r="E852" s="85"/>
      <c r="F852" s="85"/>
      <c r="G852" s="85"/>
      <c r="H852" s="85"/>
      <c r="I852" s="91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2.75" customHeight="1" spans="1:26">
      <c r="A853" s="85"/>
      <c r="B853" s="85"/>
      <c r="C853" s="85"/>
      <c r="D853" s="85"/>
      <c r="E853" s="85"/>
      <c r="F853" s="85"/>
      <c r="G853" s="85"/>
      <c r="H853" s="85"/>
      <c r="I853" s="91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2.75" customHeight="1" spans="1:26">
      <c r="A854" s="85"/>
      <c r="B854" s="85"/>
      <c r="C854" s="85"/>
      <c r="D854" s="85"/>
      <c r="E854" s="85"/>
      <c r="F854" s="85"/>
      <c r="G854" s="85"/>
      <c r="H854" s="85"/>
      <c r="I854" s="91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2.75" customHeight="1" spans="1:26">
      <c r="A855" s="85"/>
      <c r="B855" s="85"/>
      <c r="C855" s="85"/>
      <c r="D855" s="85"/>
      <c r="E855" s="85"/>
      <c r="F855" s="85"/>
      <c r="G855" s="85"/>
      <c r="H855" s="85"/>
      <c r="I855" s="91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2.75" customHeight="1" spans="1:26">
      <c r="A856" s="85"/>
      <c r="B856" s="85"/>
      <c r="C856" s="85"/>
      <c r="D856" s="85"/>
      <c r="E856" s="85"/>
      <c r="F856" s="85"/>
      <c r="G856" s="85"/>
      <c r="H856" s="85"/>
      <c r="I856" s="91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2.75" customHeight="1" spans="1:26">
      <c r="A857" s="85"/>
      <c r="B857" s="85"/>
      <c r="C857" s="85"/>
      <c r="D857" s="85"/>
      <c r="E857" s="85"/>
      <c r="F857" s="85"/>
      <c r="G857" s="85"/>
      <c r="H857" s="85"/>
      <c r="I857" s="91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2.75" customHeight="1" spans="1:26">
      <c r="A858" s="85"/>
      <c r="B858" s="85"/>
      <c r="C858" s="85"/>
      <c r="D858" s="85"/>
      <c r="E858" s="85"/>
      <c r="F858" s="85"/>
      <c r="G858" s="85"/>
      <c r="H858" s="85"/>
      <c r="I858" s="91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2.75" customHeight="1" spans="1:26">
      <c r="A859" s="85"/>
      <c r="B859" s="85"/>
      <c r="C859" s="85"/>
      <c r="D859" s="85"/>
      <c r="E859" s="85"/>
      <c r="F859" s="85"/>
      <c r="G859" s="85"/>
      <c r="H859" s="85"/>
      <c r="I859" s="91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2.75" customHeight="1" spans="1:26">
      <c r="A860" s="85"/>
      <c r="B860" s="85"/>
      <c r="C860" s="85"/>
      <c r="D860" s="85"/>
      <c r="E860" s="85"/>
      <c r="F860" s="85"/>
      <c r="G860" s="85"/>
      <c r="H860" s="85"/>
      <c r="I860" s="91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2.75" customHeight="1" spans="1:26">
      <c r="A861" s="85"/>
      <c r="B861" s="85"/>
      <c r="C861" s="85"/>
      <c r="D861" s="85"/>
      <c r="E861" s="85"/>
      <c r="F861" s="85"/>
      <c r="G861" s="85"/>
      <c r="H861" s="85"/>
      <c r="I861" s="91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2.75" customHeight="1" spans="1:26">
      <c r="A862" s="85"/>
      <c r="B862" s="85"/>
      <c r="C862" s="85"/>
      <c r="D862" s="85"/>
      <c r="E862" s="85"/>
      <c r="F862" s="85"/>
      <c r="G862" s="85"/>
      <c r="H862" s="85"/>
      <c r="I862" s="91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2.75" customHeight="1" spans="1:26">
      <c r="A863" s="85"/>
      <c r="B863" s="85"/>
      <c r="C863" s="85"/>
      <c r="D863" s="85"/>
      <c r="E863" s="85"/>
      <c r="F863" s="85"/>
      <c r="G863" s="85"/>
      <c r="H863" s="85"/>
      <c r="I863" s="91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2.75" customHeight="1" spans="1:26">
      <c r="A864" s="85"/>
      <c r="B864" s="85"/>
      <c r="C864" s="85"/>
      <c r="D864" s="85"/>
      <c r="E864" s="85"/>
      <c r="F864" s="85"/>
      <c r="G864" s="85"/>
      <c r="H864" s="85"/>
      <c r="I864" s="91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2.75" customHeight="1" spans="1:26">
      <c r="A865" s="85"/>
      <c r="B865" s="85"/>
      <c r="C865" s="85"/>
      <c r="D865" s="85"/>
      <c r="E865" s="85"/>
      <c r="F865" s="85"/>
      <c r="G865" s="85"/>
      <c r="H865" s="85"/>
      <c r="I865" s="91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2.75" customHeight="1" spans="1:26">
      <c r="A866" s="85"/>
      <c r="B866" s="85"/>
      <c r="C866" s="85"/>
      <c r="D866" s="85"/>
      <c r="E866" s="85"/>
      <c r="F866" s="85"/>
      <c r="G866" s="85"/>
      <c r="H866" s="85"/>
      <c r="I866" s="91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2.75" customHeight="1" spans="1:26">
      <c r="A867" s="85"/>
      <c r="B867" s="85"/>
      <c r="C867" s="85"/>
      <c r="D867" s="85"/>
      <c r="E867" s="85"/>
      <c r="F867" s="85"/>
      <c r="G867" s="85"/>
      <c r="H867" s="85"/>
      <c r="I867" s="91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 G14 G8:G12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0"/>
  <sheetViews>
    <sheetView zoomScale="89" zoomScaleNormal="89" workbookViewId="0">
      <pane ySplit="8" topLeftCell="A9" activePane="bottomLeft" state="frozen"/>
      <selection/>
      <selection pane="bottomLeft" activeCell="A17" sqref="A17"/>
    </sheetView>
  </sheetViews>
  <sheetFormatPr defaultColWidth="12.6333333333333" defaultRowHeight="15" customHeight="1"/>
  <cols>
    <col min="1" max="1" width="20.125" style="53" customWidth="1"/>
    <col min="2" max="2" width="19.1333333333333" style="53" customWidth="1"/>
    <col min="3" max="3" width="25.6333333333333" style="53" customWidth="1"/>
    <col min="4" max="4" width="28.5" style="53" customWidth="1"/>
    <col min="5" max="5" width="28.1333333333333" style="53" customWidth="1"/>
    <col min="6" max="6" width="28.3833333333333" style="53" customWidth="1"/>
    <col min="7" max="7" width="9" style="53" customWidth="1"/>
    <col min="8" max="8" width="17.6333333333333" style="53" customWidth="1"/>
    <col min="9" max="9" width="8.13333333333333" style="53" customWidth="1"/>
    <col min="10" max="10" width="3.88333333333333" style="53" hidden="1" customWidth="1"/>
    <col min="11" max="26" width="10" style="53" customWidth="1"/>
    <col min="27" max="16384" width="12.6333333333333" style="53"/>
  </cols>
  <sheetData>
    <row r="1" ht="12.75" customHeight="1" spans="1:26">
      <c r="A1" s="54"/>
      <c r="B1" s="55"/>
      <c r="C1" s="55"/>
      <c r="D1" s="55"/>
      <c r="E1" s="55"/>
      <c r="F1" s="56"/>
      <c r="G1" s="57"/>
      <c r="H1" s="58"/>
      <c r="I1" s="8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customHeight="1" spans="1:26">
      <c r="A2" s="59" t="s">
        <v>54</v>
      </c>
      <c r="B2" s="60" t="s">
        <v>41</v>
      </c>
      <c r="C2" s="61"/>
      <c r="D2" s="61"/>
      <c r="E2" s="61"/>
      <c r="F2" s="62"/>
      <c r="G2" s="58"/>
      <c r="H2" s="58"/>
      <c r="I2" s="86"/>
      <c r="J2" s="76" t="s">
        <v>55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5.5" customHeight="1" spans="1:26">
      <c r="A3" s="63" t="s">
        <v>56</v>
      </c>
      <c r="B3" s="60" t="s">
        <v>180</v>
      </c>
      <c r="C3" s="61"/>
      <c r="D3" s="61"/>
      <c r="E3" s="61"/>
      <c r="F3" s="62"/>
      <c r="G3" s="58"/>
      <c r="H3" s="58"/>
      <c r="I3" s="86"/>
      <c r="J3" s="76" t="s">
        <v>58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8" customHeight="1" spans="1:26">
      <c r="A4" s="59" t="s">
        <v>59</v>
      </c>
      <c r="B4" s="64" t="s">
        <v>39</v>
      </c>
      <c r="C4" s="65"/>
      <c r="D4" s="65"/>
      <c r="E4" s="65"/>
      <c r="F4" s="66"/>
      <c r="G4" s="58"/>
      <c r="H4" s="58"/>
      <c r="I4" s="86"/>
      <c r="J4" s="87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9.5" customHeight="1" spans="1:26">
      <c r="A5" s="67" t="s">
        <v>55</v>
      </c>
      <c r="B5" s="68" t="s">
        <v>58</v>
      </c>
      <c r="C5" s="68" t="s">
        <v>60</v>
      </c>
      <c r="D5" s="69" t="s">
        <v>61</v>
      </c>
      <c r="E5" s="69" t="s">
        <v>62</v>
      </c>
      <c r="F5" s="62"/>
      <c r="G5" s="70"/>
      <c r="H5" s="70"/>
      <c r="I5" s="88"/>
      <c r="J5" s="76" t="s">
        <v>63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customHeight="1" spans="1:26">
      <c r="A6" s="71">
        <f>COUNTIF(F10:G868,"Pass")</f>
        <v>6</v>
      </c>
      <c r="B6" s="72">
        <f>COUNTIF(F10:G868,"Fail")</f>
        <v>1</v>
      </c>
      <c r="C6" s="72">
        <f>E6-D6-B6-A6</f>
        <v>0</v>
      </c>
      <c r="D6" s="73">
        <f>COUNTIF(F$9:F$868,"N/A")</f>
        <v>0</v>
      </c>
      <c r="E6" s="74">
        <f>COUNTA(A9:A868)</f>
        <v>7</v>
      </c>
      <c r="F6" s="75"/>
      <c r="G6" s="70"/>
      <c r="H6" s="70"/>
      <c r="I6" s="88"/>
      <c r="J6" s="76" t="s">
        <v>61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customHeight="1" spans="1:26">
      <c r="A7" s="76"/>
      <c r="B7" s="76"/>
      <c r="C7" s="76"/>
      <c r="D7" s="77"/>
      <c r="E7" s="77"/>
      <c r="F7" s="70"/>
      <c r="G7" s="70"/>
      <c r="H7" s="70"/>
      <c r="I7" s="88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5.5" customHeight="1" spans="1:26">
      <c r="A8" s="78" t="s">
        <v>64</v>
      </c>
      <c r="B8" s="78" t="s">
        <v>65</v>
      </c>
      <c r="C8" s="78" t="s">
        <v>66</v>
      </c>
      <c r="D8" s="78" t="s">
        <v>67</v>
      </c>
      <c r="E8" s="78" t="s">
        <v>68</v>
      </c>
      <c r="F8" s="79" t="s">
        <v>69</v>
      </c>
      <c r="G8" s="79" t="s">
        <v>70</v>
      </c>
      <c r="H8" s="79" t="s">
        <v>71</v>
      </c>
      <c r="I8" s="78" t="s">
        <v>72</v>
      </c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3.5" spans="1:26">
      <c r="A9" s="80"/>
      <c r="B9" s="81" t="s">
        <v>73</v>
      </c>
      <c r="C9" s="80"/>
      <c r="D9" s="80"/>
      <c r="E9" s="80"/>
      <c r="F9" s="80"/>
      <c r="G9" s="80"/>
      <c r="H9" s="80"/>
      <c r="I9" s="89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51" spans="1:26">
      <c r="A10" s="82" t="str">
        <f>IF(OR(B10&lt;&gt;"",E10&lt;&gt;""),"["&amp;TEXT($B$2,"##")&amp;"-"&amp;TEXT(ROW()-9,"##")&amp;"]","")</f>
        <v>[M_them_dich_vu-1]</v>
      </c>
      <c r="B10" s="82" t="s">
        <v>181</v>
      </c>
      <c r="C10" s="82" t="s">
        <v>144</v>
      </c>
      <c r="D10" s="82" t="s">
        <v>182</v>
      </c>
      <c r="E10" s="82" t="s">
        <v>183</v>
      </c>
      <c r="F10" s="83" t="s">
        <v>184</v>
      </c>
      <c r="G10" s="82" t="s">
        <v>58</v>
      </c>
      <c r="H10" s="84">
        <v>45992</v>
      </c>
      <c r="I10" s="82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54" customHeight="1" spans="1:26">
      <c r="A11" s="82" t="str">
        <f>IF(OR(B10&lt;&gt;"",E10&lt;&gt;""),"["&amp;TEXT($B$2,"##")&amp;"-"&amp;TEXT(ROW()-9,"##")&amp;"]","")</f>
        <v>[M_them_dich_vu-2]</v>
      </c>
      <c r="B11" s="82" t="s">
        <v>185</v>
      </c>
      <c r="C11" s="82" t="s">
        <v>144</v>
      </c>
      <c r="D11" s="82" t="s">
        <v>186</v>
      </c>
      <c r="E11" s="82" t="s">
        <v>183</v>
      </c>
      <c r="F11" s="83" t="s">
        <v>184</v>
      </c>
      <c r="G11" s="82" t="s">
        <v>55</v>
      </c>
      <c r="H11" s="84">
        <v>45992</v>
      </c>
      <c r="I11" s="82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54" customHeight="1" spans="1:26">
      <c r="A12" s="82" t="str">
        <f>IF(OR(B12&lt;&gt;"",E12&lt;&gt;""),"["&amp;TEXT($B$2,"##")&amp;"-"&amp;TEXT(ROW()-9,"##")&amp;"]","")</f>
        <v>[M_them_dich_vu-3]</v>
      </c>
      <c r="B12" s="82" t="s">
        <v>187</v>
      </c>
      <c r="C12" s="82" t="s">
        <v>144</v>
      </c>
      <c r="D12" s="82" t="s">
        <v>188</v>
      </c>
      <c r="E12" s="82" t="s">
        <v>189</v>
      </c>
      <c r="F12" s="83" t="s">
        <v>184</v>
      </c>
      <c r="G12" s="82" t="s">
        <v>55</v>
      </c>
      <c r="H12" s="84">
        <v>45992</v>
      </c>
      <c r="I12" s="82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13.5" spans="1:26">
      <c r="A13" s="80"/>
      <c r="B13" s="81" t="s">
        <v>80</v>
      </c>
      <c r="C13" s="80"/>
      <c r="D13" s="80"/>
      <c r="E13" s="80"/>
      <c r="F13" s="80"/>
      <c r="G13" s="80"/>
      <c r="H13" s="80"/>
      <c r="I13" s="89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63.75" spans="1:26">
      <c r="A14" s="82" t="str">
        <f>IF(OR(B14&lt;&gt;"",E14&lt;&gt;""),"["&amp;TEXT($B$2,"##")&amp;"-"&amp;TEXT(ROW()-10,"##")&amp;"]","")</f>
        <v>[M_them_dich_vu-4]</v>
      </c>
      <c r="B14" s="82" t="s">
        <v>190</v>
      </c>
      <c r="C14" s="82" t="s">
        <v>191</v>
      </c>
      <c r="D14" s="82" t="s">
        <v>192</v>
      </c>
      <c r="E14" s="82" t="s">
        <v>193</v>
      </c>
      <c r="F14" s="83" t="s">
        <v>194</v>
      </c>
      <c r="G14" s="82" t="s">
        <v>55</v>
      </c>
      <c r="H14" s="84">
        <v>45992</v>
      </c>
      <c r="I14" s="90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63.75" spans="1:26">
      <c r="A15" s="82" t="str">
        <f>IF(OR(B15&lt;&gt;"",E15&lt;&gt;""),"["&amp;TEXT($B$2,"##")&amp;"-"&amp;TEXT(ROW()-10,"##")&amp;"]","")</f>
        <v>[M_them_dich_vu-5]</v>
      </c>
      <c r="B15" s="82" t="s">
        <v>195</v>
      </c>
      <c r="C15" s="82" t="s">
        <v>196</v>
      </c>
      <c r="D15" s="82" t="s">
        <v>197</v>
      </c>
      <c r="E15" s="82" t="s">
        <v>198</v>
      </c>
      <c r="F15" s="53" t="s">
        <v>184</v>
      </c>
      <c r="G15" s="82" t="s">
        <v>55</v>
      </c>
      <c r="H15" s="84">
        <v>45992</v>
      </c>
      <c r="I15" s="82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63.75" spans="1:26">
      <c r="A16" s="82" t="str">
        <f>IF(OR(B16&lt;&gt;"",E16&lt;&gt;""),"["&amp;TEXT($B$2,"##")&amp;"-"&amp;TEXT(ROW()-10,"##")&amp;"]","")</f>
        <v>[M_them_dich_vu-6]</v>
      </c>
      <c r="B16" s="82" t="s">
        <v>199</v>
      </c>
      <c r="C16" s="82" t="s">
        <v>144</v>
      </c>
      <c r="D16" s="82" t="s">
        <v>200</v>
      </c>
      <c r="E16" s="82" t="s">
        <v>201</v>
      </c>
      <c r="F16" s="83" t="s">
        <v>194</v>
      </c>
      <c r="G16" s="82" t="s">
        <v>55</v>
      </c>
      <c r="H16" s="84">
        <v>45992</v>
      </c>
      <c r="I16" s="90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51" spans="1:26">
      <c r="A17" s="82" t="str">
        <f>IF(OR(B17&lt;&gt;"",E17&lt;&gt;""),"["&amp;TEXT($B$2,"##")&amp;"-"&amp;TEXT(ROW()-10,"##")&amp;"]","")</f>
        <v>[M_them_dich_vu-7]</v>
      </c>
      <c r="B17" s="82" t="s">
        <v>202</v>
      </c>
      <c r="C17" s="82" t="s">
        <v>144</v>
      </c>
      <c r="D17" s="82" t="s">
        <v>203</v>
      </c>
      <c r="E17" s="82" t="s">
        <v>204</v>
      </c>
      <c r="F17" s="83" t="s">
        <v>194</v>
      </c>
      <c r="G17" s="82" t="s">
        <v>55</v>
      </c>
      <c r="H17" s="84">
        <v>45992</v>
      </c>
      <c r="I17" s="90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2.75" customHeight="1" spans="1:26">
      <c r="A18" s="85"/>
      <c r="B18" s="85"/>
      <c r="C18" s="85"/>
      <c r="D18" s="85"/>
      <c r="E18" s="85"/>
      <c r="F18" s="85"/>
      <c r="G18" s="85"/>
      <c r="H18" s="85"/>
      <c r="I18" s="91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2.75" customHeight="1" spans="1:26">
      <c r="A19" s="85"/>
      <c r="B19" s="85"/>
      <c r="C19" s="85"/>
      <c r="D19" s="85"/>
      <c r="E19" s="85"/>
      <c r="F19" s="85"/>
      <c r="G19" s="85"/>
      <c r="H19" s="85"/>
      <c r="I19" s="91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2.75" customHeight="1" spans="1:26">
      <c r="A20" s="85"/>
      <c r="B20" s="85"/>
      <c r="C20" s="85"/>
      <c r="D20" s="85"/>
      <c r="E20" s="85"/>
      <c r="F20" s="85"/>
      <c r="G20" s="85"/>
      <c r="H20" s="85"/>
      <c r="I20" s="91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2.75" customHeight="1" spans="1:26">
      <c r="A21" s="85"/>
      <c r="B21" s="85"/>
      <c r="C21" s="85"/>
      <c r="D21" s="85"/>
      <c r="E21" s="85"/>
      <c r="F21" s="85"/>
      <c r="G21" s="85"/>
      <c r="H21" s="85"/>
      <c r="I21" s="91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2.75" customHeight="1" spans="1:26">
      <c r="A22" s="85"/>
      <c r="B22" s="85"/>
      <c r="C22" s="85"/>
      <c r="D22" s="85"/>
      <c r="E22" s="85"/>
      <c r="F22" s="85"/>
      <c r="G22" s="85"/>
      <c r="H22" s="85"/>
      <c r="I22" s="91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2.75" customHeight="1" spans="1:26">
      <c r="A23" s="85"/>
      <c r="B23" s="85"/>
      <c r="C23" s="85"/>
      <c r="D23" s="85"/>
      <c r="E23" s="85"/>
      <c r="F23" s="85"/>
      <c r="G23" s="85"/>
      <c r="H23" s="85"/>
      <c r="I23" s="91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2.75" customHeight="1" spans="1:26">
      <c r="A24" s="85"/>
      <c r="B24" s="85"/>
      <c r="C24" s="85"/>
      <c r="D24" s="85"/>
      <c r="E24" s="85"/>
      <c r="F24" s="85"/>
      <c r="G24" s="85"/>
      <c r="H24" s="85"/>
      <c r="I24" s="91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2.75" customHeight="1" spans="1:26">
      <c r="A25" s="85"/>
      <c r="B25" s="85"/>
      <c r="C25" s="85"/>
      <c r="D25" s="85"/>
      <c r="E25" s="85"/>
      <c r="F25" s="85"/>
      <c r="G25" s="85"/>
      <c r="H25" s="85"/>
      <c r="I25" s="91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2.75" customHeight="1" spans="1:26">
      <c r="A26" s="85"/>
      <c r="B26" s="85"/>
      <c r="C26" s="85"/>
      <c r="D26" s="85"/>
      <c r="E26" s="85"/>
      <c r="F26" s="85"/>
      <c r="G26" s="85"/>
      <c r="H26" s="85"/>
      <c r="I26" s="91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2.75" customHeight="1" spans="1:26">
      <c r="A27" s="85"/>
      <c r="B27" s="85"/>
      <c r="C27" s="85"/>
      <c r="D27" s="85"/>
      <c r="E27" s="85"/>
      <c r="F27" s="85"/>
      <c r="G27" s="85"/>
      <c r="H27" s="85"/>
      <c r="I27" s="91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2.75" customHeight="1" spans="1:26">
      <c r="A28" s="85"/>
      <c r="B28" s="85"/>
      <c r="C28" s="85"/>
      <c r="D28" s="85"/>
      <c r="E28" s="85"/>
      <c r="F28" s="85"/>
      <c r="G28" s="85"/>
      <c r="H28" s="85"/>
      <c r="I28" s="91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2.75" customHeight="1" spans="1:26">
      <c r="A29" s="85"/>
      <c r="B29" s="85"/>
      <c r="C29" s="85"/>
      <c r="D29" s="85"/>
      <c r="E29" s="85"/>
      <c r="F29" s="85"/>
      <c r="G29" s="85"/>
      <c r="H29" s="85"/>
      <c r="I29" s="91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2.75" customHeight="1" spans="1:26">
      <c r="A30" s="85"/>
      <c r="B30" s="85"/>
      <c r="C30" s="85"/>
      <c r="D30" s="85"/>
      <c r="E30" s="85"/>
      <c r="F30" s="85"/>
      <c r="G30" s="85"/>
      <c r="H30" s="85"/>
      <c r="I30" s="91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2.75" customHeight="1" spans="1:26">
      <c r="A31" s="85"/>
      <c r="B31" s="85"/>
      <c r="C31" s="85"/>
      <c r="D31" s="85"/>
      <c r="E31" s="85"/>
      <c r="F31" s="85"/>
      <c r="G31" s="85"/>
      <c r="H31" s="85"/>
      <c r="I31" s="91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2.75" customHeight="1" spans="1:26">
      <c r="A32" s="85"/>
      <c r="B32" s="85"/>
      <c r="C32" s="85"/>
      <c r="D32" s="85"/>
      <c r="E32" s="85"/>
      <c r="F32" s="85"/>
      <c r="G32" s="85"/>
      <c r="H32" s="85"/>
      <c r="I32" s="91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2.75" customHeight="1" spans="1:26">
      <c r="A33" s="85"/>
      <c r="B33" s="85"/>
      <c r="C33" s="85"/>
      <c r="D33" s="85"/>
      <c r="E33" s="85"/>
      <c r="F33" s="85"/>
      <c r="G33" s="85"/>
      <c r="H33" s="85"/>
      <c r="I33" s="91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2.75" customHeight="1" spans="1:26">
      <c r="A34" s="85"/>
      <c r="B34" s="85"/>
      <c r="C34" s="85"/>
      <c r="D34" s="85"/>
      <c r="E34" s="85"/>
      <c r="F34" s="85"/>
      <c r="G34" s="85"/>
      <c r="H34" s="85"/>
      <c r="I34" s="91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2.75" customHeight="1" spans="1:26">
      <c r="A35" s="85"/>
      <c r="B35" s="85"/>
      <c r="C35" s="85"/>
      <c r="D35" s="85"/>
      <c r="E35" s="85"/>
      <c r="F35" s="85"/>
      <c r="G35" s="85"/>
      <c r="H35" s="85"/>
      <c r="I35" s="91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2.75" customHeight="1" spans="1:26">
      <c r="A36" s="85"/>
      <c r="B36" s="85"/>
      <c r="C36" s="85"/>
      <c r="D36" s="85"/>
      <c r="E36" s="85"/>
      <c r="F36" s="85"/>
      <c r="G36" s="85"/>
      <c r="H36" s="85"/>
      <c r="I36" s="91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2.75" customHeight="1" spans="1:26">
      <c r="A37" s="85"/>
      <c r="B37" s="85"/>
      <c r="C37" s="85"/>
      <c r="D37" s="85"/>
      <c r="E37" s="85"/>
      <c r="F37" s="85"/>
      <c r="G37" s="85"/>
      <c r="H37" s="85"/>
      <c r="I37" s="91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2.75" customHeight="1" spans="1:26">
      <c r="A38" s="85"/>
      <c r="B38" s="85"/>
      <c r="C38" s="85"/>
      <c r="D38" s="85"/>
      <c r="E38" s="85"/>
      <c r="F38" s="85"/>
      <c r="G38" s="85"/>
      <c r="H38" s="85"/>
      <c r="I38" s="91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2.75" customHeight="1" spans="1:26">
      <c r="A39" s="85"/>
      <c r="B39" s="85"/>
      <c r="C39" s="85"/>
      <c r="D39" s="85"/>
      <c r="E39" s="85"/>
      <c r="F39" s="85"/>
      <c r="G39" s="85"/>
      <c r="H39" s="85"/>
      <c r="I39" s="91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2.75" customHeight="1" spans="1:26">
      <c r="A40" s="85"/>
      <c r="B40" s="85"/>
      <c r="C40" s="85"/>
      <c r="D40" s="85"/>
      <c r="E40" s="85"/>
      <c r="F40" s="85"/>
      <c r="G40" s="85"/>
      <c r="H40" s="85"/>
      <c r="I40" s="91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2.75" customHeight="1" spans="1:26">
      <c r="A41" s="85"/>
      <c r="B41" s="85"/>
      <c r="C41" s="85"/>
      <c r="D41" s="85"/>
      <c r="E41" s="85"/>
      <c r="F41" s="85"/>
      <c r="G41" s="85"/>
      <c r="H41" s="85"/>
      <c r="I41" s="91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2.75" customHeight="1" spans="1:26">
      <c r="A42" s="85"/>
      <c r="B42" s="85"/>
      <c r="C42" s="85"/>
      <c r="D42" s="85"/>
      <c r="E42" s="85"/>
      <c r="F42" s="85"/>
      <c r="G42" s="85"/>
      <c r="H42" s="85"/>
      <c r="I42" s="91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2.75" customHeight="1" spans="1:26">
      <c r="A43" s="85"/>
      <c r="B43" s="85"/>
      <c r="C43" s="85"/>
      <c r="D43" s="85"/>
      <c r="E43" s="85"/>
      <c r="F43" s="85"/>
      <c r="G43" s="85"/>
      <c r="H43" s="85"/>
      <c r="I43" s="91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2.75" customHeight="1" spans="1:26">
      <c r="A44" s="85"/>
      <c r="B44" s="85"/>
      <c r="C44" s="85"/>
      <c r="D44" s="85"/>
      <c r="E44" s="85"/>
      <c r="F44" s="85"/>
      <c r="G44" s="85"/>
      <c r="H44" s="85"/>
      <c r="I44" s="91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2.75" customHeight="1" spans="1:26">
      <c r="A45" s="85"/>
      <c r="B45" s="85"/>
      <c r="C45" s="85"/>
      <c r="D45" s="85"/>
      <c r="E45" s="85"/>
      <c r="F45" s="85"/>
      <c r="G45" s="85"/>
      <c r="H45" s="85"/>
      <c r="I45" s="91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2.75" customHeight="1" spans="1:26">
      <c r="A46" s="85"/>
      <c r="B46" s="85"/>
      <c r="C46" s="85"/>
      <c r="D46" s="85"/>
      <c r="E46" s="85"/>
      <c r="F46" s="85"/>
      <c r="G46" s="85"/>
      <c r="H46" s="85"/>
      <c r="I46" s="91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2.75" customHeight="1" spans="1:26">
      <c r="A47" s="85"/>
      <c r="B47" s="85"/>
      <c r="C47" s="85"/>
      <c r="D47" s="85"/>
      <c r="E47" s="85"/>
      <c r="F47" s="85"/>
      <c r="G47" s="85"/>
      <c r="H47" s="85"/>
      <c r="I47" s="91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2.75" customHeight="1" spans="1:26">
      <c r="A48" s="85"/>
      <c r="B48" s="85"/>
      <c r="C48" s="85"/>
      <c r="D48" s="85"/>
      <c r="E48" s="85"/>
      <c r="F48" s="85"/>
      <c r="G48" s="85"/>
      <c r="H48" s="85"/>
      <c r="I48" s="91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2.75" customHeight="1" spans="1:26">
      <c r="A49" s="85"/>
      <c r="B49" s="85"/>
      <c r="C49" s="85"/>
      <c r="D49" s="85"/>
      <c r="E49" s="85"/>
      <c r="F49" s="85"/>
      <c r="G49" s="85"/>
      <c r="H49" s="85"/>
      <c r="I49" s="91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2.75" customHeight="1" spans="1:26">
      <c r="A50" s="85"/>
      <c r="B50" s="85"/>
      <c r="C50" s="85"/>
      <c r="D50" s="85"/>
      <c r="E50" s="85"/>
      <c r="F50" s="85"/>
      <c r="G50" s="85"/>
      <c r="H50" s="85"/>
      <c r="I50" s="91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2.75" customHeight="1" spans="1:26">
      <c r="A51" s="85"/>
      <c r="B51" s="85"/>
      <c r="C51" s="85"/>
      <c r="D51" s="85"/>
      <c r="E51" s="85"/>
      <c r="F51" s="85"/>
      <c r="G51" s="85"/>
      <c r="H51" s="85"/>
      <c r="I51" s="91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2.75" customHeight="1" spans="1:26">
      <c r="A52" s="85"/>
      <c r="B52" s="85"/>
      <c r="C52" s="85"/>
      <c r="D52" s="85"/>
      <c r="E52" s="85"/>
      <c r="F52" s="85"/>
      <c r="G52" s="85"/>
      <c r="H52" s="85"/>
      <c r="I52" s="91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2.75" customHeight="1" spans="1:26">
      <c r="A53" s="85"/>
      <c r="B53" s="85"/>
      <c r="C53" s="85"/>
      <c r="D53" s="85"/>
      <c r="E53" s="85"/>
      <c r="F53" s="85"/>
      <c r="G53" s="85"/>
      <c r="H53" s="85"/>
      <c r="I53" s="91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2.75" customHeight="1" spans="1:26">
      <c r="A54" s="85"/>
      <c r="B54" s="85"/>
      <c r="C54" s="85"/>
      <c r="D54" s="85"/>
      <c r="E54" s="85"/>
      <c r="F54" s="85"/>
      <c r="G54" s="85"/>
      <c r="H54" s="85"/>
      <c r="I54" s="91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2.75" customHeight="1" spans="1:26">
      <c r="A55" s="85"/>
      <c r="B55" s="85"/>
      <c r="C55" s="85"/>
      <c r="D55" s="85"/>
      <c r="E55" s="85"/>
      <c r="F55" s="85"/>
      <c r="G55" s="85"/>
      <c r="H55" s="85"/>
      <c r="I55" s="91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2.75" customHeight="1" spans="1:26">
      <c r="A56" s="85"/>
      <c r="B56" s="85"/>
      <c r="C56" s="85"/>
      <c r="D56" s="85"/>
      <c r="E56" s="85"/>
      <c r="F56" s="85"/>
      <c r="G56" s="85"/>
      <c r="H56" s="85"/>
      <c r="I56" s="91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2.75" customHeight="1" spans="1:26">
      <c r="A57" s="85"/>
      <c r="B57" s="85"/>
      <c r="C57" s="85"/>
      <c r="D57" s="85"/>
      <c r="E57" s="85"/>
      <c r="F57" s="85"/>
      <c r="G57" s="85"/>
      <c r="H57" s="85"/>
      <c r="I57" s="91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2.75" customHeight="1" spans="1:26">
      <c r="A58" s="85"/>
      <c r="B58" s="85"/>
      <c r="C58" s="85"/>
      <c r="D58" s="85"/>
      <c r="E58" s="85"/>
      <c r="F58" s="85"/>
      <c r="G58" s="85"/>
      <c r="H58" s="85"/>
      <c r="I58" s="91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2.75" customHeight="1" spans="1:26">
      <c r="A59" s="85"/>
      <c r="B59" s="85"/>
      <c r="C59" s="85"/>
      <c r="D59" s="85"/>
      <c r="E59" s="85"/>
      <c r="F59" s="85"/>
      <c r="G59" s="85"/>
      <c r="H59" s="85"/>
      <c r="I59" s="91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2.75" customHeight="1" spans="1:26">
      <c r="A60" s="85"/>
      <c r="B60" s="85"/>
      <c r="C60" s="85"/>
      <c r="D60" s="85"/>
      <c r="E60" s="85"/>
      <c r="F60" s="85"/>
      <c r="G60" s="85"/>
      <c r="H60" s="85"/>
      <c r="I60" s="91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2.75" customHeight="1" spans="1:26">
      <c r="A61" s="85"/>
      <c r="B61" s="85"/>
      <c r="C61" s="85"/>
      <c r="D61" s="85"/>
      <c r="E61" s="85"/>
      <c r="F61" s="85"/>
      <c r="G61" s="85"/>
      <c r="H61" s="85"/>
      <c r="I61" s="91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2.75" customHeight="1" spans="1:26">
      <c r="A62" s="85"/>
      <c r="B62" s="85"/>
      <c r="C62" s="85"/>
      <c r="D62" s="85"/>
      <c r="E62" s="85"/>
      <c r="F62" s="85"/>
      <c r="G62" s="85"/>
      <c r="H62" s="85"/>
      <c r="I62" s="91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2.75" customHeight="1" spans="1:26">
      <c r="A63" s="85"/>
      <c r="B63" s="85"/>
      <c r="C63" s="85"/>
      <c r="D63" s="85"/>
      <c r="E63" s="85"/>
      <c r="F63" s="85"/>
      <c r="G63" s="85"/>
      <c r="H63" s="85"/>
      <c r="I63" s="91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2.75" customHeight="1" spans="1:26">
      <c r="A64" s="85"/>
      <c r="B64" s="85"/>
      <c r="C64" s="85"/>
      <c r="D64" s="85"/>
      <c r="E64" s="85"/>
      <c r="F64" s="85"/>
      <c r="G64" s="85"/>
      <c r="H64" s="85"/>
      <c r="I64" s="91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2.75" customHeight="1" spans="1:26">
      <c r="A65" s="85"/>
      <c r="B65" s="85"/>
      <c r="C65" s="85"/>
      <c r="D65" s="85"/>
      <c r="E65" s="85"/>
      <c r="F65" s="85"/>
      <c r="G65" s="85"/>
      <c r="H65" s="85"/>
      <c r="I65" s="91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2.75" customHeight="1" spans="1:26">
      <c r="A66" s="85"/>
      <c r="B66" s="85"/>
      <c r="C66" s="85"/>
      <c r="D66" s="85"/>
      <c r="E66" s="85"/>
      <c r="F66" s="85"/>
      <c r="G66" s="85"/>
      <c r="H66" s="85"/>
      <c r="I66" s="91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2.75" customHeight="1" spans="1:26">
      <c r="A67" s="85"/>
      <c r="B67" s="85"/>
      <c r="C67" s="85"/>
      <c r="D67" s="85"/>
      <c r="E67" s="85"/>
      <c r="F67" s="85"/>
      <c r="G67" s="85"/>
      <c r="H67" s="85"/>
      <c r="I67" s="91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2.75" customHeight="1" spans="1:26">
      <c r="A68" s="85"/>
      <c r="B68" s="85"/>
      <c r="C68" s="85"/>
      <c r="D68" s="85"/>
      <c r="E68" s="85"/>
      <c r="F68" s="85"/>
      <c r="G68" s="85"/>
      <c r="H68" s="85"/>
      <c r="I68" s="91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2.75" customHeight="1" spans="1:26">
      <c r="A69" s="85"/>
      <c r="B69" s="85"/>
      <c r="C69" s="85"/>
      <c r="D69" s="85"/>
      <c r="E69" s="85"/>
      <c r="F69" s="85"/>
      <c r="G69" s="85"/>
      <c r="H69" s="85"/>
      <c r="I69" s="91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2.75" customHeight="1" spans="1:26">
      <c r="A70" s="85"/>
      <c r="B70" s="85"/>
      <c r="C70" s="85"/>
      <c r="D70" s="85"/>
      <c r="E70" s="85"/>
      <c r="F70" s="85"/>
      <c r="G70" s="85"/>
      <c r="H70" s="85"/>
      <c r="I70" s="91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2.75" customHeight="1" spans="1:26">
      <c r="A71" s="85"/>
      <c r="B71" s="85"/>
      <c r="C71" s="85"/>
      <c r="D71" s="85"/>
      <c r="E71" s="85"/>
      <c r="F71" s="85"/>
      <c r="G71" s="85"/>
      <c r="H71" s="85"/>
      <c r="I71" s="91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2.75" customHeight="1" spans="1:26">
      <c r="A72" s="85"/>
      <c r="B72" s="85"/>
      <c r="C72" s="85"/>
      <c r="D72" s="85"/>
      <c r="E72" s="85"/>
      <c r="F72" s="85"/>
      <c r="G72" s="85"/>
      <c r="H72" s="85"/>
      <c r="I72" s="91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2.75" customHeight="1" spans="1:26">
      <c r="A73" s="85"/>
      <c r="B73" s="85"/>
      <c r="C73" s="85"/>
      <c r="D73" s="85"/>
      <c r="E73" s="85"/>
      <c r="F73" s="85"/>
      <c r="G73" s="85"/>
      <c r="H73" s="85"/>
      <c r="I73" s="91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2.75" customHeight="1" spans="1:26">
      <c r="A74" s="85"/>
      <c r="B74" s="85"/>
      <c r="C74" s="85"/>
      <c r="D74" s="85"/>
      <c r="E74" s="85"/>
      <c r="F74" s="85"/>
      <c r="G74" s="85"/>
      <c r="H74" s="85"/>
      <c r="I74" s="91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2.75" customHeight="1" spans="1:26">
      <c r="A75" s="85"/>
      <c r="B75" s="85"/>
      <c r="C75" s="85"/>
      <c r="D75" s="85"/>
      <c r="E75" s="85"/>
      <c r="F75" s="85"/>
      <c r="G75" s="85"/>
      <c r="H75" s="85"/>
      <c r="I75" s="91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2.75" customHeight="1" spans="1:26">
      <c r="A76" s="85"/>
      <c r="B76" s="85"/>
      <c r="C76" s="85"/>
      <c r="D76" s="85"/>
      <c r="E76" s="85"/>
      <c r="F76" s="85"/>
      <c r="G76" s="85"/>
      <c r="H76" s="85"/>
      <c r="I76" s="91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2.75" customHeight="1" spans="1:26">
      <c r="A77" s="85"/>
      <c r="B77" s="85"/>
      <c r="C77" s="85"/>
      <c r="D77" s="85"/>
      <c r="E77" s="85"/>
      <c r="F77" s="85"/>
      <c r="G77" s="85"/>
      <c r="H77" s="85"/>
      <c r="I77" s="91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2.75" customHeight="1" spans="1:26">
      <c r="A78" s="85"/>
      <c r="B78" s="85"/>
      <c r="C78" s="85"/>
      <c r="D78" s="85"/>
      <c r="E78" s="85"/>
      <c r="F78" s="85"/>
      <c r="G78" s="85"/>
      <c r="H78" s="85"/>
      <c r="I78" s="91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2.75" customHeight="1" spans="1:26">
      <c r="A79" s="85"/>
      <c r="B79" s="85"/>
      <c r="C79" s="85"/>
      <c r="D79" s="85"/>
      <c r="E79" s="85"/>
      <c r="F79" s="85"/>
      <c r="G79" s="85"/>
      <c r="H79" s="85"/>
      <c r="I79" s="91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2.75" customHeight="1" spans="1:26">
      <c r="A80" s="85"/>
      <c r="B80" s="85"/>
      <c r="C80" s="85"/>
      <c r="D80" s="85"/>
      <c r="E80" s="85"/>
      <c r="F80" s="85"/>
      <c r="G80" s="85"/>
      <c r="H80" s="85"/>
      <c r="I80" s="91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2.75" customHeight="1" spans="1:26">
      <c r="A81" s="85"/>
      <c r="B81" s="85"/>
      <c r="C81" s="85"/>
      <c r="D81" s="85"/>
      <c r="E81" s="85"/>
      <c r="F81" s="85"/>
      <c r="G81" s="85"/>
      <c r="H81" s="85"/>
      <c r="I81" s="91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2.75" customHeight="1" spans="1:26">
      <c r="A82" s="85"/>
      <c r="B82" s="85"/>
      <c r="C82" s="85"/>
      <c r="D82" s="85"/>
      <c r="E82" s="85"/>
      <c r="F82" s="85"/>
      <c r="G82" s="85"/>
      <c r="H82" s="85"/>
      <c r="I82" s="91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2.75" customHeight="1" spans="1:26">
      <c r="A83" s="85"/>
      <c r="B83" s="85"/>
      <c r="C83" s="85"/>
      <c r="D83" s="85"/>
      <c r="E83" s="85"/>
      <c r="F83" s="85"/>
      <c r="G83" s="85"/>
      <c r="H83" s="85"/>
      <c r="I83" s="91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2.75" customHeight="1" spans="1:26">
      <c r="A84" s="85"/>
      <c r="B84" s="85"/>
      <c r="C84" s="85"/>
      <c r="D84" s="85"/>
      <c r="E84" s="85"/>
      <c r="F84" s="85"/>
      <c r="G84" s="85"/>
      <c r="H84" s="85"/>
      <c r="I84" s="91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2.75" customHeight="1" spans="1:26">
      <c r="A85" s="85"/>
      <c r="B85" s="85"/>
      <c r="C85" s="85"/>
      <c r="D85" s="85"/>
      <c r="E85" s="85"/>
      <c r="F85" s="85"/>
      <c r="G85" s="85"/>
      <c r="H85" s="85"/>
      <c r="I85" s="91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2.75" customHeight="1" spans="1:26">
      <c r="A86" s="85"/>
      <c r="B86" s="85"/>
      <c r="C86" s="85"/>
      <c r="D86" s="85"/>
      <c r="E86" s="85"/>
      <c r="F86" s="85"/>
      <c r="G86" s="85"/>
      <c r="H86" s="85"/>
      <c r="I86" s="91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2.75" customHeight="1" spans="1:26">
      <c r="A87" s="85"/>
      <c r="B87" s="85"/>
      <c r="C87" s="85"/>
      <c r="D87" s="85"/>
      <c r="E87" s="85"/>
      <c r="F87" s="85"/>
      <c r="G87" s="85"/>
      <c r="H87" s="85"/>
      <c r="I87" s="91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2.75" customHeight="1" spans="1:26">
      <c r="A88" s="85"/>
      <c r="B88" s="85"/>
      <c r="C88" s="85"/>
      <c r="D88" s="85"/>
      <c r="E88" s="85"/>
      <c r="F88" s="85"/>
      <c r="G88" s="85"/>
      <c r="H88" s="85"/>
      <c r="I88" s="91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2.75" customHeight="1" spans="1:26">
      <c r="A89" s="85"/>
      <c r="B89" s="85"/>
      <c r="C89" s="85"/>
      <c r="D89" s="85"/>
      <c r="E89" s="85"/>
      <c r="F89" s="85"/>
      <c r="G89" s="85"/>
      <c r="H89" s="85"/>
      <c r="I89" s="91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2.75" customHeight="1" spans="1:26">
      <c r="A90" s="85"/>
      <c r="B90" s="85"/>
      <c r="C90" s="85"/>
      <c r="D90" s="85"/>
      <c r="E90" s="85"/>
      <c r="F90" s="85"/>
      <c r="G90" s="85"/>
      <c r="H90" s="85"/>
      <c r="I90" s="91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2.75" customHeight="1" spans="1:26">
      <c r="A91" s="85"/>
      <c r="B91" s="85"/>
      <c r="C91" s="85"/>
      <c r="D91" s="85"/>
      <c r="E91" s="85"/>
      <c r="F91" s="85"/>
      <c r="G91" s="85"/>
      <c r="H91" s="85"/>
      <c r="I91" s="91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2.75" customHeight="1" spans="1:26">
      <c r="A92" s="85"/>
      <c r="B92" s="85"/>
      <c r="C92" s="85"/>
      <c r="D92" s="85"/>
      <c r="E92" s="85"/>
      <c r="F92" s="85"/>
      <c r="G92" s="85"/>
      <c r="H92" s="85"/>
      <c r="I92" s="91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2.75" customHeight="1" spans="1:26">
      <c r="A93" s="85"/>
      <c r="B93" s="85"/>
      <c r="C93" s="85"/>
      <c r="D93" s="85"/>
      <c r="E93" s="85"/>
      <c r="F93" s="85"/>
      <c r="G93" s="85"/>
      <c r="H93" s="85"/>
      <c r="I93" s="91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2.75" customHeight="1" spans="1:26">
      <c r="A94" s="85"/>
      <c r="B94" s="85"/>
      <c r="C94" s="85"/>
      <c r="D94" s="85"/>
      <c r="E94" s="85"/>
      <c r="F94" s="85"/>
      <c r="G94" s="85"/>
      <c r="H94" s="85"/>
      <c r="I94" s="91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2.75" customHeight="1" spans="1:26">
      <c r="A95" s="85"/>
      <c r="B95" s="85"/>
      <c r="C95" s="85"/>
      <c r="D95" s="85"/>
      <c r="E95" s="85"/>
      <c r="F95" s="85"/>
      <c r="G95" s="85"/>
      <c r="H95" s="85"/>
      <c r="I95" s="91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2.75" customHeight="1" spans="1:26">
      <c r="A96" s="85"/>
      <c r="B96" s="85"/>
      <c r="C96" s="85"/>
      <c r="D96" s="85"/>
      <c r="E96" s="85"/>
      <c r="F96" s="85"/>
      <c r="G96" s="85"/>
      <c r="H96" s="85"/>
      <c r="I96" s="91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2.75" customHeight="1" spans="1:26">
      <c r="A97" s="85"/>
      <c r="B97" s="85"/>
      <c r="C97" s="85"/>
      <c r="D97" s="85"/>
      <c r="E97" s="85"/>
      <c r="F97" s="85"/>
      <c r="G97" s="85"/>
      <c r="H97" s="85"/>
      <c r="I97" s="91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2.75" customHeight="1" spans="1:26">
      <c r="A98" s="85"/>
      <c r="B98" s="85"/>
      <c r="C98" s="85"/>
      <c r="D98" s="85"/>
      <c r="E98" s="85"/>
      <c r="F98" s="85"/>
      <c r="G98" s="85"/>
      <c r="H98" s="85"/>
      <c r="I98" s="91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2.75" customHeight="1" spans="1:26">
      <c r="A99" s="85"/>
      <c r="B99" s="85"/>
      <c r="C99" s="85"/>
      <c r="D99" s="85"/>
      <c r="E99" s="85"/>
      <c r="F99" s="85"/>
      <c r="G99" s="85"/>
      <c r="H99" s="85"/>
      <c r="I99" s="91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2.75" customHeight="1" spans="1:26">
      <c r="A100" s="85"/>
      <c r="B100" s="85"/>
      <c r="C100" s="85"/>
      <c r="D100" s="85"/>
      <c r="E100" s="85"/>
      <c r="F100" s="85"/>
      <c r="G100" s="85"/>
      <c r="H100" s="85"/>
      <c r="I100" s="91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2.75" customHeight="1" spans="1:26">
      <c r="A101" s="85"/>
      <c r="B101" s="85"/>
      <c r="C101" s="85"/>
      <c r="D101" s="85"/>
      <c r="E101" s="85"/>
      <c r="F101" s="85"/>
      <c r="G101" s="85"/>
      <c r="H101" s="85"/>
      <c r="I101" s="91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2.75" customHeight="1" spans="1:26">
      <c r="A102" s="85"/>
      <c r="B102" s="85"/>
      <c r="C102" s="85"/>
      <c r="D102" s="85"/>
      <c r="E102" s="85"/>
      <c r="F102" s="85"/>
      <c r="G102" s="85"/>
      <c r="H102" s="85"/>
      <c r="I102" s="91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2.75" customHeight="1" spans="1:26">
      <c r="A103" s="85"/>
      <c r="B103" s="85"/>
      <c r="C103" s="85"/>
      <c r="D103" s="85"/>
      <c r="E103" s="85"/>
      <c r="F103" s="85"/>
      <c r="G103" s="85"/>
      <c r="H103" s="85"/>
      <c r="I103" s="91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2.75" customHeight="1" spans="1:26">
      <c r="A104" s="85"/>
      <c r="B104" s="85"/>
      <c r="C104" s="85"/>
      <c r="D104" s="85"/>
      <c r="E104" s="85"/>
      <c r="F104" s="85"/>
      <c r="G104" s="85"/>
      <c r="H104" s="85"/>
      <c r="I104" s="91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2.75" customHeight="1" spans="1:26">
      <c r="A105" s="85"/>
      <c r="B105" s="85"/>
      <c r="C105" s="85"/>
      <c r="D105" s="85"/>
      <c r="E105" s="85"/>
      <c r="F105" s="85"/>
      <c r="G105" s="85"/>
      <c r="H105" s="85"/>
      <c r="I105" s="91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2.75" customHeight="1" spans="1:26">
      <c r="A106" s="85"/>
      <c r="B106" s="85"/>
      <c r="C106" s="85"/>
      <c r="D106" s="85"/>
      <c r="E106" s="85"/>
      <c r="F106" s="85"/>
      <c r="G106" s="85"/>
      <c r="H106" s="85"/>
      <c r="I106" s="91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2.75" customHeight="1" spans="1:26">
      <c r="A107" s="85"/>
      <c r="B107" s="85"/>
      <c r="C107" s="85"/>
      <c r="D107" s="85"/>
      <c r="E107" s="85"/>
      <c r="F107" s="85"/>
      <c r="G107" s="85"/>
      <c r="H107" s="85"/>
      <c r="I107" s="91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2.75" customHeight="1" spans="1:26">
      <c r="A108" s="85"/>
      <c r="B108" s="85"/>
      <c r="C108" s="85"/>
      <c r="D108" s="85"/>
      <c r="E108" s="85"/>
      <c r="F108" s="85"/>
      <c r="G108" s="85"/>
      <c r="H108" s="85"/>
      <c r="I108" s="91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2.75" customHeight="1" spans="1:26">
      <c r="A109" s="85"/>
      <c r="B109" s="85"/>
      <c r="C109" s="85"/>
      <c r="D109" s="85"/>
      <c r="E109" s="85"/>
      <c r="F109" s="85"/>
      <c r="G109" s="85"/>
      <c r="H109" s="85"/>
      <c r="I109" s="91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2.75" customHeight="1" spans="1:26">
      <c r="A110" s="85"/>
      <c r="B110" s="85"/>
      <c r="C110" s="85"/>
      <c r="D110" s="85"/>
      <c r="E110" s="85"/>
      <c r="F110" s="85"/>
      <c r="G110" s="85"/>
      <c r="H110" s="85"/>
      <c r="I110" s="91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2.75" customHeight="1" spans="1:26">
      <c r="A111" s="85"/>
      <c r="B111" s="85"/>
      <c r="C111" s="85"/>
      <c r="D111" s="85"/>
      <c r="E111" s="85"/>
      <c r="F111" s="85"/>
      <c r="G111" s="85"/>
      <c r="H111" s="85"/>
      <c r="I111" s="91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2.75" customHeight="1" spans="1:26">
      <c r="A112" s="85"/>
      <c r="B112" s="85"/>
      <c r="C112" s="85"/>
      <c r="D112" s="85"/>
      <c r="E112" s="85"/>
      <c r="F112" s="85"/>
      <c r="G112" s="85"/>
      <c r="H112" s="85"/>
      <c r="I112" s="91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2.75" customHeight="1" spans="1:26">
      <c r="A113" s="85"/>
      <c r="B113" s="85"/>
      <c r="C113" s="85"/>
      <c r="D113" s="85"/>
      <c r="E113" s="85"/>
      <c r="F113" s="85"/>
      <c r="G113" s="85"/>
      <c r="H113" s="85"/>
      <c r="I113" s="91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2.75" customHeight="1" spans="1:26">
      <c r="A114" s="85"/>
      <c r="B114" s="85"/>
      <c r="C114" s="85"/>
      <c r="D114" s="85"/>
      <c r="E114" s="85"/>
      <c r="F114" s="85"/>
      <c r="G114" s="85"/>
      <c r="H114" s="85"/>
      <c r="I114" s="91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2.75" customHeight="1" spans="1:26">
      <c r="A115" s="85"/>
      <c r="B115" s="85"/>
      <c r="C115" s="85"/>
      <c r="D115" s="85"/>
      <c r="E115" s="85"/>
      <c r="F115" s="85"/>
      <c r="G115" s="85"/>
      <c r="H115" s="85"/>
      <c r="I115" s="91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2.75" customHeight="1" spans="1:26">
      <c r="A116" s="85"/>
      <c r="B116" s="85"/>
      <c r="C116" s="85"/>
      <c r="D116" s="85"/>
      <c r="E116" s="85"/>
      <c r="F116" s="85"/>
      <c r="G116" s="85"/>
      <c r="H116" s="85"/>
      <c r="I116" s="91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2.75" customHeight="1" spans="1:26">
      <c r="A117" s="85"/>
      <c r="B117" s="85"/>
      <c r="C117" s="85"/>
      <c r="D117" s="85"/>
      <c r="E117" s="85"/>
      <c r="F117" s="85"/>
      <c r="G117" s="85"/>
      <c r="H117" s="85"/>
      <c r="I117" s="91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2.75" customHeight="1" spans="1:26">
      <c r="A118" s="85"/>
      <c r="B118" s="85"/>
      <c r="C118" s="85"/>
      <c r="D118" s="85"/>
      <c r="E118" s="85"/>
      <c r="F118" s="85"/>
      <c r="G118" s="85"/>
      <c r="H118" s="85"/>
      <c r="I118" s="91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2.75" customHeight="1" spans="1:26">
      <c r="A119" s="85"/>
      <c r="B119" s="85"/>
      <c r="C119" s="85"/>
      <c r="D119" s="85"/>
      <c r="E119" s="85"/>
      <c r="F119" s="85"/>
      <c r="G119" s="85"/>
      <c r="H119" s="85"/>
      <c r="I119" s="91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2.75" customHeight="1" spans="1:26">
      <c r="A120" s="85"/>
      <c r="B120" s="85"/>
      <c r="C120" s="85"/>
      <c r="D120" s="85"/>
      <c r="E120" s="85"/>
      <c r="F120" s="85"/>
      <c r="G120" s="85"/>
      <c r="H120" s="85"/>
      <c r="I120" s="91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2.75" customHeight="1" spans="1:26">
      <c r="A121" s="85"/>
      <c r="B121" s="85"/>
      <c r="C121" s="85"/>
      <c r="D121" s="85"/>
      <c r="E121" s="85"/>
      <c r="F121" s="85"/>
      <c r="G121" s="85"/>
      <c r="H121" s="85"/>
      <c r="I121" s="91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2.75" customHeight="1" spans="1:26">
      <c r="A122" s="85"/>
      <c r="B122" s="85"/>
      <c r="C122" s="85"/>
      <c r="D122" s="85"/>
      <c r="E122" s="85"/>
      <c r="F122" s="85"/>
      <c r="G122" s="85"/>
      <c r="H122" s="85"/>
      <c r="I122" s="91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2.75" customHeight="1" spans="1:26">
      <c r="A123" s="85"/>
      <c r="B123" s="85"/>
      <c r="C123" s="85"/>
      <c r="D123" s="85"/>
      <c r="E123" s="85"/>
      <c r="F123" s="85"/>
      <c r="G123" s="85"/>
      <c r="H123" s="85"/>
      <c r="I123" s="91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2.75" customHeight="1" spans="1:26">
      <c r="A124" s="85"/>
      <c r="B124" s="85"/>
      <c r="C124" s="85"/>
      <c r="D124" s="85"/>
      <c r="E124" s="85"/>
      <c r="F124" s="85"/>
      <c r="G124" s="85"/>
      <c r="H124" s="85"/>
      <c r="I124" s="91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2.75" customHeight="1" spans="1:26">
      <c r="A125" s="85"/>
      <c r="B125" s="85"/>
      <c r="C125" s="85"/>
      <c r="D125" s="85"/>
      <c r="E125" s="85"/>
      <c r="F125" s="85"/>
      <c r="G125" s="85"/>
      <c r="H125" s="85"/>
      <c r="I125" s="91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2.75" customHeight="1" spans="1:26">
      <c r="A126" s="85"/>
      <c r="B126" s="85"/>
      <c r="C126" s="85"/>
      <c r="D126" s="85"/>
      <c r="E126" s="85"/>
      <c r="F126" s="85"/>
      <c r="G126" s="85"/>
      <c r="H126" s="85"/>
      <c r="I126" s="91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2.75" customHeight="1" spans="1:26">
      <c r="A127" s="85"/>
      <c r="B127" s="85"/>
      <c r="C127" s="85"/>
      <c r="D127" s="85"/>
      <c r="E127" s="85"/>
      <c r="F127" s="85"/>
      <c r="G127" s="85"/>
      <c r="H127" s="85"/>
      <c r="I127" s="91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2.75" customHeight="1" spans="1:26">
      <c r="A128" s="85"/>
      <c r="B128" s="85"/>
      <c r="C128" s="85"/>
      <c r="D128" s="85"/>
      <c r="E128" s="85"/>
      <c r="F128" s="85"/>
      <c r="G128" s="85"/>
      <c r="H128" s="85"/>
      <c r="I128" s="91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2.75" customHeight="1" spans="1:26">
      <c r="A129" s="85"/>
      <c r="B129" s="85"/>
      <c r="C129" s="85"/>
      <c r="D129" s="85"/>
      <c r="E129" s="85"/>
      <c r="F129" s="85"/>
      <c r="G129" s="85"/>
      <c r="H129" s="85"/>
      <c r="I129" s="91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2.75" customHeight="1" spans="1:26">
      <c r="A130" s="85"/>
      <c r="B130" s="85"/>
      <c r="C130" s="85"/>
      <c r="D130" s="85"/>
      <c r="E130" s="85"/>
      <c r="F130" s="85"/>
      <c r="G130" s="85"/>
      <c r="H130" s="85"/>
      <c r="I130" s="91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2.75" customHeight="1" spans="1:26">
      <c r="A131" s="85"/>
      <c r="B131" s="85"/>
      <c r="C131" s="85"/>
      <c r="D131" s="85"/>
      <c r="E131" s="85"/>
      <c r="F131" s="85"/>
      <c r="G131" s="85"/>
      <c r="H131" s="85"/>
      <c r="I131" s="91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2.75" customHeight="1" spans="1:26">
      <c r="A132" s="85"/>
      <c r="B132" s="85"/>
      <c r="C132" s="85"/>
      <c r="D132" s="85"/>
      <c r="E132" s="85"/>
      <c r="F132" s="85"/>
      <c r="G132" s="85"/>
      <c r="H132" s="85"/>
      <c r="I132" s="91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2.75" customHeight="1" spans="1:26">
      <c r="A133" s="85"/>
      <c r="B133" s="85"/>
      <c r="C133" s="85"/>
      <c r="D133" s="85"/>
      <c r="E133" s="85"/>
      <c r="F133" s="85"/>
      <c r="G133" s="85"/>
      <c r="H133" s="85"/>
      <c r="I133" s="91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2.75" customHeight="1" spans="1:26">
      <c r="A134" s="85"/>
      <c r="B134" s="85"/>
      <c r="C134" s="85"/>
      <c r="D134" s="85"/>
      <c r="E134" s="85"/>
      <c r="F134" s="85"/>
      <c r="G134" s="85"/>
      <c r="H134" s="85"/>
      <c r="I134" s="91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2.75" customHeight="1" spans="1:26">
      <c r="A135" s="85"/>
      <c r="B135" s="85"/>
      <c r="C135" s="85"/>
      <c r="D135" s="85"/>
      <c r="E135" s="85"/>
      <c r="F135" s="85"/>
      <c r="G135" s="85"/>
      <c r="H135" s="85"/>
      <c r="I135" s="91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2.75" customHeight="1" spans="1:26">
      <c r="A136" s="85"/>
      <c r="B136" s="85"/>
      <c r="C136" s="85"/>
      <c r="D136" s="85"/>
      <c r="E136" s="85"/>
      <c r="F136" s="85"/>
      <c r="G136" s="85"/>
      <c r="H136" s="85"/>
      <c r="I136" s="91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2.75" customHeight="1" spans="1:26">
      <c r="A137" s="85"/>
      <c r="B137" s="85"/>
      <c r="C137" s="85"/>
      <c r="D137" s="85"/>
      <c r="E137" s="85"/>
      <c r="F137" s="85"/>
      <c r="G137" s="85"/>
      <c r="H137" s="85"/>
      <c r="I137" s="91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2.75" customHeight="1" spans="1:26">
      <c r="A138" s="85"/>
      <c r="B138" s="85"/>
      <c r="C138" s="85"/>
      <c r="D138" s="85"/>
      <c r="E138" s="85"/>
      <c r="F138" s="85"/>
      <c r="G138" s="85"/>
      <c r="H138" s="85"/>
      <c r="I138" s="91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2.75" customHeight="1" spans="1:26">
      <c r="A139" s="85"/>
      <c r="B139" s="85"/>
      <c r="C139" s="85"/>
      <c r="D139" s="85"/>
      <c r="E139" s="85"/>
      <c r="F139" s="85"/>
      <c r="G139" s="85"/>
      <c r="H139" s="85"/>
      <c r="I139" s="91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2.75" customHeight="1" spans="1:26">
      <c r="A140" s="85"/>
      <c r="B140" s="85"/>
      <c r="C140" s="85"/>
      <c r="D140" s="85"/>
      <c r="E140" s="85"/>
      <c r="F140" s="85"/>
      <c r="G140" s="85"/>
      <c r="H140" s="85"/>
      <c r="I140" s="91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2.75" customHeight="1" spans="1:26">
      <c r="A141" s="85"/>
      <c r="B141" s="85"/>
      <c r="C141" s="85"/>
      <c r="D141" s="85"/>
      <c r="E141" s="85"/>
      <c r="F141" s="85"/>
      <c r="G141" s="85"/>
      <c r="H141" s="85"/>
      <c r="I141" s="91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2.75" customHeight="1" spans="1:26">
      <c r="A142" s="85"/>
      <c r="B142" s="85"/>
      <c r="C142" s="85"/>
      <c r="D142" s="85"/>
      <c r="E142" s="85"/>
      <c r="F142" s="85"/>
      <c r="G142" s="85"/>
      <c r="H142" s="85"/>
      <c r="I142" s="91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2.75" customHeight="1" spans="1:26">
      <c r="A143" s="85"/>
      <c r="B143" s="85"/>
      <c r="C143" s="85"/>
      <c r="D143" s="85"/>
      <c r="E143" s="85"/>
      <c r="F143" s="85"/>
      <c r="G143" s="85"/>
      <c r="H143" s="85"/>
      <c r="I143" s="91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2.75" customHeight="1" spans="1:26">
      <c r="A144" s="85"/>
      <c r="B144" s="85"/>
      <c r="C144" s="85"/>
      <c r="D144" s="85"/>
      <c r="E144" s="85"/>
      <c r="F144" s="85"/>
      <c r="G144" s="85"/>
      <c r="H144" s="85"/>
      <c r="I144" s="91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2.75" customHeight="1" spans="1:26">
      <c r="A145" s="85"/>
      <c r="B145" s="85"/>
      <c r="C145" s="85"/>
      <c r="D145" s="85"/>
      <c r="E145" s="85"/>
      <c r="F145" s="85"/>
      <c r="G145" s="85"/>
      <c r="H145" s="85"/>
      <c r="I145" s="91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2.75" customHeight="1" spans="1:26">
      <c r="A146" s="85"/>
      <c r="B146" s="85"/>
      <c r="C146" s="85"/>
      <c r="D146" s="85"/>
      <c r="E146" s="85"/>
      <c r="F146" s="85"/>
      <c r="G146" s="85"/>
      <c r="H146" s="85"/>
      <c r="I146" s="91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2.75" customHeight="1" spans="1:26">
      <c r="A147" s="85"/>
      <c r="B147" s="85"/>
      <c r="C147" s="85"/>
      <c r="D147" s="85"/>
      <c r="E147" s="85"/>
      <c r="F147" s="85"/>
      <c r="G147" s="85"/>
      <c r="H147" s="85"/>
      <c r="I147" s="91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2.75" customHeight="1" spans="1:26">
      <c r="A148" s="85"/>
      <c r="B148" s="85"/>
      <c r="C148" s="85"/>
      <c r="D148" s="85"/>
      <c r="E148" s="85"/>
      <c r="F148" s="85"/>
      <c r="G148" s="85"/>
      <c r="H148" s="85"/>
      <c r="I148" s="91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2.75" customHeight="1" spans="1:26">
      <c r="A149" s="85"/>
      <c r="B149" s="85"/>
      <c r="C149" s="85"/>
      <c r="D149" s="85"/>
      <c r="E149" s="85"/>
      <c r="F149" s="85"/>
      <c r="G149" s="85"/>
      <c r="H149" s="85"/>
      <c r="I149" s="91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2.75" customHeight="1" spans="1:26">
      <c r="A150" s="85"/>
      <c r="B150" s="85"/>
      <c r="C150" s="85"/>
      <c r="D150" s="85"/>
      <c r="E150" s="85"/>
      <c r="F150" s="85"/>
      <c r="G150" s="85"/>
      <c r="H150" s="85"/>
      <c r="I150" s="91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2.75" customHeight="1" spans="1:26">
      <c r="A151" s="85"/>
      <c r="B151" s="85"/>
      <c r="C151" s="85"/>
      <c r="D151" s="85"/>
      <c r="E151" s="85"/>
      <c r="F151" s="85"/>
      <c r="G151" s="85"/>
      <c r="H151" s="85"/>
      <c r="I151" s="91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2.75" customHeight="1" spans="1:26">
      <c r="A152" s="85"/>
      <c r="B152" s="85"/>
      <c r="C152" s="85"/>
      <c r="D152" s="85"/>
      <c r="E152" s="85"/>
      <c r="F152" s="85"/>
      <c r="G152" s="85"/>
      <c r="H152" s="85"/>
      <c r="I152" s="91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2.75" customHeight="1" spans="1:26">
      <c r="A153" s="85"/>
      <c r="B153" s="85"/>
      <c r="C153" s="85"/>
      <c r="D153" s="85"/>
      <c r="E153" s="85"/>
      <c r="F153" s="85"/>
      <c r="G153" s="85"/>
      <c r="H153" s="85"/>
      <c r="I153" s="91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2.75" customHeight="1" spans="1:26">
      <c r="A154" s="85"/>
      <c r="B154" s="85"/>
      <c r="C154" s="85"/>
      <c r="D154" s="85"/>
      <c r="E154" s="85"/>
      <c r="F154" s="85"/>
      <c r="G154" s="85"/>
      <c r="H154" s="85"/>
      <c r="I154" s="91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2.75" customHeight="1" spans="1:26">
      <c r="A155" s="85"/>
      <c r="B155" s="85"/>
      <c r="C155" s="85"/>
      <c r="D155" s="85"/>
      <c r="E155" s="85"/>
      <c r="F155" s="85"/>
      <c r="G155" s="85"/>
      <c r="H155" s="85"/>
      <c r="I155" s="91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2.75" customHeight="1" spans="1:26">
      <c r="A156" s="85"/>
      <c r="B156" s="85"/>
      <c r="C156" s="85"/>
      <c r="D156" s="85"/>
      <c r="E156" s="85"/>
      <c r="F156" s="85"/>
      <c r="G156" s="85"/>
      <c r="H156" s="85"/>
      <c r="I156" s="91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2.75" customHeight="1" spans="1:26">
      <c r="A157" s="85"/>
      <c r="B157" s="85"/>
      <c r="C157" s="85"/>
      <c r="D157" s="85"/>
      <c r="E157" s="85"/>
      <c r="F157" s="85"/>
      <c r="G157" s="85"/>
      <c r="H157" s="85"/>
      <c r="I157" s="91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2.75" customHeight="1" spans="1:26">
      <c r="A158" s="85"/>
      <c r="B158" s="85"/>
      <c r="C158" s="85"/>
      <c r="D158" s="85"/>
      <c r="E158" s="85"/>
      <c r="F158" s="85"/>
      <c r="G158" s="85"/>
      <c r="H158" s="85"/>
      <c r="I158" s="91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2.75" customHeight="1" spans="1:26">
      <c r="A159" s="85"/>
      <c r="B159" s="85"/>
      <c r="C159" s="85"/>
      <c r="D159" s="85"/>
      <c r="E159" s="85"/>
      <c r="F159" s="85"/>
      <c r="G159" s="85"/>
      <c r="H159" s="85"/>
      <c r="I159" s="91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2.75" customHeight="1" spans="1:26">
      <c r="A160" s="85"/>
      <c r="B160" s="85"/>
      <c r="C160" s="85"/>
      <c r="D160" s="85"/>
      <c r="E160" s="85"/>
      <c r="F160" s="85"/>
      <c r="G160" s="85"/>
      <c r="H160" s="85"/>
      <c r="I160" s="91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2.75" customHeight="1" spans="1:26">
      <c r="A161" s="85"/>
      <c r="B161" s="85"/>
      <c r="C161" s="85"/>
      <c r="D161" s="85"/>
      <c r="E161" s="85"/>
      <c r="F161" s="85"/>
      <c r="G161" s="85"/>
      <c r="H161" s="85"/>
      <c r="I161" s="91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2.75" customHeight="1" spans="1:26">
      <c r="A162" s="85"/>
      <c r="B162" s="85"/>
      <c r="C162" s="85"/>
      <c r="D162" s="85"/>
      <c r="E162" s="85"/>
      <c r="F162" s="85"/>
      <c r="G162" s="85"/>
      <c r="H162" s="85"/>
      <c r="I162" s="91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2.75" customHeight="1" spans="1:26">
      <c r="A163" s="85"/>
      <c r="B163" s="85"/>
      <c r="C163" s="85"/>
      <c r="D163" s="85"/>
      <c r="E163" s="85"/>
      <c r="F163" s="85"/>
      <c r="G163" s="85"/>
      <c r="H163" s="85"/>
      <c r="I163" s="91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2.75" customHeight="1" spans="1:26">
      <c r="A164" s="85"/>
      <c r="B164" s="85"/>
      <c r="C164" s="85"/>
      <c r="D164" s="85"/>
      <c r="E164" s="85"/>
      <c r="F164" s="85"/>
      <c r="G164" s="85"/>
      <c r="H164" s="85"/>
      <c r="I164" s="91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2.75" customHeight="1" spans="1:26">
      <c r="A165" s="85"/>
      <c r="B165" s="85"/>
      <c r="C165" s="85"/>
      <c r="D165" s="85"/>
      <c r="E165" s="85"/>
      <c r="F165" s="85"/>
      <c r="G165" s="85"/>
      <c r="H165" s="85"/>
      <c r="I165" s="91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2.75" customHeight="1" spans="1:26">
      <c r="A166" s="85"/>
      <c r="B166" s="85"/>
      <c r="C166" s="85"/>
      <c r="D166" s="85"/>
      <c r="E166" s="85"/>
      <c r="F166" s="85"/>
      <c r="G166" s="85"/>
      <c r="H166" s="85"/>
      <c r="I166" s="91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2.75" customHeight="1" spans="1:26">
      <c r="A167" s="85"/>
      <c r="B167" s="85"/>
      <c r="C167" s="85"/>
      <c r="D167" s="85"/>
      <c r="E167" s="85"/>
      <c r="F167" s="85"/>
      <c r="G167" s="85"/>
      <c r="H167" s="85"/>
      <c r="I167" s="91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2.75" customHeight="1" spans="1:26">
      <c r="A168" s="85"/>
      <c r="B168" s="85"/>
      <c r="C168" s="85"/>
      <c r="D168" s="85"/>
      <c r="E168" s="85"/>
      <c r="F168" s="85"/>
      <c r="G168" s="85"/>
      <c r="H168" s="85"/>
      <c r="I168" s="91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2.75" customHeight="1" spans="1:26">
      <c r="A169" s="85"/>
      <c r="B169" s="85"/>
      <c r="C169" s="85"/>
      <c r="D169" s="85"/>
      <c r="E169" s="85"/>
      <c r="F169" s="85"/>
      <c r="G169" s="85"/>
      <c r="H169" s="85"/>
      <c r="I169" s="91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2.75" customHeight="1" spans="1:26">
      <c r="A170" s="85"/>
      <c r="B170" s="85"/>
      <c r="C170" s="85"/>
      <c r="D170" s="85"/>
      <c r="E170" s="85"/>
      <c r="F170" s="85"/>
      <c r="G170" s="85"/>
      <c r="H170" s="85"/>
      <c r="I170" s="91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2.75" customHeight="1" spans="1:26">
      <c r="A171" s="85"/>
      <c r="B171" s="85"/>
      <c r="C171" s="85"/>
      <c r="D171" s="85"/>
      <c r="E171" s="85"/>
      <c r="F171" s="85"/>
      <c r="G171" s="85"/>
      <c r="H171" s="85"/>
      <c r="I171" s="91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2.75" customHeight="1" spans="1:26">
      <c r="A172" s="85"/>
      <c r="B172" s="85"/>
      <c r="C172" s="85"/>
      <c r="D172" s="85"/>
      <c r="E172" s="85"/>
      <c r="F172" s="85"/>
      <c r="G172" s="85"/>
      <c r="H172" s="85"/>
      <c r="I172" s="91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2.75" customHeight="1" spans="1:26">
      <c r="A173" s="85"/>
      <c r="B173" s="85"/>
      <c r="C173" s="85"/>
      <c r="D173" s="85"/>
      <c r="E173" s="85"/>
      <c r="F173" s="85"/>
      <c r="G173" s="85"/>
      <c r="H173" s="85"/>
      <c r="I173" s="91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2.75" customHeight="1" spans="1:26">
      <c r="A174" s="85"/>
      <c r="B174" s="85"/>
      <c r="C174" s="85"/>
      <c r="D174" s="85"/>
      <c r="E174" s="85"/>
      <c r="F174" s="85"/>
      <c r="G174" s="85"/>
      <c r="H174" s="85"/>
      <c r="I174" s="91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2.75" customHeight="1" spans="1:26">
      <c r="A175" s="85"/>
      <c r="B175" s="85"/>
      <c r="C175" s="85"/>
      <c r="D175" s="85"/>
      <c r="E175" s="85"/>
      <c r="F175" s="85"/>
      <c r="G175" s="85"/>
      <c r="H175" s="85"/>
      <c r="I175" s="91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2.75" customHeight="1" spans="1:26">
      <c r="A176" s="85"/>
      <c r="B176" s="85"/>
      <c r="C176" s="85"/>
      <c r="D176" s="85"/>
      <c r="E176" s="85"/>
      <c r="F176" s="85"/>
      <c r="G176" s="85"/>
      <c r="H176" s="85"/>
      <c r="I176" s="91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2.75" customHeight="1" spans="1:26">
      <c r="A177" s="85"/>
      <c r="B177" s="85"/>
      <c r="C177" s="85"/>
      <c r="D177" s="85"/>
      <c r="E177" s="85"/>
      <c r="F177" s="85"/>
      <c r="G177" s="85"/>
      <c r="H177" s="85"/>
      <c r="I177" s="91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2.75" customHeight="1" spans="1:26">
      <c r="A178" s="85"/>
      <c r="B178" s="85"/>
      <c r="C178" s="85"/>
      <c r="D178" s="85"/>
      <c r="E178" s="85"/>
      <c r="F178" s="85"/>
      <c r="G178" s="85"/>
      <c r="H178" s="85"/>
      <c r="I178" s="91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2.75" customHeight="1" spans="1:26">
      <c r="A179" s="85"/>
      <c r="B179" s="85"/>
      <c r="C179" s="85"/>
      <c r="D179" s="85"/>
      <c r="E179" s="85"/>
      <c r="F179" s="85"/>
      <c r="G179" s="85"/>
      <c r="H179" s="85"/>
      <c r="I179" s="91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2.75" customHeight="1" spans="1:26">
      <c r="A180" s="85"/>
      <c r="B180" s="85"/>
      <c r="C180" s="85"/>
      <c r="D180" s="85"/>
      <c r="E180" s="85"/>
      <c r="F180" s="85"/>
      <c r="G180" s="85"/>
      <c r="H180" s="85"/>
      <c r="I180" s="91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2.75" customHeight="1" spans="1:26">
      <c r="A181" s="85"/>
      <c r="B181" s="85"/>
      <c r="C181" s="85"/>
      <c r="D181" s="85"/>
      <c r="E181" s="85"/>
      <c r="F181" s="85"/>
      <c r="G181" s="85"/>
      <c r="H181" s="85"/>
      <c r="I181" s="91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2.75" customHeight="1" spans="1:26">
      <c r="A182" s="85"/>
      <c r="B182" s="85"/>
      <c r="C182" s="85"/>
      <c r="D182" s="85"/>
      <c r="E182" s="85"/>
      <c r="F182" s="85"/>
      <c r="G182" s="85"/>
      <c r="H182" s="85"/>
      <c r="I182" s="91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2.75" customHeight="1" spans="1:26">
      <c r="A183" s="85"/>
      <c r="B183" s="85"/>
      <c r="C183" s="85"/>
      <c r="D183" s="85"/>
      <c r="E183" s="85"/>
      <c r="F183" s="85"/>
      <c r="G183" s="85"/>
      <c r="H183" s="85"/>
      <c r="I183" s="91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2.75" customHeight="1" spans="1:26">
      <c r="A184" s="85"/>
      <c r="B184" s="85"/>
      <c r="C184" s="85"/>
      <c r="D184" s="85"/>
      <c r="E184" s="85"/>
      <c r="F184" s="85"/>
      <c r="G184" s="85"/>
      <c r="H184" s="85"/>
      <c r="I184" s="91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2.75" customHeight="1" spans="1:26">
      <c r="A185" s="85"/>
      <c r="B185" s="85"/>
      <c r="C185" s="85"/>
      <c r="D185" s="85"/>
      <c r="E185" s="85"/>
      <c r="F185" s="85"/>
      <c r="G185" s="85"/>
      <c r="H185" s="85"/>
      <c r="I185" s="91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2.75" customHeight="1" spans="1:26">
      <c r="A186" s="85"/>
      <c r="B186" s="85"/>
      <c r="C186" s="85"/>
      <c r="D186" s="85"/>
      <c r="E186" s="85"/>
      <c r="F186" s="85"/>
      <c r="G186" s="85"/>
      <c r="H186" s="85"/>
      <c r="I186" s="91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2.75" customHeight="1" spans="1:26">
      <c r="A187" s="85"/>
      <c r="B187" s="85"/>
      <c r="C187" s="85"/>
      <c r="D187" s="85"/>
      <c r="E187" s="85"/>
      <c r="F187" s="85"/>
      <c r="G187" s="85"/>
      <c r="H187" s="85"/>
      <c r="I187" s="91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2.75" customHeight="1" spans="1:26">
      <c r="A188" s="85"/>
      <c r="B188" s="85"/>
      <c r="C188" s="85"/>
      <c r="D188" s="85"/>
      <c r="E188" s="85"/>
      <c r="F188" s="85"/>
      <c r="G188" s="85"/>
      <c r="H188" s="85"/>
      <c r="I188" s="91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2.75" customHeight="1" spans="1:26">
      <c r="A189" s="85"/>
      <c r="B189" s="85"/>
      <c r="C189" s="85"/>
      <c r="D189" s="85"/>
      <c r="E189" s="85"/>
      <c r="F189" s="85"/>
      <c r="G189" s="85"/>
      <c r="H189" s="85"/>
      <c r="I189" s="91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2.75" customHeight="1" spans="1:26">
      <c r="A190" s="85"/>
      <c r="B190" s="85"/>
      <c r="C190" s="85"/>
      <c r="D190" s="85"/>
      <c r="E190" s="85"/>
      <c r="F190" s="85"/>
      <c r="G190" s="85"/>
      <c r="H190" s="85"/>
      <c r="I190" s="91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2.75" customHeight="1" spans="1:26">
      <c r="A191" s="85"/>
      <c r="B191" s="85"/>
      <c r="C191" s="85"/>
      <c r="D191" s="85"/>
      <c r="E191" s="85"/>
      <c r="F191" s="85"/>
      <c r="G191" s="85"/>
      <c r="H191" s="85"/>
      <c r="I191" s="91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2.75" customHeight="1" spans="1:26">
      <c r="A192" s="85"/>
      <c r="B192" s="85"/>
      <c r="C192" s="85"/>
      <c r="D192" s="85"/>
      <c r="E192" s="85"/>
      <c r="F192" s="85"/>
      <c r="G192" s="85"/>
      <c r="H192" s="85"/>
      <c r="I192" s="91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2.75" customHeight="1" spans="1:26">
      <c r="A193" s="85"/>
      <c r="B193" s="85"/>
      <c r="C193" s="85"/>
      <c r="D193" s="85"/>
      <c r="E193" s="85"/>
      <c r="F193" s="85"/>
      <c r="G193" s="85"/>
      <c r="H193" s="85"/>
      <c r="I193" s="91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2.75" customHeight="1" spans="1:26">
      <c r="A194" s="85"/>
      <c r="B194" s="85"/>
      <c r="C194" s="85"/>
      <c r="D194" s="85"/>
      <c r="E194" s="85"/>
      <c r="F194" s="85"/>
      <c r="G194" s="85"/>
      <c r="H194" s="85"/>
      <c r="I194" s="91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2.75" customHeight="1" spans="1:26">
      <c r="A195" s="85"/>
      <c r="B195" s="85"/>
      <c r="C195" s="85"/>
      <c r="D195" s="85"/>
      <c r="E195" s="85"/>
      <c r="F195" s="85"/>
      <c r="G195" s="85"/>
      <c r="H195" s="85"/>
      <c r="I195" s="91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2.75" customHeight="1" spans="1:26">
      <c r="A196" s="85"/>
      <c r="B196" s="85"/>
      <c r="C196" s="85"/>
      <c r="D196" s="85"/>
      <c r="E196" s="85"/>
      <c r="F196" s="85"/>
      <c r="G196" s="85"/>
      <c r="H196" s="85"/>
      <c r="I196" s="91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2.75" customHeight="1" spans="1:26">
      <c r="A197" s="85"/>
      <c r="B197" s="85"/>
      <c r="C197" s="85"/>
      <c r="D197" s="85"/>
      <c r="E197" s="85"/>
      <c r="F197" s="85"/>
      <c r="G197" s="85"/>
      <c r="H197" s="85"/>
      <c r="I197" s="91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2.75" customHeight="1" spans="1:26">
      <c r="A198" s="85"/>
      <c r="B198" s="85"/>
      <c r="C198" s="85"/>
      <c r="D198" s="85"/>
      <c r="E198" s="85"/>
      <c r="F198" s="85"/>
      <c r="G198" s="85"/>
      <c r="H198" s="85"/>
      <c r="I198" s="91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2.75" customHeight="1" spans="1:26">
      <c r="A199" s="85"/>
      <c r="B199" s="85"/>
      <c r="C199" s="85"/>
      <c r="D199" s="85"/>
      <c r="E199" s="85"/>
      <c r="F199" s="85"/>
      <c r="G199" s="85"/>
      <c r="H199" s="85"/>
      <c r="I199" s="91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2.75" customHeight="1" spans="1:26">
      <c r="A200" s="85"/>
      <c r="B200" s="85"/>
      <c r="C200" s="85"/>
      <c r="D200" s="85"/>
      <c r="E200" s="85"/>
      <c r="F200" s="85"/>
      <c r="G200" s="85"/>
      <c r="H200" s="85"/>
      <c r="I200" s="91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2.75" customHeight="1" spans="1:26">
      <c r="A201" s="85"/>
      <c r="B201" s="85"/>
      <c r="C201" s="85"/>
      <c r="D201" s="85"/>
      <c r="E201" s="85"/>
      <c r="F201" s="85"/>
      <c r="G201" s="85"/>
      <c r="H201" s="85"/>
      <c r="I201" s="91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2.75" customHeight="1" spans="1:26">
      <c r="A202" s="85"/>
      <c r="B202" s="85"/>
      <c r="C202" s="85"/>
      <c r="D202" s="85"/>
      <c r="E202" s="85"/>
      <c r="F202" s="85"/>
      <c r="G202" s="85"/>
      <c r="H202" s="85"/>
      <c r="I202" s="91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2.75" customHeight="1" spans="1:26">
      <c r="A203" s="85"/>
      <c r="B203" s="85"/>
      <c r="C203" s="85"/>
      <c r="D203" s="85"/>
      <c r="E203" s="85"/>
      <c r="F203" s="85"/>
      <c r="G203" s="85"/>
      <c r="H203" s="85"/>
      <c r="I203" s="91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2.75" customHeight="1" spans="1:26">
      <c r="A204" s="85"/>
      <c r="B204" s="85"/>
      <c r="C204" s="85"/>
      <c r="D204" s="85"/>
      <c r="E204" s="85"/>
      <c r="F204" s="85"/>
      <c r="G204" s="85"/>
      <c r="H204" s="85"/>
      <c r="I204" s="91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2.75" customHeight="1" spans="1:26">
      <c r="A205" s="85"/>
      <c r="B205" s="85"/>
      <c r="C205" s="85"/>
      <c r="D205" s="85"/>
      <c r="E205" s="85"/>
      <c r="F205" s="85"/>
      <c r="G205" s="85"/>
      <c r="H205" s="85"/>
      <c r="I205" s="91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2.75" customHeight="1" spans="1:26">
      <c r="A206" s="85"/>
      <c r="B206" s="85"/>
      <c r="C206" s="85"/>
      <c r="D206" s="85"/>
      <c r="E206" s="85"/>
      <c r="F206" s="85"/>
      <c r="G206" s="85"/>
      <c r="H206" s="85"/>
      <c r="I206" s="91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2.75" customHeight="1" spans="1:26">
      <c r="A207" s="85"/>
      <c r="B207" s="85"/>
      <c r="C207" s="85"/>
      <c r="D207" s="85"/>
      <c r="E207" s="85"/>
      <c r="F207" s="85"/>
      <c r="G207" s="85"/>
      <c r="H207" s="85"/>
      <c r="I207" s="91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2.75" customHeight="1" spans="1:26">
      <c r="A208" s="85"/>
      <c r="B208" s="85"/>
      <c r="C208" s="85"/>
      <c r="D208" s="85"/>
      <c r="E208" s="85"/>
      <c r="F208" s="85"/>
      <c r="G208" s="85"/>
      <c r="H208" s="85"/>
      <c r="I208" s="91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2.75" customHeight="1" spans="1:26">
      <c r="A209" s="85"/>
      <c r="B209" s="85"/>
      <c r="C209" s="85"/>
      <c r="D209" s="85"/>
      <c r="E209" s="85"/>
      <c r="F209" s="85"/>
      <c r="G209" s="85"/>
      <c r="H209" s="85"/>
      <c r="I209" s="91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2.75" customHeight="1" spans="1:26">
      <c r="A210" s="85"/>
      <c r="B210" s="85"/>
      <c r="C210" s="85"/>
      <c r="D210" s="85"/>
      <c r="E210" s="85"/>
      <c r="F210" s="85"/>
      <c r="G210" s="85"/>
      <c r="H210" s="85"/>
      <c r="I210" s="91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2.75" customHeight="1" spans="1:26">
      <c r="A211" s="85"/>
      <c r="B211" s="85"/>
      <c r="C211" s="85"/>
      <c r="D211" s="85"/>
      <c r="E211" s="85"/>
      <c r="F211" s="85"/>
      <c r="G211" s="85"/>
      <c r="H211" s="85"/>
      <c r="I211" s="91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2.75" customHeight="1" spans="1:26">
      <c r="A212" s="85"/>
      <c r="B212" s="85"/>
      <c r="C212" s="85"/>
      <c r="D212" s="85"/>
      <c r="E212" s="85"/>
      <c r="F212" s="85"/>
      <c r="G212" s="85"/>
      <c r="H212" s="85"/>
      <c r="I212" s="91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2.75" customHeight="1" spans="1:26">
      <c r="A213" s="85"/>
      <c r="B213" s="85"/>
      <c r="C213" s="85"/>
      <c r="D213" s="85"/>
      <c r="E213" s="85"/>
      <c r="F213" s="85"/>
      <c r="G213" s="85"/>
      <c r="H213" s="85"/>
      <c r="I213" s="91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2.75" customHeight="1" spans="1:26">
      <c r="A214" s="85"/>
      <c r="B214" s="85"/>
      <c r="C214" s="85"/>
      <c r="D214" s="85"/>
      <c r="E214" s="85"/>
      <c r="F214" s="85"/>
      <c r="G214" s="85"/>
      <c r="H214" s="85"/>
      <c r="I214" s="91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2.75" customHeight="1" spans="1:26">
      <c r="A215" s="85"/>
      <c r="B215" s="85"/>
      <c r="C215" s="85"/>
      <c r="D215" s="85"/>
      <c r="E215" s="85"/>
      <c r="F215" s="85"/>
      <c r="G215" s="85"/>
      <c r="H215" s="85"/>
      <c r="I215" s="91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2.75" customHeight="1" spans="1:26">
      <c r="A216" s="85"/>
      <c r="B216" s="85"/>
      <c r="C216" s="85"/>
      <c r="D216" s="85"/>
      <c r="E216" s="85"/>
      <c r="F216" s="85"/>
      <c r="G216" s="85"/>
      <c r="H216" s="85"/>
      <c r="I216" s="91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2.75" customHeight="1" spans="1:26">
      <c r="A217" s="85"/>
      <c r="B217" s="85"/>
      <c r="C217" s="85"/>
      <c r="D217" s="85"/>
      <c r="E217" s="85"/>
      <c r="F217" s="85"/>
      <c r="G217" s="85"/>
      <c r="H217" s="85"/>
      <c r="I217" s="91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2.75" customHeight="1" spans="1:26">
      <c r="A218" s="85"/>
      <c r="B218" s="85"/>
      <c r="C218" s="85"/>
      <c r="D218" s="85"/>
      <c r="E218" s="85"/>
      <c r="F218" s="85"/>
      <c r="G218" s="85"/>
      <c r="H218" s="85"/>
      <c r="I218" s="91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2.75" customHeight="1" spans="1:26">
      <c r="A219" s="85"/>
      <c r="B219" s="85"/>
      <c r="C219" s="85"/>
      <c r="D219" s="85"/>
      <c r="E219" s="85"/>
      <c r="F219" s="85"/>
      <c r="G219" s="85"/>
      <c r="H219" s="85"/>
      <c r="I219" s="91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2.75" customHeight="1" spans="1:26">
      <c r="A220" s="85"/>
      <c r="B220" s="85"/>
      <c r="C220" s="85"/>
      <c r="D220" s="85"/>
      <c r="E220" s="85"/>
      <c r="F220" s="85"/>
      <c r="G220" s="85"/>
      <c r="H220" s="85"/>
      <c r="I220" s="91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2.75" customHeight="1" spans="1:26">
      <c r="A221" s="85"/>
      <c r="B221" s="85"/>
      <c r="C221" s="85"/>
      <c r="D221" s="85"/>
      <c r="E221" s="85"/>
      <c r="F221" s="85"/>
      <c r="G221" s="85"/>
      <c r="H221" s="85"/>
      <c r="I221" s="91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2.75" customHeight="1" spans="1:26">
      <c r="A222" s="85"/>
      <c r="B222" s="85"/>
      <c r="C222" s="85"/>
      <c r="D222" s="85"/>
      <c r="E222" s="85"/>
      <c r="F222" s="85"/>
      <c r="G222" s="85"/>
      <c r="H222" s="85"/>
      <c r="I222" s="91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2.75" customHeight="1" spans="1:26">
      <c r="A223" s="85"/>
      <c r="B223" s="85"/>
      <c r="C223" s="85"/>
      <c r="D223" s="85"/>
      <c r="E223" s="85"/>
      <c r="F223" s="85"/>
      <c r="G223" s="85"/>
      <c r="H223" s="85"/>
      <c r="I223" s="91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2.75" customHeight="1" spans="1:26">
      <c r="A224" s="85"/>
      <c r="B224" s="85"/>
      <c r="C224" s="85"/>
      <c r="D224" s="85"/>
      <c r="E224" s="85"/>
      <c r="F224" s="85"/>
      <c r="G224" s="85"/>
      <c r="H224" s="85"/>
      <c r="I224" s="91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2.75" customHeight="1" spans="1:26">
      <c r="A225" s="85"/>
      <c r="B225" s="85"/>
      <c r="C225" s="85"/>
      <c r="D225" s="85"/>
      <c r="E225" s="85"/>
      <c r="F225" s="85"/>
      <c r="G225" s="85"/>
      <c r="H225" s="85"/>
      <c r="I225" s="91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2.75" customHeight="1" spans="1:26">
      <c r="A226" s="85"/>
      <c r="B226" s="85"/>
      <c r="C226" s="85"/>
      <c r="D226" s="85"/>
      <c r="E226" s="85"/>
      <c r="F226" s="85"/>
      <c r="G226" s="85"/>
      <c r="H226" s="85"/>
      <c r="I226" s="91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2.75" customHeight="1" spans="1:26">
      <c r="A227" s="85"/>
      <c r="B227" s="85"/>
      <c r="C227" s="85"/>
      <c r="D227" s="85"/>
      <c r="E227" s="85"/>
      <c r="F227" s="85"/>
      <c r="G227" s="85"/>
      <c r="H227" s="85"/>
      <c r="I227" s="91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2.75" customHeight="1" spans="1:26">
      <c r="A228" s="85"/>
      <c r="B228" s="85"/>
      <c r="C228" s="85"/>
      <c r="D228" s="85"/>
      <c r="E228" s="85"/>
      <c r="F228" s="85"/>
      <c r="G228" s="85"/>
      <c r="H228" s="85"/>
      <c r="I228" s="91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2.75" customHeight="1" spans="1:26">
      <c r="A229" s="85"/>
      <c r="B229" s="85"/>
      <c r="C229" s="85"/>
      <c r="D229" s="85"/>
      <c r="E229" s="85"/>
      <c r="F229" s="85"/>
      <c r="G229" s="85"/>
      <c r="H229" s="85"/>
      <c r="I229" s="91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2.75" customHeight="1" spans="1:26">
      <c r="A230" s="85"/>
      <c r="B230" s="85"/>
      <c r="C230" s="85"/>
      <c r="D230" s="85"/>
      <c r="E230" s="85"/>
      <c r="F230" s="85"/>
      <c r="G230" s="85"/>
      <c r="H230" s="85"/>
      <c r="I230" s="91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2.75" customHeight="1" spans="1:26">
      <c r="A231" s="85"/>
      <c r="B231" s="85"/>
      <c r="C231" s="85"/>
      <c r="D231" s="85"/>
      <c r="E231" s="85"/>
      <c r="F231" s="85"/>
      <c r="G231" s="85"/>
      <c r="H231" s="85"/>
      <c r="I231" s="91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2.75" customHeight="1" spans="1:26">
      <c r="A232" s="85"/>
      <c r="B232" s="85"/>
      <c r="C232" s="85"/>
      <c r="D232" s="85"/>
      <c r="E232" s="85"/>
      <c r="F232" s="85"/>
      <c r="G232" s="85"/>
      <c r="H232" s="85"/>
      <c r="I232" s="91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2.75" customHeight="1" spans="1:26">
      <c r="A233" s="85"/>
      <c r="B233" s="85"/>
      <c r="C233" s="85"/>
      <c r="D233" s="85"/>
      <c r="E233" s="85"/>
      <c r="F233" s="85"/>
      <c r="G233" s="85"/>
      <c r="H233" s="85"/>
      <c r="I233" s="91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2.75" customHeight="1" spans="1:26">
      <c r="A234" s="85"/>
      <c r="B234" s="85"/>
      <c r="C234" s="85"/>
      <c r="D234" s="85"/>
      <c r="E234" s="85"/>
      <c r="F234" s="85"/>
      <c r="G234" s="85"/>
      <c r="H234" s="85"/>
      <c r="I234" s="91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2.75" customHeight="1" spans="1:26">
      <c r="A235" s="85"/>
      <c r="B235" s="85"/>
      <c r="C235" s="85"/>
      <c r="D235" s="85"/>
      <c r="E235" s="85"/>
      <c r="F235" s="85"/>
      <c r="G235" s="85"/>
      <c r="H235" s="85"/>
      <c r="I235" s="91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2.75" customHeight="1" spans="1:26">
      <c r="A236" s="85"/>
      <c r="B236" s="85"/>
      <c r="C236" s="85"/>
      <c r="D236" s="85"/>
      <c r="E236" s="85"/>
      <c r="F236" s="85"/>
      <c r="G236" s="85"/>
      <c r="H236" s="85"/>
      <c r="I236" s="91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2.75" customHeight="1" spans="1:26">
      <c r="A237" s="85"/>
      <c r="B237" s="85"/>
      <c r="C237" s="85"/>
      <c r="D237" s="85"/>
      <c r="E237" s="85"/>
      <c r="F237" s="85"/>
      <c r="G237" s="85"/>
      <c r="H237" s="85"/>
      <c r="I237" s="91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2.75" customHeight="1" spans="1:26">
      <c r="A238" s="85"/>
      <c r="B238" s="85"/>
      <c r="C238" s="85"/>
      <c r="D238" s="85"/>
      <c r="E238" s="85"/>
      <c r="F238" s="85"/>
      <c r="G238" s="85"/>
      <c r="H238" s="85"/>
      <c r="I238" s="91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2.75" customHeight="1" spans="1:26">
      <c r="A239" s="85"/>
      <c r="B239" s="85"/>
      <c r="C239" s="85"/>
      <c r="D239" s="85"/>
      <c r="E239" s="85"/>
      <c r="F239" s="85"/>
      <c r="G239" s="85"/>
      <c r="H239" s="85"/>
      <c r="I239" s="91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2.75" customHeight="1" spans="1:26">
      <c r="A240" s="85"/>
      <c r="B240" s="85"/>
      <c r="C240" s="85"/>
      <c r="D240" s="85"/>
      <c r="E240" s="85"/>
      <c r="F240" s="85"/>
      <c r="G240" s="85"/>
      <c r="H240" s="85"/>
      <c r="I240" s="91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2.75" customHeight="1" spans="1:26">
      <c r="A241" s="85"/>
      <c r="B241" s="85"/>
      <c r="C241" s="85"/>
      <c r="D241" s="85"/>
      <c r="E241" s="85"/>
      <c r="F241" s="85"/>
      <c r="G241" s="85"/>
      <c r="H241" s="85"/>
      <c r="I241" s="91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2.75" customHeight="1" spans="1:26">
      <c r="A242" s="85"/>
      <c r="B242" s="85"/>
      <c r="C242" s="85"/>
      <c r="D242" s="85"/>
      <c r="E242" s="85"/>
      <c r="F242" s="85"/>
      <c r="G242" s="85"/>
      <c r="H242" s="85"/>
      <c r="I242" s="91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2.75" customHeight="1" spans="1:26">
      <c r="A243" s="85"/>
      <c r="B243" s="85"/>
      <c r="C243" s="85"/>
      <c r="D243" s="85"/>
      <c r="E243" s="85"/>
      <c r="F243" s="85"/>
      <c r="G243" s="85"/>
      <c r="H243" s="85"/>
      <c r="I243" s="91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2.75" customHeight="1" spans="1:26">
      <c r="A244" s="85"/>
      <c r="B244" s="85"/>
      <c r="C244" s="85"/>
      <c r="D244" s="85"/>
      <c r="E244" s="85"/>
      <c r="F244" s="85"/>
      <c r="G244" s="85"/>
      <c r="H244" s="85"/>
      <c r="I244" s="91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2.75" customHeight="1" spans="1:26">
      <c r="A245" s="85"/>
      <c r="B245" s="85"/>
      <c r="C245" s="85"/>
      <c r="D245" s="85"/>
      <c r="E245" s="85"/>
      <c r="F245" s="85"/>
      <c r="G245" s="85"/>
      <c r="H245" s="85"/>
      <c r="I245" s="91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2.75" customHeight="1" spans="1:26">
      <c r="A246" s="85"/>
      <c r="B246" s="85"/>
      <c r="C246" s="85"/>
      <c r="D246" s="85"/>
      <c r="E246" s="85"/>
      <c r="F246" s="85"/>
      <c r="G246" s="85"/>
      <c r="H246" s="85"/>
      <c r="I246" s="91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2.75" customHeight="1" spans="1:26">
      <c r="A247" s="85"/>
      <c r="B247" s="85"/>
      <c r="C247" s="85"/>
      <c r="D247" s="85"/>
      <c r="E247" s="85"/>
      <c r="F247" s="85"/>
      <c r="G247" s="85"/>
      <c r="H247" s="85"/>
      <c r="I247" s="91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2.75" customHeight="1" spans="1:26">
      <c r="A248" s="85"/>
      <c r="B248" s="85"/>
      <c r="C248" s="85"/>
      <c r="D248" s="85"/>
      <c r="E248" s="85"/>
      <c r="F248" s="85"/>
      <c r="G248" s="85"/>
      <c r="H248" s="85"/>
      <c r="I248" s="91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2.75" customHeight="1" spans="1:26">
      <c r="A249" s="85"/>
      <c r="B249" s="85"/>
      <c r="C249" s="85"/>
      <c r="D249" s="85"/>
      <c r="E249" s="85"/>
      <c r="F249" s="85"/>
      <c r="G249" s="85"/>
      <c r="H249" s="85"/>
      <c r="I249" s="91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2.75" customHeight="1" spans="1:26">
      <c r="A250" s="85"/>
      <c r="B250" s="85"/>
      <c r="C250" s="85"/>
      <c r="D250" s="85"/>
      <c r="E250" s="85"/>
      <c r="F250" s="85"/>
      <c r="G250" s="85"/>
      <c r="H250" s="85"/>
      <c r="I250" s="91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2.75" customHeight="1" spans="1:26">
      <c r="A251" s="85"/>
      <c r="B251" s="85"/>
      <c r="C251" s="85"/>
      <c r="D251" s="85"/>
      <c r="E251" s="85"/>
      <c r="F251" s="85"/>
      <c r="G251" s="85"/>
      <c r="H251" s="85"/>
      <c r="I251" s="91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2.75" customHeight="1" spans="1:26">
      <c r="A252" s="85"/>
      <c r="B252" s="85"/>
      <c r="C252" s="85"/>
      <c r="D252" s="85"/>
      <c r="E252" s="85"/>
      <c r="F252" s="85"/>
      <c r="G252" s="85"/>
      <c r="H252" s="85"/>
      <c r="I252" s="91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2.75" customHeight="1" spans="1:26">
      <c r="A253" s="85"/>
      <c r="B253" s="85"/>
      <c r="C253" s="85"/>
      <c r="D253" s="85"/>
      <c r="E253" s="85"/>
      <c r="F253" s="85"/>
      <c r="G253" s="85"/>
      <c r="H253" s="85"/>
      <c r="I253" s="91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2.75" customHeight="1" spans="1:26">
      <c r="A254" s="85"/>
      <c r="B254" s="85"/>
      <c r="C254" s="85"/>
      <c r="D254" s="85"/>
      <c r="E254" s="85"/>
      <c r="F254" s="85"/>
      <c r="G254" s="85"/>
      <c r="H254" s="85"/>
      <c r="I254" s="91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2.75" customHeight="1" spans="1:26">
      <c r="A255" s="85"/>
      <c r="B255" s="85"/>
      <c r="C255" s="85"/>
      <c r="D255" s="85"/>
      <c r="E255" s="85"/>
      <c r="F255" s="85"/>
      <c r="G255" s="85"/>
      <c r="H255" s="85"/>
      <c r="I255" s="91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2.75" customHeight="1" spans="1:26">
      <c r="A256" s="85"/>
      <c r="B256" s="85"/>
      <c r="C256" s="85"/>
      <c r="D256" s="85"/>
      <c r="E256" s="85"/>
      <c r="F256" s="85"/>
      <c r="G256" s="85"/>
      <c r="H256" s="85"/>
      <c r="I256" s="91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2.75" customHeight="1" spans="1:26">
      <c r="A257" s="85"/>
      <c r="B257" s="85"/>
      <c r="C257" s="85"/>
      <c r="D257" s="85"/>
      <c r="E257" s="85"/>
      <c r="F257" s="85"/>
      <c r="G257" s="85"/>
      <c r="H257" s="85"/>
      <c r="I257" s="91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2.75" customHeight="1" spans="1:26">
      <c r="A258" s="85"/>
      <c r="B258" s="85"/>
      <c r="C258" s="85"/>
      <c r="D258" s="85"/>
      <c r="E258" s="85"/>
      <c r="F258" s="85"/>
      <c r="G258" s="85"/>
      <c r="H258" s="85"/>
      <c r="I258" s="91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2.75" customHeight="1" spans="1:26">
      <c r="A259" s="85"/>
      <c r="B259" s="85"/>
      <c r="C259" s="85"/>
      <c r="D259" s="85"/>
      <c r="E259" s="85"/>
      <c r="F259" s="85"/>
      <c r="G259" s="85"/>
      <c r="H259" s="85"/>
      <c r="I259" s="91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2.75" customHeight="1" spans="1:26">
      <c r="A260" s="85"/>
      <c r="B260" s="85"/>
      <c r="C260" s="85"/>
      <c r="D260" s="85"/>
      <c r="E260" s="85"/>
      <c r="F260" s="85"/>
      <c r="G260" s="85"/>
      <c r="H260" s="85"/>
      <c r="I260" s="91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2.75" customHeight="1" spans="1:26">
      <c r="A261" s="85"/>
      <c r="B261" s="85"/>
      <c r="C261" s="85"/>
      <c r="D261" s="85"/>
      <c r="E261" s="85"/>
      <c r="F261" s="85"/>
      <c r="G261" s="85"/>
      <c r="H261" s="85"/>
      <c r="I261" s="91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2.75" customHeight="1" spans="1:26">
      <c r="A262" s="85"/>
      <c r="B262" s="85"/>
      <c r="C262" s="85"/>
      <c r="D262" s="85"/>
      <c r="E262" s="85"/>
      <c r="F262" s="85"/>
      <c r="G262" s="85"/>
      <c r="H262" s="85"/>
      <c r="I262" s="91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2.75" customHeight="1" spans="1:26">
      <c r="A263" s="85"/>
      <c r="B263" s="85"/>
      <c r="C263" s="85"/>
      <c r="D263" s="85"/>
      <c r="E263" s="85"/>
      <c r="F263" s="85"/>
      <c r="G263" s="85"/>
      <c r="H263" s="85"/>
      <c r="I263" s="91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2.75" customHeight="1" spans="1:26">
      <c r="A264" s="85"/>
      <c r="B264" s="85"/>
      <c r="C264" s="85"/>
      <c r="D264" s="85"/>
      <c r="E264" s="85"/>
      <c r="F264" s="85"/>
      <c r="G264" s="85"/>
      <c r="H264" s="85"/>
      <c r="I264" s="91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2.75" customHeight="1" spans="1:26">
      <c r="A265" s="85"/>
      <c r="B265" s="85"/>
      <c r="C265" s="85"/>
      <c r="D265" s="85"/>
      <c r="E265" s="85"/>
      <c r="F265" s="85"/>
      <c r="G265" s="85"/>
      <c r="H265" s="85"/>
      <c r="I265" s="91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2.75" customHeight="1" spans="1:26">
      <c r="A266" s="85"/>
      <c r="B266" s="85"/>
      <c r="C266" s="85"/>
      <c r="D266" s="85"/>
      <c r="E266" s="85"/>
      <c r="F266" s="85"/>
      <c r="G266" s="85"/>
      <c r="H266" s="85"/>
      <c r="I266" s="91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2.75" customHeight="1" spans="1:26">
      <c r="A267" s="85"/>
      <c r="B267" s="85"/>
      <c r="C267" s="85"/>
      <c r="D267" s="85"/>
      <c r="E267" s="85"/>
      <c r="F267" s="85"/>
      <c r="G267" s="85"/>
      <c r="H267" s="85"/>
      <c r="I267" s="91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2.75" customHeight="1" spans="1:26">
      <c r="A268" s="85"/>
      <c r="B268" s="85"/>
      <c r="C268" s="85"/>
      <c r="D268" s="85"/>
      <c r="E268" s="85"/>
      <c r="F268" s="85"/>
      <c r="G268" s="85"/>
      <c r="H268" s="85"/>
      <c r="I268" s="91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2.75" customHeight="1" spans="1:26">
      <c r="A269" s="85"/>
      <c r="B269" s="85"/>
      <c r="C269" s="85"/>
      <c r="D269" s="85"/>
      <c r="E269" s="85"/>
      <c r="F269" s="85"/>
      <c r="G269" s="85"/>
      <c r="H269" s="85"/>
      <c r="I269" s="91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2.75" customHeight="1" spans="1:26">
      <c r="A270" s="85"/>
      <c r="B270" s="85"/>
      <c r="C270" s="85"/>
      <c r="D270" s="85"/>
      <c r="E270" s="85"/>
      <c r="F270" s="85"/>
      <c r="G270" s="85"/>
      <c r="H270" s="85"/>
      <c r="I270" s="91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2.75" customHeight="1" spans="1:26">
      <c r="A271" s="85"/>
      <c r="B271" s="85"/>
      <c r="C271" s="85"/>
      <c r="D271" s="85"/>
      <c r="E271" s="85"/>
      <c r="F271" s="85"/>
      <c r="G271" s="85"/>
      <c r="H271" s="85"/>
      <c r="I271" s="91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2.75" customHeight="1" spans="1:26">
      <c r="A272" s="85"/>
      <c r="B272" s="85"/>
      <c r="C272" s="85"/>
      <c r="D272" s="85"/>
      <c r="E272" s="85"/>
      <c r="F272" s="85"/>
      <c r="G272" s="85"/>
      <c r="H272" s="85"/>
      <c r="I272" s="91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2.75" customHeight="1" spans="1:26">
      <c r="A273" s="85"/>
      <c r="B273" s="85"/>
      <c r="C273" s="85"/>
      <c r="D273" s="85"/>
      <c r="E273" s="85"/>
      <c r="F273" s="85"/>
      <c r="G273" s="85"/>
      <c r="H273" s="85"/>
      <c r="I273" s="91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2.75" customHeight="1" spans="1:26">
      <c r="A274" s="85"/>
      <c r="B274" s="85"/>
      <c r="C274" s="85"/>
      <c r="D274" s="85"/>
      <c r="E274" s="85"/>
      <c r="F274" s="85"/>
      <c r="G274" s="85"/>
      <c r="H274" s="85"/>
      <c r="I274" s="91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2.75" customHeight="1" spans="1:26">
      <c r="A275" s="85"/>
      <c r="B275" s="85"/>
      <c r="C275" s="85"/>
      <c r="D275" s="85"/>
      <c r="E275" s="85"/>
      <c r="F275" s="85"/>
      <c r="G275" s="85"/>
      <c r="H275" s="85"/>
      <c r="I275" s="91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2.75" customHeight="1" spans="1:26">
      <c r="A276" s="85"/>
      <c r="B276" s="85"/>
      <c r="C276" s="85"/>
      <c r="D276" s="85"/>
      <c r="E276" s="85"/>
      <c r="F276" s="85"/>
      <c r="G276" s="85"/>
      <c r="H276" s="85"/>
      <c r="I276" s="91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2.75" customHeight="1" spans="1:26">
      <c r="A277" s="85"/>
      <c r="B277" s="85"/>
      <c r="C277" s="85"/>
      <c r="D277" s="85"/>
      <c r="E277" s="85"/>
      <c r="F277" s="85"/>
      <c r="G277" s="85"/>
      <c r="H277" s="85"/>
      <c r="I277" s="91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2.75" customHeight="1" spans="1:26">
      <c r="A278" s="85"/>
      <c r="B278" s="85"/>
      <c r="C278" s="85"/>
      <c r="D278" s="85"/>
      <c r="E278" s="85"/>
      <c r="F278" s="85"/>
      <c r="G278" s="85"/>
      <c r="H278" s="85"/>
      <c r="I278" s="91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2.75" customHeight="1" spans="1:26">
      <c r="A279" s="85"/>
      <c r="B279" s="85"/>
      <c r="C279" s="85"/>
      <c r="D279" s="85"/>
      <c r="E279" s="85"/>
      <c r="F279" s="85"/>
      <c r="G279" s="85"/>
      <c r="H279" s="85"/>
      <c r="I279" s="91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2.75" customHeight="1" spans="1:26">
      <c r="A280" s="85"/>
      <c r="B280" s="85"/>
      <c r="C280" s="85"/>
      <c r="D280" s="85"/>
      <c r="E280" s="85"/>
      <c r="F280" s="85"/>
      <c r="G280" s="85"/>
      <c r="H280" s="85"/>
      <c r="I280" s="91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2.75" customHeight="1" spans="1:26">
      <c r="A281" s="85"/>
      <c r="B281" s="85"/>
      <c r="C281" s="85"/>
      <c r="D281" s="85"/>
      <c r="E281" s="85"/>
      <c r="F281" s="85"/>
      <c r="G281" s="85"/>
      <c r="H281" s="85"/>
      <c r="I281" s="91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2.75" customHeight="1" spans="1:26">
      <c r="A282" s="85"/>
      <c r="B282" s="85"/>
      <c r="C282" s="85"/>
      <c r="D282" s="85"/>
      <c r="E282" s="85"/>
      <c r="F282" s="85"/>
      <c r="G282" s="85"/>
      <c r="H282" s="85"/>
      <c r="I282" s="91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2.75" customHeight="1" spans="1:26">
      <c r="A283" s="85"/>
      <c r="B283" s="85"/>
      <c r="C283" s="85"/>
      <c r="D283" s="85"/>
      <c r="E283" s="85"/>
      <c r="F283" s="85"/>
      <c r="G283" s="85"/>
      <c r="H283" s="85"/>
      <c r="I283" s="91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2.75" customHeight="1" spans="1:26">
      <c r="A284" s="85"/>
      <c r="B284" s="85"/>
      <c r="C284" s="85"/>
      <c r="D284" s="85"/>
      <c r="E284" s="85"/>
      <c r="F284" s="85"/>
      <c r="G284" s="85"/>
      <c r="H284" s="85"/>
      <c r="I284" s="91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2.75" customHeight="1" spans="1:26">
      <c r="A285" s="85"/>
      <c r="B285" s="85"/>
      <c r="C285" s="85"/>
      <c r="D285" s="85"/>
      <c r="E285" s="85"/>
      <c r="F285" s="85"/>
      <c r="G285" s="85"/>
      <c r="H285" s="85"/>
      <c r="I285" s="91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2.75" customHeight="1" spans="1:26">
      <c r="A286" s="85"/>
      <c r="B286" s="85"/>
      <c r="C286" s="85"/>
      <c r="D286" s="85"/>
      <c r="E286" s="85"/>
      <c r="F286" s="85"/>
      <c r="G286" s="85"/>
      <c r="H286" s="85"/>
      <c r="I286" s="91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2.75" customHeight="1" spans="1:26">
      <c r="A287" s="85"/>
      <c r="B287" s="85"/>
      <c r="C287" s="85"/>
      <c r="D287" s="85"/>
      <c r="E287" s="85"/>
      <c r="F287" s="85"/>
      <c r="G287" s="85"/>
      <c r="H287" s="85"/>
      <c r="I287" s="91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2.75" customHeight="1" spans="1:26">
      <c r="A288" s="85"/>
      <c r="B288" s="85"/>
      <c r="C288" s="85"/>
      <c r="D288" s="85"/>
      <c r="E288" s="85"/>
      <c r="F288" s="85"/>
      <c r="G288" s="85"/>
      <c r="H288" s="85"/>
      <c r="I288" s="91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2.75" customHeight="1" spans="1:26">
      <c r="A289" s="85"/>
      <c r="B289" s="85"/>
      <c r="C289" s="85"/>
      <c r="D289" s="85"/>
      <c r="E289" s="85"/>
      <c r="F289" s="85"/>
      <c r="G289" s="85"/>
      <c r="H289" s="85"/>
      <c r="I289" s="91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2.75" customHeight="1" spans="1:26">
      <c r="A290" s="85"/>
      <c r="B290" s="85"/>
      <c r="C290" s="85"/>
      <c r="D290" s="85"/>
      <c r="E290" s="85"/>
      <c r="F290" s="85"/>
      <c r="G290" s="85"/>
      <c r="H290" s="85"/>
      <c r="I290" s="91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2.75" customHeight="1" spans="1:26">
      <c r="A291" s="85"/>
      <c r="B291" s="85"/>
      <c r="C291" s="85"/>
      <c r="D291" s="85"/>
      <c r="E291" s="85"/>
      <c r="F291" s="85"/>
      <c r="G291" s="85"/>
      <c r="H291" s="85"/>
      <c r="I291" s="91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2.75" customHeight="1" spans="1:26">
      <c r="A292" s="85"/>
      <c r="B292" s="85"/>
      <c r="C292" s="85"/>
      <c r="D292" s="85"/>
      <c r="E292" s="85"/>
      <c r="F292" s="85"/>
      <c r="G292" s="85"/>
      <c r="H292" s="85"/>
      <c r="I292" s="91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2.75" customHeight="1" spans="1:26">
      <c r="A293" s="85"/>
      <c r="B293" s="85"/>
      <c r="C293" s="85"/>
      <c r="D293" s="85"/>
      <c r="E293" s="85"/>
      <c r="F293" s="85"/>
      <c r="G293" s="85"/>
      <c r="H293" s="85"/>
      <c r="I293" s="91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2.75" customHeight="1" spans="1:26">
      <c r="A294" s="85"/>
      <c r="B294" s="85"/>
      <c r="C294" s="85"/>
      <c r="D294" s="85"/>
      <c r="E294" s="85"/>
      <c r="F294" s="85"/>
      <c r="G294" s="85"/>
      <c r="H294" s="85"/>
      <c r="I294" s="91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2.75" customHeight="1" spans="1:26">
      <c r="A295" s="85"/>
      <c r="B295" s="85"/>
      <c r="C295" s="85"/>
      <c r="D295" s="85"/>
      <c r="E295" s="85"/>
      <c r="F295" s="85"/>
      <c r="G295" s="85"/>
      <c r="H295" s="85"/>
      <c r="I295" s="91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2.75" customHeight="1" spans="1:26">
      <c r="A296" s="85"/>
      <c r="B296" s="85"/>
      <c r="C296" s="85"/>
      <c r="D296" s="85"/>
      <c r="E296" s="85"/>
      <c r="F296" s="85"/>
      <c r="G296" s="85"/>
      <c r="H296" s="85"/>
      <c r="I296" s="91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2.75" customHeight="1" spans="1:26">
      <c r="A297" s="85"/>
      <c r="B297" s="85"/>
      <c r="C297" s="85"/>
      <c r="D297" s="85"/>
      <c r="E297" s="85"/>
      <c r="F297" s="85"/>
      <c r="G297" s="85"/>
      <c r="H297" s="85"/>
      <c r="I297" s="91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2.75" customHeight="1" spans="1:26">
      <c r="A298" s="85"/>
      <c r="B298" s="85"/>
      <c r="C298" s="85"/>
      <c r="D298" s="85"/>
      <c r="E298" s="85"/>
      <c r="F298" s="85"/>
      <c r="G298" s="85"/>
      <c r="H298" s="85"/>
      <c r="I298" s="91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2.75" customHeight="1" spans="1:26">
      <c r="A299" s="85"/>
      <c r="B299" s="85"/>
      <c r="C299" s="85"/>
      <c r="D299" s="85"/>
      <c r="E299" s="85"/>
      <c r="F299" s="85"/>
      <c r="G299" s="85"/>
      <c r="H299" s="85"/>
      <c r="I299" s="91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2.75" customHeight="1" spans="1:26">
      <c r="A300" s="85"/>
      <c r="B300" s="85"/>
      <c r="C300" s="85"/>
      <c r="D300" s="85"/>
      <c r="E300" s="85"/>
      <c r="F300" s="85"/>
      <c r="G300" s="85"/>
      <c r="H300" s="85"/>
      <c r="I300" s="91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2.75" customHeight="1" spans="1:26">
      <c r="A301" s="85"/>
      <c r="B301" s="85"/>
      <c r="C301" s="85"/>
      <c r="D301" s="85"/>
      <c r="E301" s="85"/>
      <c r="F301" s="85"/>
      <c r="G301" s="85"/>
      <c r="H301" s="85"/>
      <c r="I301" s="91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2.75" customHeight="1" spans="1:26">
      <c r="A302" s="85"/>
      <c r="B302" s="85"/>
      <c r="C302" s="85"/>
      <c r="D302" s="85"/>
      <c r="E302" s="85"/>
      <c r="F302" s="85"/>
      <c r="G302" s="85"/>
      <c r="H302" s="85"/>
      <c r="I302" s="91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2.75" customHeight="1" spans="1:26">
      <c r="A303" s="85"/>
      <c r="B303" s="85"/>
      <c r="C303" s="85"/>
      <c r="D303" s="85"/>
      <c r="E303" s="85"/>
      <c r="F303" s="85"/>
      <c r="G303" s="85"/>
      <c r="H303" s="85"/>
      <c r="I303" s="91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2.75" customHeight="1" spans="1:26">
      <c r="A304" s="85"/>
      <c r="B304" s="85"/>
      <c r="C304" s="85"/>
      <c r="D304" s="85"/>
      <c r="E304" s="85"/>
      <c r="F304" s="85"/>
      <c r="G304" s="85"/>
      <c r="H304" s="85"/>
      <c r="I304" s="91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2.75" customHeight="1" spans="1:26">
      <c r="A305" s="85"/>
      <c r="B305" s="85"/>
      <c r="C305" s="85"/>
      <c r="D305" s="85"/>
      <c r="E305" s="85"/>
      <c r="F305" s="85"/>
      <c r="G305" s="85"/>
      <c r="H305" s="85"/>
      <c r="I305" s="91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2.75" customHeight="1" spans="1:26">
      <c r="A306" s="85"/>
      <c r="B306" s="85"/>
      <c r="C306" s="85"/>
      <c r="D306" s="85"/>
      <c r="E306" s="85"/>
      <c r="F306" s="85"/>
      <c r="G306" s="85"/>
      <c r="H306" s="85"/>
      <c r="I306" s="91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2.75" customHeight="1" spans="1:26">
      <c r="A307" s="85"/>
      <c r="B307" s="85"/>
      <c r="C307" s="85"/>
      <c r="D307" s="85"/>
      <c r="E307" s="85"/>
      <c r="F307" s="85"/>
      <c r="G307" s="85"/>
      <c r="H307" s="85"/>
      <c r="I307" s="91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2.75" customHeight="1" spans="1:26">
      <c r="A308" s="85"/>
      <c r="B308" s="85"/>
      <c r="C308" s="85"/>
      <c r="D308" s="85"/>
      <c r="E308" s="85"/>
      <c r="F308" s="85"/>
      <c r="G308" s="85"/>
      <c r="H308" s="85"/>
      <c r="I308" s="91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2.75" customHeight="1" spans="1:26">
      <c r="A309" s="85"/>
      <c r="B309" s="85"/>
      <c r="C309" s="85"/>
      <c r="D309" s="85"/>
      <c r="E309" s="85"/>
      <c r="F309" s="85"/>
      <c r="G309" s="85"/>
      <c r="H309" s="85"/>
      <c r="I309" s="91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2.75" customHeight="1" spans="1:26">
      <c r="A310" s="85"/>
      <c r="B310" s="85"/>
      <c r="C310" s="85"/>
      <c r="D310" s="85"/>
      <c r="E310" s="85"/>
      <c r="F310" s="85"/>
      <c r="G310" s="85"/>
      <c r="H310" s="85"/>
      <c r="I310" s="91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2.75" customHeight="1" spans="1:26">
      <c r="A311" s="85"/>
      <c r="B311" s="85"/>
      <c r="C311" s="85"/>
      <c r="D311" s="85"/>
      <c r="E311" s="85"/>
      <c r="F311" s="85"/>
      <c r="G311" s="85"/>
      <c r="H311" s="85"/>
      <c r="I311" s="91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2.75" customHeight="1" spans="1:26">
      <c r="A312" s="85"/>
      <c r="B312" s="85"/>
      <c r="C312" s="85"/>
      <c r="D312" s="85"/>
      <c r="E312" s="85"/>
      <c r="F312" s="85"/>
      <c r="G312" s="85"/>
      <c r="H312" s="85"/>
      <c r="I312" s="91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2.75" customHeight="1" spans="1:26">
      <c r="A313" s="85"/>
      <c r="B313" s="85"/>
      <c r="C313" s="85"/>
      <c r="D313" s="85"/>
      <c r="E313" s="85"/>
      <c r="F313" s="85"/>
      <c r="G313" s="85"/>
      <c r="H313" s="85"/>
      <c r="I313" s="91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2.75" customHeight="1" spans="1:26">
      <c r="A314" s="85"/>
      <c r="B314" s="85"/>
      <c r="C314" s="85"/>
      <c r="D314" s="85"/>
      <c r="E314" s="85"/>
      <c r="F314" s="85"/>
      <c r="G314" s="85"/>
      <c r="H314" s="85"/>
      <c r="I314" s="91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2.75" customHeight="1" spans="1:26">
      <c r="A315" s="85"/>
      <c r="B315" s="85"/>
      <c r="C315" s="85"/>
      <c r="D315" s="85"/>
      <c r="E315" s="85"/>
      <c r="F315" s="85"/>
      <c r="G315" s="85"/>
      <c r="H315" s="85"/>
      <c r="I315" s="91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2.75" customHeight="1" spans="1:26">
      <c r="A316" s="85"/>
      <c r="B316" s="85"/>
      <c r="C316" s="85"/>
      <c r="D316" s="85"/>
      <c r="E316" s="85"/>
      <c r="F316" s="85"/>
      <c r="G316" s="85"/>
      <c r="H316" s="85"/>
      <c r="I316" s="91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2.75" customHeight="1" spans="1:26">
      <c r="A317" s="85"/>
      <c r="B317" s="85"/>
      <c r="C317" s="85"/>
      <c r="D317" s="85"/>
      <c r="E317" s="85"/>
      <c r="F317" s="85"/>
      <c r="G317" s="85"/>
      <c r="H317" s="85"/>
      <c r="I317" s="91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2.75" customHeight="1" spans="1:26">
      <c r="A318" s="85"/>
      <c r="B318" s="85"/>
      <c r="C318" s="85"/>
      <c r="D318" s="85"/>
      <c r="E318" s="85"/>
      <c r="F318" s="85"/>
      <c r="G318" s="85"/>
      <c r="H318" s="85"/>
      <c r="I318" s="91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2.75" customHeight="1" spans="1:26">
      <c r="A319" s="85"/>
      <c r="B319" s="85"/>
      <c r="C319" s="85"/>
      <c r="D319" s="85"/>
      <c r="E319" s="85"/>
      <c r="F319" s="85"/>
      <c r="G319" s="85"/>
      <c r="H319" s="85"/>
      <c r="I319" s="91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2.75" customHeight="1" spans="1:26">
      <c r="A320" s="85"/>
      <c r="B320" s="85"/>
      <c r="C320" s="85"/>
      <c r="D320" s="85"/>
      <c r="E320" s="85"/>
      <c r="F320" s="85"/>
      <c r="G320" s="85"/>
      <c r="H320" s="85"/>
      <c r="I320" s="91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2.75" customHeight="1" spans="1:26">
      <c r="A321" s="85"/>
      <c r="B321" s="85"/>
      <c r="C321" s="85"/>
      <c r="D321" s="85"/>
      <c r="E321" s="85"/>
      <c r="F321" s="85"/>
      <c r="G321" s="85"/>
      <c r="H321" s="85"/>
      <c r="I321" s="91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2.75" customHeight="1" spans="1:26">
      <c r="A322" s="85"/>
      <c r="B322" s="85"/>
      <c r="C322" s="85"/>
      <c r="D322" s="85"/>
      <c r="E322" s="85"/>
      <c r="F322" s="85"/>
      <c r="G322" s="85"/>
      <c r="H322" s="85"/>
      <c r="I322" s="91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2.75" customHeight="1" spans="1:26">
      <c r="A323" s="85"/>
      <c r="B323" s="85"/>
      <c r="C323" s="85"/>
      <c r="D323" s="85"/>
      <c r="E323" s="85"/>
      <c r="F323" s="85"/>
      <c r="G323" s="85"/>
      <c r="H323" s="85"/>
      <c r="I323" s="91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2.75" customHeight="1" spans="1:26">
      <c r="A324" s="85"/>
      <c r="B324" s="85"/>
      <c r="C324" s="85"/>
      <c r="D324" s="85"/>
      <c r="E324" s="85"/>
      <c r="F324" s="85"/>
      <c r="G324" s="85"/>
      <c r="H324" s="85"/>
      <c r="I324" s="91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2.75" customHeight="1" spans="1:26">
      <c r="A325" s="85"/>
      <c r="B325" s="85"/>
      <c r="C325" s="85"/>
      <c r="D325" s="85"/>
      <c r="E325" s="85"/>
      <c r="F325" s="85"/>
      <c r="G325" s="85"/>
      <c r="H325" s="85"/>
      <c r="I325" s="91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2.75" customHeight="1" spans="1:26">
      <c r="A326" s="85"/>
      <c r="B326" s="85"/>
      <c r="C326" s="85"/>
      <c r="D326" s="85"/>
      <c r="E326" s="85"/>
      <c r="F326" s="85"/>
      <c r="G326" s="85"/>
      <c r="H326" s="85"/>
      <c r="I326" s="91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2.75" customHeight="1" spans="1:26">
      <c r="A327" s="85"/>
      <c r="B327" s="85"/>
      <c r="C327" s="85"/>
      <c r="D327" s="85"/>
      <c r="E327" s="85"/>
      <c r="F327" s="85"/>
      <c r="G327" s="85"/>
      <c r="H327" s="85"/>
      <c r="I327" s="91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2.75" customHeight="1" spans="1:26">
      <c r="A328" s="85"/>
      <c r="B328" s="85"/>
      <c r="C328" s="85"/>
      <c r="D328" s="85"/>
      <c r="E328" s="85"/>
      <c r="F328" s="85"/>
      <c r="G328" s="85"/>
      <c r="H328" s="85"/>
      <c r="I328" s="91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2.75" customHeight="1" spans="1:26">
      <c r="A329" s="85"/>
      <c r="B329" s="85"/>
      <c r="C329" s="85"/>
      <c r="D329" s="85"/>
      <c r="E329" s="85"/>
      <c r="F329" s="85"/>
      <c r="G329" s="85"/>
      <c r="H329" s="85"/>
      <c r="I329" s="91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2.75" customHeight="1" spans="1:26">
      <c r="A330" s="85"/>
      <c r="B330" s="85"/>
      <c r="C330" s="85"/>
      <c r="D330" s="85"/>
      <c r="E330" s="85"/>
      <c r="F330" s="85"/>
      <c r="G330" s="85"/>
      <c r="H330" s="85"/>
      <c r="I330" s="91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2.75" customHeight="1" spans="1:26">
      <c r="A331" s="85"/>
      <c r="B331" s="85"/>
      <c r="C331" s="85"/>
      <c r="D331" s="85"/>
      <c r="E331" s="85"/>
      <c r="F331" s="85"/>
      <c r="G331" s="85"/>
      <c r="H331" s="85"/>
      <c r="I331" s="91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2.75" customHeight="1" spans="1:26">
      <c r="A332" s="85"/>
      <c r="B332" s="85"/>
      <c r="C332" s="85"/>
      <c r="D332" s="85"/>
      <c r="E332" s="85"/>
      <c r="F332" s="85"/>
      <c r="G332" s="85"/>
      <c r="H332" s="85"/>
      <c r="I332" s="91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2.75" customHeight="1" spans="1:26">
      <c r="A333" s="85"/>
      <c r="B333" s="85"/>
      <c r="C333" s="85"/>
      <c r="D333" s="85"/>
      <c r="E333" s="85"/>
      <c r="F333" s="85"/>
      <c r="G333" s="85"/>
      <c r="H333" s="85"/>
      <c r="I333" s="91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2.75" customHeight="1" spans="1:26">
      <c r="A334" s="85"/>
      <c r="B334" s="85"/>
      <c r="C334" s="85"/>
      <c r="D334" s="85"/>
      <c r="E334" s="85"/>
      <c r="F334" s="85"/>
      <c r="G334" s="85"/>
      <c r="H334" s="85"/>
      <c r="I334" s="91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2.75" customHeight="1" spans="1:26">
      <c r="A335" s="85"/>
      <c r="B335" s="85"/>
      <c r="C335" s="85"/>
      <c r="D335" s="85"/>
      <c r="E335" s="85"/>
      <c r="F335" s="85"/>
      <c r="G335" s="85"/>
      <c r="H335" s="85"/>
      <c r="I335" s="91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2.75" customHeight="1" spans="1:26">
      <c r="A336" s="85"/>
      <c r="B336" s="85"/>
      <c r="C336" s="85"/>
      <c r="D336" s="85"/>
      <c r="E336" s="85"/>
      <c r="F336" s="85"/>
      <c r="G336" s="85"/>
      <c r="H336" s="85"/>
      <c r="I336" s="91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2.75" customHeight="1" spans="1:26">
      <c r="A337" s="85"/>
      <c r="B337" s="85"/>
      <c r="C337" s="85"/>
      <c r="D337" s="85"/>
      <c r="E337" s="85"/>
      <c r="F337" s="85"/>
      <c r="G337" s="85"/>
      <c r="H337" s="85"/>
      <c r="I337" s="91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2.75" customHeight="1" spans="1:26">
      <c r="A338" s="85"/>
      <c r="B338" s="85"/>
      <c r="C338" s="85"/>
      <c r="D338" s="85"/>
      <c r="E338" s="85"/>
      <c r="F338" s="85"/>
      <c r="G338" s="85"/>
      <c r="H338" s="85"/>
      <c r="I338" s="91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2.75" customHeight="1" spans="1:26">
      <c r="A339" s="85"/>
      <c r="B339" s="85"/>
      <c r="C339" s="85"/>
      <c r="D339" s="85"/>
      <c r="E339" s="85"/>
      <c r="F339" s="85"/>
      <c r="G339" s="85"/>
      <c r="H339" s="85"/>
      <c r="I339" s="91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2.75" customHeight="1" spans="1:26">
      <c r="A340" s="85"/>
      <c r="B340" s="85"/>
      <c r="C340" s="85"/>
      <c r="D340" s="85"/>
      <c r="E340" s="85"/>
      <c r="F340" s="85"/>
      <c r="G340" s="85"/>
      <c r="H340" s="85"/>
      <c r="I340" s="91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2.75" customHeight="1" spans="1:26">
      <c r="A341" s="85"/>
      <c r="B341" s="85"/>
      <c r="C341" s="85"/>
      <c r="D341" s="85"/>
      <c r="E341" s="85"/>
      <c r="F341" s="85"/>
      <c r="G341" s="85"/>
      <c r="H341" s="85"/>
      <c r="I341" s="91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2.75" customHeight="1" spans="1:26">
      <c r="A342" s="85"/>
      <c r="B342" s="85"/>
      <c r="C342" s="85"/>
      <c r="D342" s="85"/>
      <c r="E342" s="85"/>
      <c r="F342" s="85"/>
      <c r="G342" s="85"/>
      <c r="H342" s="85"/>
      <c r="I342" s="91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2.75" customHeight="1" spans="1:26">
      <c r="A343" s="85"/>
      <c r="B343" s="85"/>
      <c r="C343" s="85"/>
      <c r="D343" s="85"/>
      <c r="E343" s="85"/>
      <c r="F343" s="85"/>
      <c r="G343" s="85"/>
      <c r="H343" s="85"/>
      <c r="I343" s="91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2.75" customHeight="1" spans="1:26">
      <c r="A344" s="85"/>
      <c r="B344" s="85"/>
      <c r="C344" s="85"/>
      <c r="D344" s="85"/>
      <c r="E344" s="85"/>
      <c r="F344" s="85"/>
      <c r="G344" s="85"/>
      <c r="H344" s="85"/>
      <c r="I344" s="91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2.75" customHeight="1" spans="1:26">
      <c r="A345" s="85"/>
      <c r="B345" s="85"/>
      <c r="C345" s="85"/>
      <c r="D345" s="85"/>
      <c r="E345" s="85"/>
      <c r="F345" s="85"/>
      <c r="G345" s="85"/>
      <c r="H345" s="85"/>
      <c r="I345" s="91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2.75" customHeight="1" spans="1:26">
      <c r="A346" s="85"/>
      <c r="B346" s="85"/>
      <c r="C346" s="85"/>
      <c r="D346" s="85"/>
      <c r="E346" s="85"/>
      <c r="F346" s="85"/>
      <c r="G346" s="85"/>
      <c r="H346" s="85"/>
      <c r="I346" s="91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2.75" customHeight="1" spans="1:26">
      <c r="A347" s="85"/>
      <c r="B347" s="85"/>
      <c r="C347" s="85"/>
      <c r="D347" s="85"/>
      <c r="E347" s="85"/>
      <c r="F347" s="85"/>
      <c r="G347" s="85"/>
      <c r="H347" s="85"/>
      <c r="I347" s="91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2.75" customHeight="1" spans="1:26">
      <c r="A348" s="85"/>
      <c r="B348" s="85"/>
      <c r="C348" s="85"/>
      <c r="D348" s="85"/>
      <c r="E348" s="85"/>
      <c r="F348" s="85"/>
      <c r="G348" s="85"/>
      <c r="H348" s="85"/>
      <c r="I348" s="91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2.75" customHeight="1" spans="1:26">
      <c r="A349" s="85"/>
      <c r="B349" s="85"/>
      <c r="C349" s="85"/>
      <c r="D349" s="85"/>
      <c r="E349" s="85"/>
      <c r="F349" s="85"/>
      <c r="G349" s="85"/>
      <c r="H349" s="85"/>
      <c r="I349" s="91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2.75" customHeight="1" spans="1:26">
      <c r="A350" s="85"/>
      <c r="B350" s="85"/>
      <c r="C350" s="85"/>
      <c r="D350" s="85"/>
      <c r="E350" s="85"/>
      <c r="F350" s="85"/>
      <c r="G350" s="85"/>
      <c r="H350" s="85"/>
      <c r="I350" s="91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2.75" customHeight="1" spans="1:26">
      <c r="A351" s="85"/>
      <c r="B351" s="85"/>
      <c r="C351" s="85"/>
      <c r="D351" s="85"/>
      <c r="E351" s="85"/>
      <c r="F351" s="85"/>
      <c r="G351" s="85"/>
      <c r="H351" s="85"/>
      <c r="I351" s="91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2.75" customHeight="1" spans="1:26">
      <c r="A352" s="85"/>
      <c r="B352" s="85"/>
      <c r="C352" s="85"/>
      <c r="D352" s="85"/>
      <c r="E352" s="85"/>
      <c r="F352" s="85"/>
      <c r="G352" s="85"/>
      <c r="H352" s="85"/>
      <c r="I352" s="91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2.75" customHeight="1" spans="1:26">
      <c r="A353" s="85"/>
      <c r="B353" s="85"/>
      <c r="C353" s="85"/>
      <c r="D353" s="85"/>
      <c r="E353" s="85"/>
      <c r="F353" s="85"/>
      <c r="G353" s="85"/>
      <c r="H353" s="85"/>
      <c r="I353" s="91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2.75" customHeight="1" spans="1:26">
      <c r="A354" s="85"/>
      <c r="B354" s="85"/>
      <c r="C354" s="85"/>
      <c r="D354" s="85"/>
      <c r="E354" s="85"/>
      <c r="F354" s="85"/>
      <c r="G354" s="85"/>
      <c r="H354" s="85"/>
      <c r="I354" s="91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2.75" customHeight="1" spans="1:26">
      <c r="A355" s="85"/>
      <c r="B355" s="85"/>
      <c r="C355" s="85"/>
      <c r="D355" s="85"/>
      <c r="E355" s="85"/>
      <c r="F355" s="85"/>
      <c r="G355" s="85"/>
      <c r="H355" s="85"/>
      <c r="I355" s="91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2.75" customHeight="1" spans="1:26">
      <c r="A356" s="85"/>
      <c r="B356" s="85"/>
      <c r="C356" s="85"/>
      <c r="D356" s="85"/>
      <c r="E356" s="85"/>
      <c r="F356" s="85"/>
      <c r="G356" s="85"/>
      <c r="H356" s="85"/>
      <c r="I356" s="91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2.75" customHeight="1" spans="1:26">
      <c r="A357" s="85"/>
      <c r="B357" s="85"/>
      <c r="C357" s="85"/>
      <c r="D357" s="85"/>
      <c r="E357" s="85"/>
      <c r="F357" s="85"/>
      <c r="G357" s="85"/>
      <c r="H357" s="85"/>
      <c r="I357" s="91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2.75" customHeight="1" spans="1:26">
      <c r="A358" s="85"/>
      <c r="B358" s="85"/>
      <c r="C358" s="85"/>
      <c r="D358" s="85"/>
      <c r="E358" s="85"/>
      <c r="F358" s="85"/>
      <c r="G358" s="85"/>
      <c r="H358" s="85"/>
      <c r="I358" s="91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2.75" customHeight="1" spans="1:26">
      <c r="A359" s="85"/>
      <c r="B359" s="85"/>
      <c r="C359" s="85"/>
      <c r="D359" s="85"/>
      <c r="E359" s="85"/>
      <c r="F359" s="85"/>
      <c r="G359" s="85"/>
      <c r="H359" s="85"/>
      <c r="I359" s="91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2.75" customHeight="1" spans="1:26">
      <c r="A360" s="85"/>
      <c r="B360" s="85"/>
      <c r="C360" s="85"/>
      <c r="D360" s="85"/>
      <c r="E360" s="85"/>
      <c r="F360" s="85"/>
      <c r="G360" s="85"/>
      <c r="H360" s="85"/>
      <c r="I360" s="91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2.75" customHeight="1" spans="1:26">
      <c r="A361" s="85"/>
      <c r="B361" s="85"/>
      <c r="C361" s="85"/>
      <c r="D361" s="85"/>
      <c r="E361" s="85"/>
      <c r="F361" s="85"/>
      <c r="G361" s="85"/>
      <c r="H361" s="85"/>
      <c r="I361" s="91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2.75" customHeight="1" spans="1:26">
      <c r="A362" s="85"/>
      <c r="B362" s="85"/>
      <c r="C362" s="85"/>
      <c r="D362" s="85"/>
      <c r="E362" s="85"/>
      <c r="F362" s="85"/>
      <c r="G362" s="85"/>
      <c r="H362" s="85"/>
      <c r="I362" s="91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2.75" customHeight="1" spans="1:26">
      <c r="A363" s="85"/>
      <c r="B363" s="85"/>
      <c r="C363" s="85"/>
      <c r="D363" s="85"/>
      <c r="E363" s="85"/>
      <c r="F363" s="85"/>
      <c r="G363" s="85"/>
      <c r="H363" s="85"/>
      <c r="I363" s="91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2.75" customHeight="1" spans="1:26">
      <c r="A364" s="85"/>
      <c r="B364" s="85"/>
      <c r="C364" s="85"/>
      <c r="D364" s="85"/>
      <c r="E364" s="85"/>
      <c r="F364" s="85"/>
      <c r="G364" s="85"/>
      <c r="H364" s="85"/>
      <c r="I364" s="91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2.75" customHeight="1" spans="1:26">
      <c r="A365" s="85"/>
      <c r="B365" s="85"/>
      <c r="C365" s="85"/>
      <c r="D365" s="85"/>
      <c r="E365" s="85"/>
      <c r="F365" s="85"/>
      <c r="G365" s="85"/>
      <c r="H365" s="85"/>
      <c r="I365" s="91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2.75" customHeight="1" spans="1:26">
      <c r="A366" s="85"/>
      <c r="B366" s="85"/>
      <c r="C366" s="85"/>
      <c r="D366" s="85"/>
      <c r="E366" s="85"/>
      <c r="F366" s="85"/>
      <c r="G366" s="85"/>
      <c r="H366" s="85"/>
      <c r="I366" s="91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2.75" customHeight="1" spans="1:26">
      <c r="A367" s="85"/>
      <c r="B367" s="85"/>
      <c r="C367" s="85"/>
      <c r="D367" s="85"/>
      <c r="E367" s="85"/>
      <c r="F367" s="85"/>
      <c r="G367" s="85"/>
      <c r="H367" s="85"/>
      <c r="I367" s="91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2.75" customHeight="1" spans="1:26">
      <c r="A368" s="85"/>
      <c r="B368" s="85"/>
      <c r="C368" s="85"/>
      <c r="D368" s="85"/>
      <c r="E368" s="85"/>
      <c r="F368" s="85"/>
      <c r="G368" s="85"/>
      <c r="H368" s="85"/>
      <c r="I368" s="91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2.75" customHeight="1" spans="1:26">
      <c r="A369" s="85"/>
      <c r="B369" s="85"/>
      <c r="C369" s="85"/>
      <c r="D369" s="85"/>
      <c r="E369" s="85"/>
      <c r="F369" s="85"/>
      <c r="G369" s="85"/>
      <c r="H369" s="85"/>
      <c r="I369" s="91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2.75" customHeight="1" spans="1:26">
      <c r="A370" s="85"/>
      <c r="B370" s="85"/>
      <c r="C370" s="85"/>
      <c r="D370" s="85"/>
      <c r="E370" s="85"/>
      <c r="F370" s="85"/>
      <c r="G370" s="85"/>
      <c r="H370" s="85"/>
      <c r="I370" s="91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2.75" customHeight="1" spans="1:26">
      <c r="A371" s="85"/>
      <c r="B371" s="85"/>
      <c r="C371" s="85"/>
      <c r="D371" s="85"/>
      <c r="E371" s="85"/>
      <c r="F371" s="85"/>
      <c r="G371" s="85"/>
      <c r="H371" s="85"/>
      <c r="I371" s="91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2.75" customHeight="1" spans="1:26">
      <c r="A372" s="85"/>
      <c r="B372" s="85"/>
      <c r="C372" s="85"/>
      <c r="D372" s="85"/>
      <c r="E372" s="85"/>
      <c r="F372" s="85"/>
      <c r="G372" s="85"/>
      <c r="H372" s="85"/>
      <c r="I372" s="91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2.75" customHeight="1" spans="1:26">
      <c r="A373" s="85"/>
      <c r="B373" s="85"/>
      <c r="C373" s="85"/>
      <c r="D373" s="85"/>
      <c r="E373" s="85"/>
      <c r="F373" s="85"/>
      <c r="G373" s="85"/>
      <c r="H373" s="85"/>
      <c r="I373" s="91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2.75" customHeight="1" spans="1:26">
      <c r="A374" s="85"/>
      <c r="B374" s="85"/>
      <c r="C374" s="85"/>
      <c r="D374" s="85"/>
      <c r="E374" s="85"/>
      <c r="F374" s="85"/>
      <c r="G374" s="85"/>
      <c r="H374" s="85"/>
      <c r="I374" s="91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2.75" customHeight="1" spans="1:26">
      <c r="A375" s="85"/>
      <c r="B375" s="85"/>
      <c r="C375" s="85"/>
      <c r="D375" s="85"/>
      <c r="E375" s="85"/>
      <c r="F375" s="85"/>
      <c r="G375" s="85"/>
      <c r="H375" s="85"/>
      <c r="I375" s="91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2.75" customHeight="1" spans="1:26">
      <c r="A376" s="85"/>
      <c r="B376" s="85"/>
      <c r="C376" s="85"/>
      <c r="D376" s="85"/>
      <c r="E376" s="85"/>
      <c r="F376" s="85"/>
      <c r="G376" s="85"/>
      <c r="H376" s="85"/>
      <c r="I376" s="91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2.75" customHeight="1" spans="1:26">
      <c r="A377" s="85"/>
      <c r="B377" s="85"/>
      <c r="C377" s="85"/>
      <c r="D377" s="85"/>
      <c r="E377" s="85"/>
      <c r="F377" s="85"/>
      <c r="G377" s="85"/>
      <c r="H377" s="85"/>
      <c r="I377" s="91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2.75" customHeight="1" spans="1:26">
      <c r="A378" s="85"/>
      <c r="B378" s="85"/>
      <c r="C378" s="85"/>
      <c r="D378" s="85"/>
      <c r="E378" s="85"/>
      <c r="F378" s="85"/>
      <c r="G378" s="85"/>
      <c r="H378" s="85"/>
      <c r="I378" s="91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2.75" customHeight="1" spans="1:26">
      <c r="A379" s="85"/>
      <c r="B379" s="85"/>
      <c r="C379" s="85"/>
      <c r="D379" s="85"/>
      <c r="E379" s="85"/>
      <c r="F379" s="85"/>
      <c r="G379" s="85"/>
      <c r="H379" s="85"/>
      <c r="I379" s="91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2.75" customHeight="1" spans="1:26">
      <c r="A380" s="85"/>
      <c r="B380" s="85"/>
      <c r="C380" s="85"/>
      <c r="D380" s="85"/>
      <c r="E380" s="85"/>
      <c r="F380" s="85"/>
      <c r="G380" s="85"/>
      <c r="H380" s="85"/>
      <c r="I380" s="91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2.75" customHeight="1" spans="1:26">
      <c r="A381" s="85"/>
      <c r="B381" s="85"/>
      <c r="C381" s="85"/>
      <c r="D381" s="85"/>
      <c r="E381" s="85"/>
      <c r="F381" s="85"/>
      <c r="G381" s="85"/>
      <c r="H381" s="85"/>
      <c r="I381" s="91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2.75" customHeight="1" spans="1:26">
      <c r="A382" s="85"/>
      <c r="B382" s="85"/>
      <c r="C382" s="85"/>
      <c r="D382" s="85"/>
      <c r="E382" s="85"/>
      <c r="F382" s="85"/>
      <c r="G382" s="85"/>
      <c r="H382" s="85"/>
      <c r="I382" s="91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2.75" customHeight="1" spans="1:26">
      <c r="A383" s="85"/>
      <c r="B383" s="85"/>
      <c r="C383" s="85"/>
      <c r="D383" s="85"/>
      <c r="E383" s="85"/>
      <c r="F383" s="85"/>
      <c r="G383" s="85"/>
      <c r="H383" s="85"/>
      <c r="I383" s="91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2.75" customHeight="1" spans="1:26">
      <c r="A384" s="85"/>
      <c r="B384" s="85"/>
      <c r="C384" s="85"/>
      <c r="D384" s="85"/>
      <c r="E384" s="85"/>
      <c r="F384" s="85"/>
      <c r="G384" s="85"/>
      <c r="H384" s="85"/>
      <c r="I384" s="91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2.75" customHeight="1" spans="1:26">
      <c r="A385" s="85"/>
      <c r="B385" s="85"/>
      <c r="C385" s="85"/>
      <c r="D385" s="85"/>
      <c r="E385" s="85"/>
      <c r="F385" s="85"/>
      <c r="G385" s="85"/>
      <c r="H385" s="85"/>
      <c r="I385" s="91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2.75" customHeight="1" spans="1:26">
      <c r="A386" s="85"/>
      <c r="B386" s="85"/>
      <c r="C386" s="85"/>
      <c r="D386" s="85"/>
      <c r="E386" s="85"/>
      <c r="F386" s="85"/>
      <c r="G386" s="85"/>
      <c r="H386" s="85"/>
      <c r="I386" s="91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2.75" customHeight="1" spans="1:26">
      <c r="A387" s="85"/>
      <c r="B387" s="85"/>
      <c r="C387" s="85"/>
      <c r="D387" s="85"/>
      <c r="E387" s="85"/>
      <c r="F387" s="85"/>
      <c r="G387" s="85"/>
      <c r="H387" s="85"/>
      <c r="I387" s="91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2.75" customHeight="1" spans="1:26">
      <c r="A388" s="85"/>
      <c r="B388" s="85"/>
      <c r="C388" s="85"/>
      <c r="D388" s="85"/>
      <c r="E388" s="85"/>
      <c r="F388" s="85"/>
      <c r="G388" s="85"/>
      <c r="H388" s="85"/>
      <c r="I388" s="91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2.75" customHeight="1" spans="1:26">
      <c r="A389" s="85"/>
      <c r="B389" s="85"/>
      <c r="C389" s="85"/>
      <c r="D389" s="85"/>
      <c r="E389" s="85"/>
      <c r="F389" s="85"/>
      <c r="G389" s="85"/>
      <c r="H389" s="85"/>
      <c r="I389" s="91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2.75" customHeight="1" spans="1:26">
      <c r="A390" s="85"/>
      <c r="B390" s="85"/>
      <c r="C390" s="85"/>
      <c r="D390" s="85"/>
      <c r="E390" s="85"/>
      <c r="F390" s="85"/>
      <c r="G390" s="85"/>
      <c r="H390" s="85"/>
      <c r="I390" s="91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2.75" customHeight="1" spans="1:26">
      <c r="A391" s="85"/>
      <c r="B391" s="85"/>
      <c r="C391" s="85"/>
      <c r="D391" s="85"/>
      <c r="E391" s="85"/>
      <c r="F391" s="85"/>
      <c r="G391" s="85"/>
      <c r="H391" s="85"/>
      <c r="I391" s="91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2.75" customHeight="1" spans="1:26">
      <c r="A392" s="85"/>
      <c r="B392" s="85"/>
      <c r="C392" s="85"/>
      <c r="D392" s="85"/>
      <c r="E392" s="85"/>
      <c r="F392" s="85"/>
      <c r="G392" s="85"/>
      <c r="H392" s="85"/>
      <c r="I392" s="91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2.75" customHeight="1" spans="1:26">
      <c r="A393" s="85"/>
      <c r="B393" s="85"/>
      <c r="C393" s="85"/>
      <c r="D393" s="85"/>
      <c r="E393" s="85"/>
      <c r="F393" s="85"/>
      <c r="G393" s="85"/>
      <c r="H393" s="85"/>
      <c r="I393" s="91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2.75" customHeight="1" spans="1:26">
      <c r="A394" s="85"/>
      <c r="B394" s="85"/>
      <c r="C394" s="85"/>
      <c r="D394" s="85"/>
      <c r="E394" s="85"/>
      <c r="F394" s="85"/>
      <c r="G394" s="85"/>
      <c r="H394" s="85"/>
      <c r="I394" s="91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2.75" customHeight="1" spans="1:26">
      <c r="A395" s="85"/>
      <c r="B395" s="85"/>
      <c r="C395" s="85"/>
      <c r="D395" s="85"/>
      <c r="E395" s="85"/>
      <c r="F395" s="85"/>
      <c r="G395" s="85"/>
      <c r="H395" s="85"/>
      <c r="I395" s="91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2.75" customHeight="1" spans="1:26">
      <c r="A396" s="85"/>
      <c r="B396" s="85"/>
      <c r="C396" s="85"/>
      <c r="D396" s="85"/>
      <c r="E396" s="85"/>
      <c r="F396" s="85"/>
      <c r="G396" s="85"/>
      <c r="H396" s="85"/>
      <c r="I396" s="91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2.75" customHeight="1" spans="1:26">
      <c r="A397" s="85"/>
      <c r="B397" s="85"/>
      <c r="C397" s="85"/>
      <c r="D397" s="85"/>
      <c r="E397" s="85"/>
      <c r="F397" s="85"/>
      <c r="G397" s="85"/>
      <c r="H397" s="85"/>
      <c r="I397" s="91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2.75" customHeight="1" spans="1:26">
      <c r="A398" s="85"/>
      <c r="B398" s="85"/>
      <c r="C398" s="85"/>
      <c r="D398" s="85"/>
      <c r="E398" s="85"/>
      <c r="F398" s="85"/>
      <c r="G398" s="85"/>
      <c r="H398" s="85"/>
      <c r="I398" s="91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2.75" customHeight="1" spans="1:26">
      <c r="A399" s="85"/>
      <c r="B399" s="85"/>
      <c r="C399" s="85"/>
      <c r="D399" s="85"/>
      <c r="E399" s="85"/>
      <c r="F399" s="85"/>
      <c r="G399" s="85"/>
      <c r="H399" s="85"/>
      <c r="I399" s="91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2.75" customHeight="1" spans="1:26">
      <c r="A400" s="85"/>
      <c r="B400" s="85"/>
      <c r="C400" s="85"/>
      <c r="D400" s="85"/>
      <c r="E400" s="85"/>
      <c r="F400" s="85"/>
      <c r="G400" s="85"/>
      <c r="H400" s="85"/>
      <c r="I400" s="91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2.75" customHeight="1" spans="1:26">
      <c r="A401" s="85"/>
      <c r="B401" s="85"/>
      <c r="C401" s="85"/>
      <c r="D401" s="85"/>
      <c r="E401" s="85"/>
      <c r="F401" s="85"/>
      <c r="G401" s="85"/>
      <c r="H401" s="85"/>
      <c r="I401" s="91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2.75" customHeight="1" spans="1:26">
      <c r="A402" s="85"/>
      <c r="B402" s="85"/>
      <c r="C402" s="85"/>
      <c r="D402" s="85"/>
      <c r="E402" s="85"/>
      <c r="F402" s="85"/>
      <c r="G402" s="85"/>
      <c r="H402" s="85"/>
      <c r="I402" s="91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2.75" customHeight="1" spans="1:26">
      <c r="A403" s="85"/>
      <c r="B403" s="85"/>
      <c r="C403" s="85"/>
      <c r="D403" s="85"/>
      <c r="E403" s="85"/>
      <c r="F403" s="85"/>
      <c r="G403" s="85"/>
      <c r="H403" s="85"/>
      <c r="I403" s="91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2.75" customHeight="1" spans="1:26">
      <c r="A404" s="85"/>
      <c r="B404" s="85"/>
      <c r="C404" s="85"/>
      <c r="D404" s="85"/>
      <c r="E404" s="85"/>
      <c r="F404" s="85"/>
      <c r="G404" s="85"/>
      <c r="H404" s="85"/>
      <c r="I404" s="91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2.75" customHeight="1" spans="1:26">
      <c r="A405" s="85"/>
      <c r="B405" s="85"/>
      <c r="C405" s="85"/>
      <c r="D405" s="85"/>
      <c r="E405" s="85"/>
      <c r="F405" s="85"/>
      <c r="G405" s="85"/>
      <c r="H405" s="85"/>
      <c r="I405" s="91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2.75" customHeight="1" spans="1:26">
      <c r="A406" s="85"/>
      <c r="B406" s="85"/>
      <c r="C406" s="85"/>
      <c r="D406" s="85"/>
      <c r="E406" s="85"/>
      <c r="F406" s="85"/>
      <c r="G406" s="85"/>
      <c r="H406" s="85"/>
      <c r="I406" s="91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2.75" customHeight="1" spans="1:26">
      <c r="A407" s="85"/>
      <c r="B407" s="85"/>
      <c r="C407" s="85"/>
      <c r="D407" s="85"/>
      <c r="E407" s="85"/>
      <c r="F407" s="85"/>
      <c r="G407" s="85"/>
      <c r="H407" s="85"/>
      <c r="I407" s="91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2.75" customHeight="1" spans="1:26">
      <c r="A408" s="85"/>
      <c r="B408" s="85"/>
      <c r="C408" s="85"/>
      <c r="D408" s="85"/>
      <c r="E408" s="85"/>
      <c r="F408" s="85"/>
      <c r="G408" s="85"/>
      <c r="H408" s="85"/>
      <c r="I408" s="91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2.75" customHeight="1" spans="1:26">
      <c r="A409" s="85"/>
      <c r="B409" s="85"/>
      <c r="C409" s="85"/>
      <c r="D409" s="85"/>
      <c r="E409" s="85"/>
      <c r="F409" s="85"/>
      <c r="G409" s="85"/>
      <c r="H409" s="85"/>
      <c r="I409" s="91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2.75" customHeight="1" spans="1:26">
      <c r="A410" s="85"/>
      <c r="B410" s="85"/>
      <c r="C410" s="85"/>
      <c r="D410" s="85"/>
      <c r="E410" s="85"/>
      <c r="F410" s="85"/>
      <c r="G410" s="85"/>
      <c r="H410" s="85"/>
      <c r="I410" s="91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2.75" customHeight="1" spans="1:26">
      <c r="A411" s="85"/>
      <c r="B411" s="85"/>
      <c r="C411" s="85"/>
      <c r="D411" s="85"/>
      <c r="E411" s="85"/>
      <c r="F411" s="85"/>
      <c r="G411" s="85"/>
      <c r="H411" s="85"/>
      <c r="I411" s="91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2.75" customHeight="1" spans="1:26">
      <c r="A412" s="85"/>
      <c r="B412" s="85"/>
      <c r="C412" s="85"/>
      <c r="D412" s="85"/>
      <c r="E412" s="85"/>
      <c r="F412" s="85"/>
      <c r="G412" s="85"/>
      <c r="H412" s="85"/>
      <c r="I412" s="91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2.75" customHeight="1" spans="1:26">
      <c r="A413" s="85"/>
      <c r="B413" s="85"/>
      <c r="C413" s="85"/>
      <c r="D413" s="85"/>
      <c r="E413" s="85"/>
      <c r="F413" s="85"/>
      <c r="G413" s="85"/>
      <c r="H413" s="85"/>
      <c r="I413" s="91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2.75" customHeight="1" spans="1:26">
      <c r="A414" s="85"/>
      <c r="B414" s="85"/>
      <c r="C414" s="85"/>
      <c r="D414" s="85"/>
      <c r="E414" s="85"/>
      <c r="F414" s="85"/>
      <c r="G414" s="85"/>
      <c r="H414" s="85"/>
      <c r="I414" s="91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2.75" customHeight="1" spans="1:26">
      <c r="A415" s="85"/>
      <c r="B415" s="85"/>
      <c r="C415" s="85"/>
      <c r="D415" s="85"/>
      <c r="E415" s="85"/>
      <c r="F415" s="85"/>
      <c r="G415" s="85"/>
      <c r="H415" s="85"/>
      <c r="I415" s="91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2.75" customHeight="1" spans="1:26">
      <c r="A416" s="85"/>
      <c r="B416" s="85"/>
      <c r="C416" s="85"/>
      <c r="D416" s="85"/>
      <c r="E416" s="85"/>
      <c r="F416" s="85"/>
      <c r="G416" s="85"/>
      <c r="H416" s="85"/>
      <c r="I416" s="91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2.75" customHeight="1" spans="1:26">
      <c r="A417" s="85"/>
      <c r="B417" s="85"/>
      <c r="C417" s="85"/>
      <c r="D417" s="85"/>
      <c r="E417" s="85"/>
      <c r="F417" s="85"/>
      <c r="G417" s="85"/>
      <c r="H417" s="85"/>
      <c r="I417" s="91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2.75" customHeight="1" spans="1:26">
      <c r="A418" s="85"/>
      <c r="B418" s="85"/>
      <c r="C418" s="85"/>
      <c r="D418" s="85"/>
      <c r="E418" s="85"/>
      <c r="F418" s="85"/>
      <c r="G418" s="85"/>
      <c r="H418" s="85"/>
      <c r="I418" s="91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2.75" customHeight="1" spans="1:26">
      <c r="A419" s="85"/>
      <c r="B419" s="85"/>
      <c r="C419" s="85"/>
      <c r="D419" s="85"/>
      <c r="E419" s="85"/>
      <c r="F419" s="85"/>
      <c r="G419" s="85"/>
      <c r="H419" s="85"/>
      <c r="I419" s="91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2.75" customHeight="1" spans="1:26">
      <c r="A420" s="85"/>
      <c r="B420" s="85"/>
      <c r="C420" s="85"/>
      <c r="D420" s="85"/>
      <c r="E420" s="85"/>
      <c r="F420" s="85"/>
      <c r="G420" s="85"/>
      <c r="H420" s="85"/>
      <c r="I420" s="91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2.75" customHeight="1" spans="1:26">
      <c r="A421" s="85"/>
      <c r="B421" s="85"/>
      <c r="C421" s="85"/>
      <c r="D421" s="85"/>
      <c r="E421" s="85"/>
      <c r="F421" s="85"/>
      <c r="G421" s="85"/>
      <c r="H421" s="85"/>
      <c r="I421" s="91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2.75" customHeight="1" spans="1:26">
      <c r="A422" s="85"/>
      <c r="B422" s="85"/>
      <c r="C422" s="85"/>
      <c r="D422" s="85"/>
      <c r="E422" s="85"/>
      <c r="F422" s="85"/>
      <c r="G422" s="85"/>
      <c r="H422" s="85"/>
      <c r="I422" s="91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2.75" customHeight="1" spans="1:26">
      <c r="A423" s="85"/>
      <c r="B423" s="85"/>
      <c r="C423" s="85"/>
      <c r="D423" s="85"/>
      <c r="E423" s="85"/>
      <c r="F423" s="85"/>
      <c r="G423" s="85"/>
      <c r="H423" s="85"/>
      <c r="I423" s="91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2.75" customHeight="1" spans="1:26">
      <c r="A424" s="85"/>
      <c r="B424" s="85"/>
      <c r="C424" s="85"/>
      <c r="D424" s="85"/>
      <c r="E424" s="85"/>
      <c r="F424" s="85"/>
      <c r="G424" s="85"/>
      <c r="H424" s="85"/>
      <c r="I424" s="91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2.75" customHeight="1" spans="1:26">
      <c r="A425" s="85"/>
      <c r="B425" s="85"/>
      <c r="C425" s="85"/>
      <c r="D425" s="85"/>
      <c r="E425" s="85"/>
      <c r="F425" s="85"/>
      <c r="G425" s="85"/>
      <c r="H425" s="85"/>
      <c r="I425" s="91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2.75" customHeight="1" spans="1:26">
      <c r="A426" s="85"/>
      <c r="B426" s="85"/>
      <c r="C426" s="85"/>
      <c r="D426" s="85"/>
      <c r="E426" s="85"/>
      <c r="F426" s="85"/>
      <c r="G426" s="85"/>
      <c r="H426" s="85"/>
      <c r="I426" s="91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2.75" customHeight="1" spans="1:26">
      <c r="A427" s="85"/>
      <c r="B427" s="85"/>
      <c r="C427" s="85"/>
      <c r="D427" s="85"/>
      <c r="E427" s="85"/>
      <c r="F427" s="85"/>
      <c r="G427" s="85"/>
      <c r="H427" s="85"/>
      <c r="I427" s="91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2.75" customHeight="1" spans="1:26">
      <c r="A428" s="85"/>
      <c r="B428" s="85"/>
      <c r="C428" s="85"/>
      <c r="D428" s="85"/>
      <c r="E428" s="85"/>
      <c r="F428" s="85"/>
      <c r="G428" s="85"/>
      <c r="H428" s="85"/>
      <c r="I428" s="91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2.75" customHeight="1" spans="1:26">
      <c r="A429" s="85"/>
      <c r="B429" s="85"/>
      <c r="C429" s="85"/>
      <c r="D429" s="85"/>
      <c r="E429" s="85"/>
      <c r="F429" s="85"/>
      <c r="G429" s="85"/>
      <c r="H429" s="85"/>
      <c r="I429" s="91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2.75" customHeight="1" spans="1:26">
      <c r="A430" s="85"/>
      <c r="B430" s="85"/>
      <c r="C430" s="85"/>
      <c r="D430" s="85"/>
      <c r="E430" s="85"/>
      <c r="F430" s="85"/>
      <c r="G430" s="85"/>
      <c r="H430" s="85"/>
      <c r="I430" s="91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2.75" customHeight="1" spans="1:26">
      <c r="A431" s="85"/>
      <c r="B431" s="85"/>
      <c r="C431" s="85"/>
      <c r="D431" s="85"/>
      <c r="E431" s="85"/>
      <c r="F431" s="85"/>
      <c r="G431" s="85"/>
      <c r="H431" s="85"/>
      <c r="I431" s="91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2.75" customHeight="1" spans="1:26">
      <c r="A432" s="85"/>
      <c r="B432" s="85"/>
      <c r="C432" s="85"/>
      <c r="D432" s="85"/>
      <c r="E432" s="85"/>
      <c r="F432" s="85"/>
      <c r="G432" s="85"/>
      <c r="H432" s="85"/>
      <c r="I432" s="91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2.75" customHeight="1" spans="1:26">
      <c r="A433" s="85"/>
      <c r="B433" s="85"/>
      <c r="C433" s="85"/>
      <c r="D433" s="85"/>
      <c r="E433" s="85"/>
      <c r="F433" s="85"/>
      <c r="G433" s="85"/>
      <c r="H433" s="85"/>
      <c r="I433" s="91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2.75" customHeight="1" spans="1:26">
      <c r="A434" s="85"/>
      <c r="B434" s="85"/>
      <c r="C434" s="85"/>
      <c r="D434" s="85"/>
      <c r="E434" s="85"/>
      <c r="F434" s="85"/>
      <c r="G434" s="85"/>
      <c r="H434" s="85"/>
      <c r="I434" s="91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2.75" customHeight="1" spans="1:26">
      <c r="A435" s="85"/>
      <c r="B435" s="85"/>
      <c r="C435" s="85"/>
      <c r="D435" s="85"/>
      <c r="E435" s="85"/>
      <c r="F435" s="85"/>
      <c r="G435" s="85"/>
      <c r="H435" s="85"/>
      <c r="I435" s="91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2.75" customHeight="1" spans="1:26">
      <c r="A436" s="85"/>
      <c r="B436" s="85"/>
      <c r="C436" s="85"/>
      <c r="D436" s="85"/>
      <c r="E436" s="85"/>
      <c r="F436" s="85"/>
      <c r="G436" s="85"/>
      <c r="H436" s="85"/>
      <c r="I436" s="91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2.75" customHeight="1" spans="1:26">
      <c r="A437" s="85"/>
      <c r="B437" s="85"/>
      <c r="C437" s="85"/>
      <c r="D437" s="85"/>
      <c r="E437" s="85"/>
      <c r="F437" s="85"/>
      <c r="G437" s="85"/>
      <c r="H437" s="85"/>
      <c r="I437" s="91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2.75" customHeight="1" spans="1:26">
      <c r="A438" s="85"/>
      <c r="B438" s="85"/>
      <c r="C438" s="85"/>
      <c r="D438" s="85"/>
      <c r="E438" s="85"/>
      <c r="F438" s="85"/>
      <c r="G438" s="85"/>
      <c r="H438" s="85"/>
      <c r="I438" s="91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2.75" customHeight="1" spans="1:26">
      <c r="A439" s="85"/>
      <c r="B439" s="85"/>
      <c r="C439" s="85"/>
      <c r="D439" s="85"/>
      <c r="E439" s="85"/>
      <c r="F439" s="85"/>
      <c r="G439" s="85"/>
      <c r="H439" s="85"/>
      <c r="I439" s="91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2.75" customHeight="1" spans="1:26">
      <c r="A440" s="85"/>
      <c r="B440" s="85"/>
      <c r="C440" s="85"/>
      <c r="D440" s="85"/>
      <c r="E440" s="85"/>
      <c r="F440" s="85"/>
      <c r="G440" s="85"/>
      <c r="H440" s="85"/>
      <c r="I440" s="91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2.75" customHeight="1" spans="1:26">
      <c r="A441" s="85"/>
      <c r="B441" s="85"/>
      <c r="C441" s="85"/>
      <c r="D441" s="85"/>
      <c r="E441" s="85"/>
      <c r="F441" s="85"/>
      <c r="G441" s="85"/>
      <c r="H441" s="85"/>
      <c r="I441" s="91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2.75" customHeight="1" spans="1:26">
      <c r="A442" s="85"/>
      <c r="B442" s="85"/>
      <c r="C442" s="85"/>
      <c r="D442" s="85"/>
      <c r="E442" s="85"/>
      <c r="F442" s="85"/>
      <c r="G442" s="85"/>
      <c r="H442" s="85"/>
      <c r="I442" s="91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2.75" customHeight="1" spans="1:26">
      <c r="A443" s="85"/>
      <c r="B443" s="85"/>
      <c r="C443" s="85"/>
      <c r="D443" s="85"/>
      <c r="E443" s="85"/>
      <c r="F443" s="85"/>
      <c r="G443" s="85"/>
      <c r="H443" s="85"/>
      <c r="I443" s="91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2.75" customHeight="1" spans="1:26">
      <c r="A444" s="85"/>
      <c r="B444" s="85"/>
      <c r="C444" s="85"/>
      <c r="D444" s="85"/>
      <c r="E444" s="85"/>
      <c r="F444" s="85"/>
      <c r="G444" s="85"/>
      <c r="H444" s="85"/>
      <c r="I444" s="91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2.75" customHeight="1" spans="1:26">
      <c r="A445" s="85"/>
      <c r="B445" s="85"/>
      <c r="C445" s="85"/>
      <c r="D445" s="85"/>
      <c r="E445" s="85"/>
      <c r="F445" s="85"/>
      <c r="G445" s="85"/>
      <c r="H445" s="85"/>
      <c r="I445" s="91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2.75" customHeight="1" spans="1:26">
      <c r="A446" s="85"/>
      <c r="B446" s="85"/>
      <c r="C446" s="85"/>
      <c r="D446" s="85"/>
      <c r="E446" s="85"/>
      <c r="F446" s="85"/>
      <c r="G446" s="85"/>
      <c r="H446" s="85"/>
      <c r="I446" s="91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2.75" customHeight="1" spans="1:26">
      <c r="A447" s="85"/>
      <c r="B447" s="85"/>
      <c r="C447" s="85"/>
      <c r="D447" s="85"/>
      <c r="E447" s="85"/>
      <c r="F447" s="85"/>
      <c r="G447" s="85"/>
      <c r="H447" s="85"/>
      <c r="I447" s="91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2.75" customHeight="1" spans="1:26">
      <c r="A448" s="85"/>
      <c r="B448" s="85"/>
      <c r="C448" s="85"/>
      <c r="D448" s="85"/>
      <c r="E448" s="85"/>
      <c r="F448" s="85"/>
      <c r="G448" s="85"/>
      <c r="H448" s="85"/>
      <c r="I448" s="91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2.75" customHeight="1" spans="1:26">
      <c r="A449" s="85"/>
      <c r="B449" s="85"/>
      <c r="C449" s="85"/>
      <c r="D449" s="85"/>
      <c r="E449" s="85"/>
      <c r="F449" s="85"/>
      <c r="G449" s="85"/>
      <c r="H449" s="85"/>
      <c r="I449" s="91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2.75" customHeight="1" spans="1:26">
      <c r="A450" s="85"/>
      <c r="B450" s="85"/>
      <c r="C450" s="85"/>
      <c r="D450" s="85"/>
      <c r="E450" s="85"/>
      <c r="F450" s="85"/>
      <c r="G450" s="85"/>
      <c r="H450" s="85"/>
      <c r="I450" s="91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2.75" customHeight="1" spans="1:26">
      <c r="A451" s="85"/>
      <c r="B451" s="85"/>
      <c r="C451" s="85"/>
      <c r="D451" s="85"/>
      <c r="E451" s="85"/>
      <c r="F451" s="85"/>
      <c r="G451" s="85"/>
      <c r="H451" s="85"/>
      <c r="I451" s="91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2.75" customHeight="1" spans="1:26">
      <c r="A452" s="85"/>
      <c r="B452" s="85"/>
      <c r="C452" s="85"/>
      <c r="D452" s="85"/>
      <c r="E452" s="85"/>
      <c r="F452" s="85"/>
      <c r="G452" s="85"/>
      <c r="H452" s="85"/>
      <c r="I452" s="91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2.75" customHeight="1" spans="1:26">
      <c r="A453" s="85"/>
      <c r="B453" s="85"/>
      <c r="C453" s="85"/>
      <c r="D453" s="85"/>
      <c r="E453" s="85"/>
      <c r="F453" s="85"/>
      <c r="G453" s="85"/>
      <c r="H453" s="85"/>
      <c r="I453" s="91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2.75" customHeight="1" spans="1:26">
      <c r="A454" s="85"/>
      <c r="B454" s="85"/>
      <c r="C454" s="85"/>
      <c r="D454" s="85"/>
      <c r="E454" s="85"/>
      <c r="F454" s="85"/>
      <c r="G454" s="85"/>
      <c r="H454" s="85"/>
      <c r="I454" s="91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2.75" customHeight="1" spans="1:26">
      <c r="A455" s="85"/>
      <c r="B455" s="85"/>
      <c r="C455" s="85"/>
      <c r="D455" s="85"/>
      <c r="E455" s="85"/>
      <c r="F455" s="85"/>
      <c r="G455" s="85"/>
      <c r="H455" s="85"/>
      <c r="I455" s="91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2.75" customHeight="1" spans="1:26">
      <c r="A456" s="85"/>
      <c r="B456" s="85"/>
      <c r="C456" s="85"/>
      <c r="D456" s="85"/>
      <c r="E456" s="85"/>
      <c r="F456" s="85"/>
      <c r="G456" s="85"/>
      <c r="H456" s="85"/>
      <c r="I456" s="91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2.75" customHeight="1" spans="1:26">
      <c r="A457" s="85"/>
      <c r="B457" s="85"/>
      <c r="C457" s="85"/>
      <c r="D457" s="85"/>
      <c r="E457" s="85"/>
      <c r="F457" s="85"/>
      <c r="G457" s="85"/>
      <c r="H457" s="85"/>
      <c r="I457" s="91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2.75" customHeight="1" spans="1:26">
      <c r="A458" s="85"/>
      <c r="B458" s="85"/>
      <c r="C458" s="85"/>
      <c r="D458" s="85"/>
      <c r="E458" s="85"/>
      <c r="F458" s="85"/>
      <c r="G458" s="85"/>
      <c r="H458" s="85"/>
      <c r="I458" s="91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2.75" customHeight="1" spans="1:26">
      <c r="A459" s="85"/>
      <c r="B459" s="85"/>
      <c r="C459" s="85"/>
      <c r="D459" s="85"/>
      <c r="E459" s="85"/>
      <c r="F459" s="85"/>
      <c r="G459" s="85"/>
      <c r="H459" s="85"/>
      <c r="I459" s="91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2.75" customHeight="1" spans="1:26">
      <c r="A460" s="85"/>
      <c r="B460" s="85"/>
      <c r="C460" s="85"/>
      <c r="D460" s="85"/>
      <c r="E460" s="85"/>
      <c r="F460" s="85"/>
      <c r="G460" s="85"/>
      <c r="H460" s="85"/>
      <c r="I460" s="91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2.75" customHeight="1" spans="1:26">
      <c r="A461" s="85"/>
      <c r="B461" s="85"/>
      <c r="C461" s="85"/>
      <c r="D461" s="85"/>
      <c r="E461" s="85"/>
      <c r="F461" s="85"/>
      <c r="G461" s="85"/>
      <c r="H461" s="85"/>
      <c r="I461" s="91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2.75" customHeight="1" spans="1:26">
      <c r="A462" s="85"/>
      <c r="B462" s="85"/>
      <c r="C462" s="85"/>
      <c r="D462" s="85"/>
      <c r="E462" s="85"/>
      <c r="F462" s="85"/>
      <c r="G462" s="85"/>
      <c r="H462" s="85"/>
      <c r="I462" s="91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2.75" customHeight="1" spans="1:26">
      <c r="A463" s="85"/>
      <c r="B463" s="85"/>
      <c r="C463" s="85"/>
      <c r="D463" s="85"/>
      <c r="E463" s="85"/>
      <c r="F463" s="85"/>
      <c r="G463" s="85"/>
      <c r="H463" s="85"/>
      <c r="I463" s="91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2.75" customHeight="1" spans="1:26">
      <c r="A464" s="85"/>
      <c r="B464" s="85"/>
      <c r="C464" s="85"/>
      <c r="D464" s="85"/>
      <c r="E464" s="85"/>
      <c r="F464" s="85"/>
      <c r="G464" s="85"/>
      <c r="H464" s="85"/>
      <c r="I464" s="91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2.75" customHeight="1" spans="1:26">
      <c r="A465" s="85"/>
      <c r="B465" s="85"/>
      <c r="C465" s="85"/>
      <c r="D465" s="85"/>
      <c r="E465" s="85"/>
      <c r="F465" s="85"/>
      <c r="G465" s="85"/>
      <c r="H465" s="85"/>
      <c r="I465" s="91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2.75" customHeight="1" spans="1:26">
      <c r="A466" s="85"/>
      <c r="B466" s="85"/>
      <c r="C466" s="85"/>
      <c r="D466" s="85"/>
      <c r="E466" s="85"/>
      <c r="F466" s="85"/>
      <c r="G466" s="85"/>
      <c r="H466" s="85"/>
      <c r="I466" s="91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2.75" customHeight="1" spans="1:26">
      <c r="A467" s="85"/>
      <c r="B467" s="85"/>
      <c r="C467" s="85"/>
      <c r="D467" s="85"/>
      <c r="E467" s="85"/>
      <c r="F467" s="85"/>
      <c r="G467" s="85"/>
      <c r="H467" s="85"/>
      <c r="I467" s="91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2.75" customHeight="1" spans="1:26">
      <c r="A468" s="85"/>
      <c r="B468" s="85"/>
      <c r="C468" s="85"/>
      <c r="D468" s="85"/>
      <c r="E468" s="85"/>
      <c r="F468" s="85"/>
      <c r="G468" s="85"/>
      <c r="H468" s="85"/>
      <c r="I468" s="91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2.75" customHeight="1" spans="1:26">
      <c r="A469" s="85"/>
      <c r="B469" s="85"/>
      <c r="C469" s="85"/>
      <c r="D469" s="85"/>
      <c r="E469" s="85"/>
      <c r="F469" s="85"/>
      <c r="G469" s="85"/>
      <c r="H469" s="85"/>
      <c r="I469" s="91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2.75" customHeight="1" spans="1:26">
      <c r="A470" s="85"/>
      <c r="B470" s="85"/>
      <c r="C470" s="85"/>
      <c r="D470" s="85"/>
      <c r="E470" s="85"/>
      <c r="F470" s="85"/>
      <c r="G470" s="85"/>
      <c r="H470" s="85"/>
      <c r="I470" s="91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2.75" customHeight="1" spans="1:26">
      <c r="A471" s="85"/>
      <c r="B471" s="85"/>
      <c r="C471" s="85"/>
      <c r="D471" s="85"/>
      <c r="E471" s="85"/>
      <c r="F471" s="85"/>
      <c r="G471" s="85"/>
      <c r="H471" s="85"/>
      <c r="I471" s="91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2.75" customHeight="1" spans="1:26">
      <c r="A472" s="85"/>
      <c r="B472" s="85"/>
      <c r="C472" s="85"/>
      <c r="D472" s="85"/>
      <c r="E472" s="85"/>
      <c r="F472" s="85"/>
      <c r="G472" s="85"/>
      <c r="H472" s="85"/>
      <c r="I472" s="91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2.75" customHeight="1" spans="1:26">
      <c r="A473" s="85"/>
      <c r="B473" s="85"/>
      <c r="C473" s="85"/>
      <c r="D473" s="85"/>
      <c r="E473" s="85"/>
      <c r="F473" s="85"/>
      <c r="G473" s="85"/>
      <c r="H473" s="85"/>
      <c r="I473" s="91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2.75" customHeight="1" spans="1:26">
      <c r="A474" s="85"/>
      <c r="B474" s="85"/>
      <c r="C474" s="85"/>
      <c r="D474" s="85"/>
      <c r="E474" s="85"/>
      <c r="F474" s="85"/>
      <c r="G474" s="85"/>
      <c r="H474" s="85"/>
      <c r="I474" s="91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2.75" customHeight="1" spans="1:26">
      <c r="A475" s="85"/>
      <c r="B475" s="85"/>
      <c r="C475" s="85"/>
      <c r="D475" s="85"/>
      <c r="E475" s="85"/>
      <c r="F475" s="85"/>
      <c r="G475" s="85"/>
      <c r="H475" s="85"/>
      <c r="I475" s="91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2.75" customHeight="1" spans="1:26">
      <c r="A476" s="85"/>
      <c r="B476" s="85"/>
      <c r="C476" s="85"/>
      <c r="D476" s="85"/>
      <c r="E476" s="85"/>
      <c r="F476" s="85"/>
      <c r="G476" s="85"/>
      <c r="H476" s="85"/>
      <c r="I476" s="91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2.75" customHeight="1" spans="1:26">
      <c r="A477" s="85"/>
      <c r="B477" s="85"/>
      <c r="C477" s="85"/>
      <c r="D477" s="85"/>
      <c r="E477" s="85"/>
      <c r="F477" s="85"/>
      <c r="G477" s="85"/>
      <c r="H477" s="85"/>
      <c r="I477" s="91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2.75" customHeight="1" spans="1:26">
      <c r="A478" s="85"/>
      <c r="B478" s="85"/>
      <c r="C478" s="85"/>
      <c r="D478" s="85"/>
      <c r="E478" s="85"/>
      <c r="F478" s="85"/>
      <c r="G478" s="85"/>
      <c r="H478" s="85"/>
      <c r="I478" s="91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2.75" customHeight="1" spans="1:26">
      <c r="A479" s="85"/>
      <c r="B479" s="85"/>
      <c r="C479" s="85"/>
      <c r="D479" s="85"/>
      <c r="E479" s="85"/>
      <c r="F479" s="85"/>
      <c r="G479" s="85"/>
      <c r="H479" s="85"/>
      <c r="I479" s="91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2.75" customHeight="1" spans="1:26">
      <c r="A480" s="85"/>
      <c r="B480" s="85"/>
      <c r="C480" s="85"/>
      <c r="D480" s="85"/>
      <c r="E480" s="85"/>
      <c r="F480" s="85"/>
      <c r="G480" s="85"/>
      <c r="H480" s="85"/>
      <c r="I480" s="91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2.75" customHeight="1" spans="1:26">
      <c r="A481" s="85"/>
      <c r="B481" s="85"/>
      <c r="C481" s="85"/>
      <c r="D481" s="85"/>
      <c r="E481" s="85"/>
      <c r="F481" s="85"/>
      <c r="G481" s="85"/>
      <c r="H481" s="85"/>
      <c r="I481" s="91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2.75" customHeight="1" spans="1:26">
      <c r="A482" s="85"/>
      <c r="B482" s="85"/>
      <c r="C482" s="85"/>
      <c r="D482" s="85"/>
      <c r="E482" s="85"/>
      <c r="F482" s="85"/>
      <c r="G482" s="85"/>
      <c r="H482" s="85"/>
      <c r="I482" s="91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2.75" customHeight="1" spans="1:26">
      <c r="A483" s="85"/>
      <c r="B483" s="85"/>
      <c r="C483" s="85"/>
      <c r="D483" s="85"/>
      <c r="E483" s="85"/>
      <c r="F483" s="85"/>
      <c r="G483" s="85"/>
      <c r="H483" s="85"/>
      <c r="I483" s="91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2.75" customHeight="1" spans="1:26">
      <c r="A484" s="85"/>
      <c r="B484" s="85"/>
      <c r="C484" s="85"/>
      <c r="D484" s="85"/>
      <c r="E484" s="85"/>
      <c r="F484" s="85"/>
      <c r="G484" s="85"/>
      <c r="H484" s="85"/>
      <c r="I484" s="91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2.75" customHeight="1" spans="1:26">
      <c r="A485" s="85"/>
      <c r="B485" s="85"/>
      <c r="C485" s="85"/>
      <c r="D485" s="85"/>
      <c r="E485" s="85"/>
      <c r="F485" s="85"/>
      <c r="G485" s="85"/>
      <c r="H485" s="85"/>
      <c r="I485" s="91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2.75" customHeight="1" spans="1:26">
      <c r="A486" s="85"/>
      <c r="B486" s="85"/>
      <c r="C486" s="85"/>
      <c r="D486" s="85"/>
      <c r="E486" s="85"/>
      <c r="F486" s="85"/>
      <c r="G486" s="85"/>
      <c r="H486" s="85"/>
      <c r="I486" s="91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2.75" customHeight="1" spans="1:26">
      <c r="A487" s="85"/>
      <c r="B487" s="85"/>
      <c r="C487" s="85"/>
      <c r="D487" s="85"/>
      <c r="E487" s="85"/>
      <c r="F487" s="85"/>
      <c r="G487" s="85"/>
      <c r="H487" s="85"/>
      <c r="I487" s="91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2.75" customHeight="1" spans="1:26">
      <c r="A488" s="85"/>
      <c r="B488" s="85"/>
      <c r="C488" s="85"/>
      <c r="D488" s="85"/>
      <c r="E488" s="85"/>
      <c r="F488" s="85"/>
      <c r="G488" s="85"/>
      <c r="H488" s="85"/>
      <c r="I488" s="91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2.75" customHeight="1" spans="1:26">
      <c r="A489" s="85"/>
      <c r="B489" s="85"/>
      <c r="C489" s="85"/>
      <c r="D489" s="85"/>
      <c r="E489" s="85"/>
      <c r="F489" s="85"/>
      <c r="G489" s="85"/>
      <c r="H489" s="85"/>
      <c r="I489" s="91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2.75" customHeight="1" spans="1:26">
      <c r="A490" s="85"/>
      <c r="B490" s="85"/>
      <c r="C490" s="85"/>
      <c r="D490" s="85"/>
      <c r="E490" s="85"/>
      <c r="F490" s="85"/>
      <c r="G490" s="85"/>
      <c r="H490" s="85"/>
      <c r="I490" s="91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2.75" customHeight="1" spans="1:26">
      <c r="A491" s="85"/>
      <c r="B491" s="85"/>
      <c r="C491" s="85"/>
      <c r="D491" s="85"/>
      <c r="E491" s="85"/>
      <c r="F491" s="85"/>
      <c r="G491" s="85"/>
      <c r="H491" s="85"/>
      <c r="I491" s="91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2.75" customHeight="1" spans="1:26">
      <c r="A492" s="85"/>
      <c r="B492" s="85"/>
      <c r="C492" s="85"/>
      <c r="D492" s="85"/>
      <c r="E492" s="85"/>
      <c r="F492" s="85"/>
      <c r="G492" s="85"/>
      <c r="H492" s="85"/>
      <c r="I492" s="91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2.75" customHeight="1" spans="1:26">
      <c r="A493" s="85"/>
      <c r="B493" s="85"/>
      <c r="C493" s="85"/>
      <c r="D493" s="85"/>
      <c r="E493" s="85"/>
      <c r="F493" s="85"/>
      <c r="G493" s="85"/>
      <c r="H493" s="85"/>
      <c r="I493" s="91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2.75" customHeight="1" spans="1:26">
      <c r="A494" s="85"/>
      <c r="B494" s="85"/>
      <c r="C494" s="85"/>
      <c r="D494" s="85"/>
      <c r="E494" s="85"/>
      <c r="F494" s="85"/>
      <c r="G494" s="85"/>
      <c r="H494" s="85"/>
      <c r="I494" s="91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2.75" customHeight="1" spans="1:26">
      <c r="A495" s="85"/>
      <c r="B495" s="85"/>
      <c r="C495" s="85"/>
      <c r="D495" s="85"/>
      <c r="E495" s="85"/>
      <c r="F495" s="85"/>
      <c r="G495" s="85"/>
      <c r="H495" s="85"/>
      <c r="I495" s="91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2.75" customHeight="1" spans="1:26">
      <c r="A496" s="85"/>
      <c r="B496" s="85"/>
      <c r="C496" s="85"/>
      <c r="D496" s="85"/>
      <c r="E496" s="85"/>
      <c r="F496" s="85"/>
      <c r="G496" s="85"/>
      <c r="H496" s="85"/>
      <c r="I496" s="91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2.75" customHeight="1" spans="1:26">
      <c r="A497" s="85"/>
      <c r="B497" s="85"/>
      <c r="C497" s="85"/>
      <c r="D497" s="85"/>
      <c r="E497" s="85"/>
      <c r="F497" s="85"/>
      <c r="G497" s="85"/>
      <c r="H497" s="85"/>
      <c r="I497" s="91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2.75" customHeight="1" spans="1:26">
      <c r="A498" s="85"/>
      <c r="B498" s="85"/>
      <c r="C498" s="85"/>
      <c r="D498" s="85"/>
      <c r="E498" s="85"/>
      <c r="F498" s="85"/>
      <c r="G498" s="85"/>
      <c r="H498" s="85"/>
      <c r="I498" s="91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2.75" customHeight="1" spans="1:26">
      <c r="A499" s="85"/>
      <c r="B499" s="85"/>
      <c r="C499" s="85"/>
      <c r="D499" s="85"/>
      <c r="E499" s="85"/>
      <c r="F499" s="85"/>
      <c r="G499" s="85"/>
      <c r="H499" s="85"/>
      <c r="I499" s="91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2.75" customHeight="1" spans="1:26">
      <c r="A500" s="85"/>
      <c r="B500" s="85"/>
      <c r="C500" s="85"/>
      <c r="D500" s="85"/>
      <c r="E500" s="85"/>
      <c r="F500" s="85"/>
      <c r="G500" s="85"/>
      <c r="H500" s="85"/>
      <c r="I500" s="91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2.75" customHeight="1" spans="1:26">
      <c r="A501" s="85"/>
      <c r="B501" s="85"/>
      <c r="C501" s="85"/>
      <c r="D501" s="85"/>
      <c r="E501" s="85"/>
      <c r="F501" s="85"/>
      <c r="G501" s="85"/>
      <c r="H501" s="85"/>
      <c r="I501" s="91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2.75" customHeight="1" spans="1:26">
      <c r="A502" s="85"/>
      <c r="B502" s="85"/>
      <c r="C502" s="85"/>
      <c r="D502" s="85"/>
      <c r="E502" s="85"/>
      <c r="F502" s="85"/>
      <c r="G502" s="85"/>
      <c r="H502" s="85"/>
      <c r="I502" s="91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2.75" customHeight="1" spans="1:26">
      <c r="A503" s="85"/>
      <c r="B503" s="85"/>
      <c r="C503" s="85"/>
      <c r="D503" s="85"/>
      <c r="E503" s="85"/>
      <c r="F503" s="85"/>
      <c r="G503" s="85"/>
      <c r="H503" s="85"/>
      <c r="I503" s="91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2.75" customHeight="1" spans="1:26">
      <c r="A504" s="85"/>
      <c r="B504" s="85"/>
      <c r="C504" s="85"/>
      <c r="D504" s="85"/>
      <c r="E504" s="85"/>
      <c r="F504" s="85"/>
      <c r="G504" s="85"/>
      <c r="H504" s="85"/>
      <c r="I504" s="91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2.75" customHeight="1" spans="1:26">
      <c r="A505" s="85"/>
      <c r="B505" s="85"/>
      <c r="C505" s="85"/>
      <c r="D505" s="85"/>
      <c r="E505" s="85"/>
      <c r="F505" s="85"/>
      <c r="G505" s="85"/>
      <c r="H505" s="85"/>
      <c r="I505" s="91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2.75" customHeight="1" spans="1:26">
      <c r="A506" s="85"/>
      <c r="B506" s="85"/>
      <c r="C506" s="85"/>
      <c r="D506" s="85"/>
      <c r="E506" s="85"/>
      <c r="F506" s="85"/>
      <c r="G506" s="85"/>
      <c r="H506" s="85"/>
      <c r="I506" s="91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2.75" customHeight="1" spans="1:26">
      <c r="A507" s="85"/>
      <c r="B507" s="85"/>
      <c r="C507" s="85"/>
      <c r="D507" s="85"/>
      <c r="E507" s="85"/>
      <c r="F507" s="85"/>
      <c r="G507" s="85"/>
      <c r="H507" s="85"/>
      <c r="I507" s="91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2.75" customHeight="1" spans="1:26">
      <c r="A508" s="85"/>
      <c r="B508" s="85"/>
      <c r="C508" s="85"/>
      <c r="D508" s="85"/>
      <c r="E508" s="85"/>
      <c r="F508" s="85"/>
      <c r="G508" s="85"/>
      <c r="H508" s="85"/>
      <c r="I508" s="91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2.75" customHeight="1" spans="1:26">
      <c r="A509" s="85"/>
      <c r="B509" s="85"/>
      <c r="C509" s="85"/>
      <c r="D509" s="85"/>
      <c r="E509" s="85"/>
      <c r="F509" s="85"/>
      <c r="G509" s="85"/>
      <c r="H509" s="85"/>
      <c r="I509" s="91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2.75" customHeight="1" spans="1:26">
      <c r="A510" s="85"/>
      <c r="B510" s="85"/>
      <c r="C510" s="85"/>
      <c r="D510" s="85"/>
      <c r="E510" s="85"/>
      <c r="F510" s="85"/>
      <c r="G510" s="85"/>
      <c r="H510" s="85"/>
      <c r="I510" s="91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2.75" customHeight="1" spans="1:26">
      <c r="A511" s="85"/>
      <c r="B511" s="85"/>
      <c r="C511" s="85"/>
      <c r="D511" s="85"/>
      <c r="E511" s="85"/>
      <c r="F511" s="85"/>
      <c r="G511" s="85"/>
      <c r="H511" s="85"/>
      <c r="I511" s="91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2.75" customHeight="1" spans="1:26">
      <c r="A512" s="85"/>
      <c r="B512" s="85"/>
      <c r="C512" s="85"/>
      <c r="D512" s="85"/>
      <c r="E512" s="85"/>
      <c r="F512" s="85"/>
      <c r="G512" s="85"/>
      <c r="H512" s="85"/>
      <c r="I512" s="91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2.75" customHeight="1" spans="1:26">
      <c r="A513" s="85"/>
      <c r="B513" s="85"/>
      <c r="C513" s="85"/>
      <c r="D513" s="85"/>
      <c r="E513" s="85"/>
      <c r="F513" s="85"/>
      <c r="G513" s="85"/>
      <c r="H513" s="85"/>
      <c r="I513" s="91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2.75" customHeight="1" spans="1:26">
      <c r="A514" s="85"/>
      <c r="B514" s="85"/>
      <c r="C514" s="85"/>
      <c r="D514" s="85"/>
      <c r="E514" s="85"/>
      <c r="F514" s="85"/>
      <c r="G514" s="85"/>
      <c r="H514" s="85"/>
      <c r="I514" s="91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2.75" customHeight="1" spans="1:26">
      <c r="A515" s="85"/>
      <c r="B515" s="85"/>
      <c r="C515" s="85"/>
      <c r="D515" s="85"/>
      <c r="E515" s="85"/>
      <c r="F515" s="85"/>
      <c r="G515" s="85"/>
      <c r="H515" s="85"/>
      <c r="I515" s="91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2.75" customHeight="1" spans="1:26">
      <c r="A516" s="85"/>
      <c r="B516" s="85"/>
      <c r="C516" s="85"/>
      <c r="D516" s="85"/>
      <c r="E516" s="85"/>
      <c r="F516" s="85"/>
      <c r="G516" s="85"/>
      <c r="H516" s="85"/>
      <c r="I516" s="91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2.75" customHeight="1" spans="1:26">
      <c r="A517" s="85"/>
      <c r="B517" s="85"/>
      <c r="C517" s="85"/>
      <c r="D517" s="85"/>
      <c r="E517" s="85"/>
      <c r="F517" s="85"/>
      <c r="G517" s="85"/>
      <c r="H517" s="85"/>
      <c r="I517" s="91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2.75" customHeight="1" spans="1:26">
      <c r="A518" s="85"/>
      <c r="B518" s="85"/>
      <c r="C518" s="85"/>
      <c r="D518" s="85"/>
      <c r="E518" s="85"/>
      <c r="F518" s="85"/>
      <c r="G518" s="85"/>
      <c r="H518" s="85"/>
      <c r="I518" s="91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2.75" customHeight="1" spans="1:26">
      <c r="A519" s="85"/>
      <c r="B519" s="85"/>
      <c r="C519" s="85"/>
      <c r="D519" s="85"/>
      <c r="E519" s="85"/>
      <c r="F519" s="85"/>
      <c r="G519" s="85"/>
      <c r="H519" s="85"/>
      <c r="I519" s="91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2.75" customHeight="1" spans="1:26">
      <c r="A520" s="85"/>
      <c r="B520" s="85"/>
      <c r="C520" s="85"/>
      <c r="D520" s="85"/>
      <c r="E520" s="85"/>
      <c r="F520" s="85"/>
      <c r="G520" s="85"/>
      <c r="H520" s="85"/>
      <c r="I520" s="91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2.75" customHeight="1" spans="1:26">
      <c r="A521" s="85"/>
      <c r="B521" s="85"/>
      <c r="C521" s="85"/>
      <c r="D521" s="85"/>
      <c r="E521" s="85"/>
      <c r="F521" s="85"/>
      <c r="G521" s="85"/>
      <c r="H521" s="85"/>
      <c r="I521" s="91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2.75" customHeight="1" spans="1:26">
      <c r="A522" s="85"/>
      <c r="B522" s="85"/>
      <c r="C522" s="85"/>
      <c r="D522" s="85"/>
      <c r="E522" s="85"/>
      <c r="F522" s="85"/>
      <c r="G522" s="85"/>
      <c r="H522" s="85"/>
      <c r="I522" s="91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2.75" customHeight="1" spans="1:26">
      <c r="A523" s="85"/>
      <c r="B523" s="85"/>
      <c r="C523" s="85"/>
      <c r="D523" s="85"/>
      <c r="E523" s="85"/>
      <c r="F523" s="85"/>
      <c r="G523" s="85"/>
      <c r="H523" s="85"/>
      <c r="I523" s="91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2.75" customHeight="1" spans="1:26">
      <c r="A524" s="85"/>
      <c r="B524" s="85"/>
      <c r="C524" s="85"/>
      <c r="D524" s="85"/>
      <c r="E524" s="85"/>
      <c r="F524" s="85"/>
      <c r="G524" s="85"/>
      <c r="H524" s="85"/>
      <c r="I524" s="91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2.75" customHeight="1" spans="1:26">
      <c r="A525" s="85"/>
      <c r="B525" s="85"/>
      <c r="C525" s="85"/>
      <c r="D525" s="85"/>
      <c r="E525" s="85"/>
      <c r="F525" s="85"/>
      <c r="G525" s="85"/>
      <c r="H525" s="85"/>
      <c r="I525" s="91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2.75" customHeight="1" spans="1:26">
      <c r="A526" s="85"/>
      <c r="B526" s="85"/>
      <c r="C526" s="85"/>
      <c r="D526" s="85"/>
      <c r="E526" s="85"/>
      <c r="F526" s="85"/>
      <c r="G526" s="85"/>
      <c r="H526" s="85"/>
      <c r="I526" s="91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2.75" customHeight="1" spans="1:26">
      <c r="A527" s="85"/>
      <c r="B527" s="85"/>
      <c r="C527" s="85"/>
      <c r="D527" s="85"/>
      <c r="E527" s="85"/>
      <c r="F527" s="85"/>
      <c r="G527" s="85"/>
      <c r="H527" s="85"/>
      <c r="I527" s="91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2.75" customHeight="1" spans="1:26">
      <c r="A528" s="85"/>
      <c r="B528" s="85"/>
      <c r="C528" s="85"/>
      <c r="D528" s="85"/>
      <c r="E528" s="85"/>
      <c r="F528" s="85"/>
      <c r="G528" s="85"/>
      <c r="H528" s="85"/>
      <c r="I528" s="91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2.75" customHeight="1" spans="1:26">
      <c r="A529" s="85"/>
      <c r="B529" s="85"/>
      <c r="C529" s="85"/>
      <c r="D529" s="85"/>
      <c r="E529" s="85"/>
      <c r="F529" s="85"/>
      <c r="G529" s="85"/>
      <c r="H529" s="85"/>
      <c r="I529" s="91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2.75" customHeight="1" spans="1:26">
      <c r="A530" s="85"/>
      <c r="B530" s="85"/>
      <c r="C530" s="85"/>
      <c r="D530" s="85"/>
      <c r="E530" s="85"/>
      <c r="F530" s="85"/>
      <c r="G530" s="85"/>
      <c r="H530" s="85"/>
      <c r="I530" s="91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2.75" customHeight="1" spans="1:26">
      <c r="A531" s="85"/>
      <c r="B531" s="85"/>
      <c r="C531" s="85"/>
      <c r="D531" s="85"/>
      <c r="E531" s="85"/>
      <c r="F531" s="85"/>
      <c r="G531" s="85"/>
      <c r="H531" s="85"/>
      <c r="I531" s="91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2.75" customHeight="1" spans="1:26">
      <c r="A532" s="85"/>
      <c r="B532" s="85"/>
      <c r="C532" s="85"/>
      <c r="D532" s="85"/>
      <c r="E532" s="85"/>
      <c r="F532" s="85"/>
      <c r="G532" s="85"/>
      <c r="H532" s="85"/>
      <c r="I532" s="91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2.75" customHeight="1" spans="1:26">
      <c r="A533" s="85"/>
      <c r="B533" s="85"/>
      <c r="C533" s="85"/>
      <c r="D533" s="85"/>
      <c r="E533" s="85"/>
      <c r="F533" s="85"/>
      <c r="G533" s="85"/>
      <c r="H533" s="85"/>
      <c r="I533" s="91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2.75" customHeight="1" spans="1:26">
      <c r="A534" s="85"/>
      <c r="B534" s="85"/>
      <c r="C534" s="85"/>
      <c r="D534" s="85"/>
      <c r="E534" s="85"/>
      <c r="F534" s="85"/>
      <c r="G534" s="85"/>
      <c r="H534" s="85"/>
      <c r="I534" s="91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2.75" customHeight="1" spans="1:26">
      <c r="A535" s="85"/>
      <c r="B535" s="85"/>
      <c r="C535" s="85"/>
      <c r="D535" s="85"/>
      <c r="E535" s="85"/>
      <c r="F535" s="85"/>
      <c r="G535" s="85"/>
      <c r="H535" s="85"/>
      <c r="I535" s="91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2.75" customHeight="1" spans="1:26">
      <c r="A536" s="85"/>
      <c r="B536" s="85"/>
      <c r="C536" s="85"/>
      <c r="D536" s="85"/>
      <c r="E536" s="85"/>
      <c r="F536" s="85"/>
      <c r="G536" s="85"/>
      <c r="H536" s="85"/>
      <c r="I536" s="91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2.75" customHeight="1" spans="1:26">
      <c r="A537" s="85"/>
      <c r="B537" s="85"/>
      <c r="C537" s="85"/>
      <c r="D537" s="85"/>
      <c r="E537" s="85"/>
      <c r="F537" s="85"/>
      <c r="G537" s="85"/>
      <c r="H537" s="85"/>
      <c r="I537" s="91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2.75" customHeight="1" spans="1:26">
      <c r="A538" s="85"/>
      <c r="B538" s="85"/>
      <c r="C538" s="85"/>
      <c r="D538" s="85"/>
      <c r="E538" s="85"/>
      <c r="F538" s="85"/>
      <c r="G538" s="85"/>
      <c r="H538" s="85"/>
      <c r="I538" s="91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2.75" customHeight="1" spans="1:26">
      <c r="A539" s="85"/>
      <c r="B539" s="85"/>
      <c r="C539" s="85"/>
      <c r="D539" s="85"/>
      <c r="E539" s="85"/>
      <c r="F539" s="85"/>
      <c r="G539" s="85"/>
      <c r="H539" s="85"/>
      <c r="I539" s="91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2.75" customHeight="1" spans="1:26">
      <c r="A540" s="85"/>
      <c r="B540" s="85"/>
      <c r="C540" s="85"/>
      <c r="D540" s="85"/>
      <c r="E540" s="85"/>
      <c r="F540" s="85"/>
      <c r="G540" s="85"/>
      <c r="H540" s="85"/>
      <c r="I540" s="91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2.75" customHeight="1" spans="1:26">
      <c r="A541" s="85"/>
      <c r="B541" s="85"/>
      <c r="C541" s="85"/>
      <c r="D541" s="85"/>
      <c r="E541" s="85"/>
      <c r="F541" s="85"/>
      <c r="G541" s="85"/>
      <c r="H541" s="85"/>
      <c r="I541" s="91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2.75" customHeight="1" spans="1:26">
      <c r="A542" s="85"/>
      <c r="B542" s="85"/>
      <c r="C542" s="85"/>
      <c r="D542" s="85"/>
      <c r="E542" s="85"/>
      <c r="F542" s="85"/>
      <c r="G542" s="85"/>
      <c r="H542" s="85"/>
      <c r="I542" s="91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2.75" customHeight="1" spans="1:26">
      <c r="A543" s="85"/>
      <c r="B543" s="85"/>
      <c r="C543" s="85"/>
      <c r="D543" s="85"/>
      <c r="E543" s="85"/>
      <c r="F543" s="85"/>
      <c r="G543" s="85"/>
      <c r="H543" s="85"/>
      <c r="I543" s="91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2.75" customHeight="1" spans="1:26">
      <c r="A544" s="85"/>
      <c r="B544" s="85"/>
      <c r="C544" s="85"/>
      <c r="D544" s="85"/>
      <c r="E544" s="85"/>
      <c r="F544" s="85"/>
      <c r="G544" s="85"/>
      <c r="H544" s="85"/>
      <c r="I544" s="91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2.75" customHeight="1" spans="1:26">
      <c r="A545" s="85"/>
      <c r="B545" s="85"/>
      <c r="C545" s="85"/>
      <c r="D545" s="85"/>
      <c r="E545" s="85"/>
      <c r="F545" s="85"/>
      <c r="G545" s="85"/>
      <c r="H545" s="85"/>
      <c r="I545" s="91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2.75" customHeight="1" spans="1:26">
      <c r="A546" s="85"/>
      <c r="B546" s="85"/>
      <c r="C546" s="85"/>
      <c r="D546" s="85"/>
      <c r="E546" s="85"/>
      <c r="F546" s="85"/>
      <c r="G546" s="85"/>
      <c r="H546" s="85"/>
      <c r="I546" s="91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2.75" customHeight="1" spans="1:26">
      <c r="A547" s="85"/>
      <c r="B547" s="85"/>
      <c r="C547" s="85"/>
      <c r="D547" s="85"/>
      <c r="E547" s="85"/>
      <c r="F547" s="85"/>
      <c r="G547" s="85"/>
      <c r="H547" s="85"/>
      <c r="I547" s="91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2.75" customHeight="1" spans="1:26">
      <c r="A548" s="85"/>
      <c r="B548" s="85"/>
      <c r="C548" s="85"/>
      <c r="D548" s="85"/>
      <c r="E548" s="85"/>
      <c r="F548" s="85"/>
      <c r="G548" s="85"/>
      <c r="H548" s="85"/>
      <c r="I548" s="91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2.75" customHeight="1" spans="1:26">
      <c r="A549" s="85"/>
      <c r="B549" s="85"/>
      <c r="C549" s="85"/>
      <c r="D549" s="85"/>
      <c r="E549" s="85"/>
      <c r="F549" s="85"/>
      <c r="G549" s="85"/>
      <c r="H549" s="85"/>
      <c r="I549" s="91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2.75" customHeight="1" spans="1:26">
      <c r="A550" s="85"/>
      <c r="B550" s="85"/>
      <c r="C550" s="85"/>
      <c r="D550" s="85"/>
      <c r="E550" s="85"/>
      <c r="F550" s="85"/>
      <c r="G550" s="85"/>
      <c r="H550" s="85"/>
      <c r="I550" s="91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2.75" customHeight="1" spans="1:26">
      <c r="A551" s="85"/>
      <c r="B551" s="85"/>
      <c r="C551" s="85"/>
      <c r="D551" s="85"/>
      <c r="E551" s="85"/>
      <c r="F551" s="85"/>
      <c r="G551" s="85"/>
      <c r="H551" s="85"/>
      <c r="I551" s="91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2.75" customHeight="1" spans="1:26">
      <c r="A552" s="85"/>
      <c r="B552" s="85"/>
      <c r="C552" s="85"/>
      <c r="D552" s="85"/>
      <c r="E552" s="85"/>
      <c r="F552" s="85"/>
      <c r="G552" s="85"/>
      <c r="H552" s="85"/>
      <c r="I552" s="91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2.75" customHeight="1" spans="1:26">
      <c r="A553" s="85"/>
      <c r="B553" s="85"/>
      <c r="C553" s="85"/>
      <c r="D553" s="85"/>
      <c r="E553" s="85"/>
      <c r="F553" s="85"/>
      <c r="G553" s="85"/>
      <c r="H553" s="85"/>
      <c r="I553" s="91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2.75" customHeight="1" spans="1:26">
      <c r="A554" s="85"/>
      <c r="B554" s="85"/>
      <c r="C554" s="85"/>
      <c r="D554" s="85"/>
      <c r="E554" s="85"/>
      <c r="F554" s="85"/>
      <c r="G554" s="85"/>
      <c r="H554" s="85"/>
      <c r="I554" s="91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2.75" customHeight="1" spans="1:26">
      <c r="A555" s="85"/>
      <c r="B555" s="85"/>
      <c r="C555" s="85"/>
      <c r="D555" s="85"/>
      <c r="E555" s="85"/>
      <c r="F555" s="85"/>
      <c r="G555" s="85"/>
      <c r="H555" s="85"/>
      <c r="I555" s="91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2.75" customHeight="1" spans="1:26">
      <c r="A556" s="85"/>
      <c r="B556" s="85"/>
      <c r="C556" s="85"/>
      <c r="D556" s="85"/>
      <c r="E556" s="85"/>
      <c r="F556" s="85"/>
      <c r="G556" s="85"/>
      <c r="H556" s="85"/>
      <c r="I556" s="91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2.75" customHeight="1" spans="1:26">
      <c r="A557" s="85"/>
      <c r="B557" s="85"/>
      <c r="C557" s="85"/>
      <c r="D557" s="85"/>
      <c r="E557" s="85"/>
      <c r="F557" s="85"/>
      <c r="G557" s="85"/>
      <c r="H557" s="85"/>
      <c r="I557" s="91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2.75" customHeight="1" spans="1:26">
      <c r="A558" s="85"/>
      <c r="B558" s="85"/>
      <c r="C558" s="85"/>
      <c r="D558" s="85"/>
      <c r="E558" s="85"/>
      <c r="F558" s="85"/>
      <c r="G558" s="85"/>
      <c r="H558" s="85"/>
      <c r="I558" s="91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2.75" customHeight="1" spans="1:26">
      <c r="A559" s="85"/>
      <c r="B559" s="85"/>
      <c r="C559" s="85"/>
      <c r="D559" s="85"/>
      <c r="E559" s="85"/>
      <c r="F559" s="85"/>
      <c r="G559" s="85"/>
      <c r="H559" s="85"/>
      <c r="I559" s="91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2.75" customHeight="1" spans="1:26">
      <c r="A560" s="85"/>
      <c r="B560" s="85"/>
      <c r="C560" s="85"/>
      <c r="D560" s="85"/>
      <c r="E560" s="85"/>
      <c r="F560" s="85"/>
      <c r="G560" s="85"/>
      <c r="H560" s="85"/>
      <c r="I560" s="91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2.75" customHeight="1" spans="1:26">
      <c r="A561" s="85"/>
      <c r="B561" s="85"/>
      <c r="C561" s="85"/>
      <c r="D561" s="85"/>
      <c r="E561" s="85"/>
      <c r="F561" s="85"/>
      <c r="G561" s="85"/>
      <c r="H561" s="85"/>
      <c r="I561" s="91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2.75" customHeight="1" spans="1:26">
      <c r="A562" s="85"/>
      <c r="B562" s="85"/>
      <c r="C562" s="85"/>
      <c r="D562" s="85"/>
      <c r="E562" s="85"/>
      <c r="F562" s="85"/>
      <c r="G562" s="85"/>
      <c r="H562" s="85"/>
      <c r="I562" s="91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2.75" customHeight="1" spans="1:26">
      <c r="A563" s="85"/>
      <c r="B563" s="85"/>
      <c r="C563" s="85"/>
      <c r="D563" s="85"/>
      <c r="E563" s="85"/>
      <c r="F563" s="85"/>
      <c r="G563" s="85"/>
      <c r="H563" s="85"/>
      <c r="I563" s="91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2.75" customHeight="1" spans="1:26">
      <c r="A564" s="85"/>
      <c r="B564" s="85"/>
      <c r="C564" s="85"/>
      <c r="D564" s="85"/>
      <c r="E564" s="85"/>
      <c r="F564" s="85"/>
      <c r="G564" s="85"/>
      <c r="H564" s="85"/>
      <c r="I564" s="91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2.75" customHeight="1" spans="1:26">
      <c r="A565" s="85"/>
      <c r="B565" s="85"/>
      <c r="C565" s="85"/>
      <c r="D565" s="85"/>
      <c r="E565" s="85"/>
      <c r="F565" s="85"/>
      <c r="G565" s="85"/>
      <c r="H565" s="85"/>
      <c r="I565" s="91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2.75" customHeight="1" spans="1:26">
      <c r="A566" s="85"/>
      <c r="B566" s="85"/>
      <c r="C566" s="85"/>
      <c r="D566" s="85"/>
      <c r="E566" s="85"/>
      <c r="F566" s="85"/>
      <c r="G566" s="85"/>
      <c r="H566" s="85"/>
      <c r="I566" s="91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2.75" customHeight="1" spans="1:26">
      <c r="A567" s="85"/>
      <c r="B567" s="85"/>
      <c r="C567" s="85"/>
      <c r="D567" s="85"/>
      <c r="E567" s="85"/>
      <c r="F567" s="85"/>
      <c r="G567" s="85"/>
      <c r="H567" s="85"/>
      <c r="I567" s="91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2.75" customHeight="1" spans="1:26">
      <c r="A568" s="85"/>
      <c r="B568" s="85"/>
      <c r="C568" s="85"/>
      <c r="D568" s="85"/>
      <c r="E568" s="85"/>
      <c r="F568" s="85"/>
      <c r="G568" s="85"/>
      <c r="H568" s="85"/>
      <c r="I568" s="91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2.75" customHeight="1" spans="1:26">
      <c r="A569" s="85"/>
      <c r="B569" s="85"/>
      <c r="C569" s="85"/>
      <c r="D569" s="85"/>
      <c r="E569" s="85"/>
      <c r="F569" s="85"/>
      <c r="G569" s="85"/>
      <c r="H569" s="85"/>
      <c r="I569" s="91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2.75" customHeight="1" spans="1:26">
      <c r="A570" s="85"/>
      <c r="B570" s="85"/>
      <c r="C570" s="85"/>
      <c r="D570" s="85"/>
      <c r="E570" s="85"/>
      <c r="F570" s="85"/>
      <c r="G570" s="85"/>
      <c r="H570" s="85"/>
      <c r="I570" s="91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2.75" customHeight="1" spans="1:26">
      <c r="A571" s="85"/>
      <c r="B571" s="85"/>
      <c r="C571" s="85"/>
      <c r="D571" s="85"/>
      <c r="E571" s="85"/>
      <c r="F571" s="85"/>
      <c r="G571" s="85"/>
      <c r="H571" s="85"/>
      <c r="I571" s="91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2.75" customHeight="1" spans="1:26">
      <c r="A572" s="85"/>
      <c r="B572" s="85"/>
      <c r="C572" s="85"/>
      <c r="D572" s="85"/>
      <c r="E572" s="85"/>
      <c r="F572" s="85"/>
      <c r="G572" s="85"/>
      <c r="H572" s="85"/>
      <c r="I572" s="91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2.75" customHeight="1" spans="1:26">
      <c r="A573" s="85"/>
      <c r="B573" s="85"/>
      <c r="C573" s="85"/>
      <c r="D573" s="85"/>
      <c r="E573" s="85"/>
      <c r="F573" s="85"/>
      <c r="G573" s="85"/>
      <c r="H573" s="85"/>
      <c r="I573" s="91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2.75" customHeight="1" spans="1:26">
      <c r="A574" s="85"/>
      <c r="B574" s="85"/>
      <c r="C574" s="85"/>
      <c r="D574" s="85"/>
      <c r="E574" s="85"/>
      <c r="F574" s="85"/>
      <c r="G574" s="85"/>
      <c r="H574" s="85"/>
      <c r="I574" s="91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2.75" customHeight="1" spans="1:26">
      <c r="A575" s="85"/>
      <c r="B575" s="85"/>
      <c r="C575" s="85"/>
      <c r="D575" s="85"/>
      <c r="E575" s="85"/>
      <c r="F575" s="85"/>
      <c r="G575" s="85"/>
      <c r="H575" s="85"/>
      <c r="I575" s="91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2.75" customHeight="1" spans="1:26">
      <c r="A576" s="85"/>
      <c r="B576" s="85"/>
      <c r="C576" s="85"/>
      <c r="D576" s="85"/>
      <c r="E576" s="85"/>
      <c r="F576" s="85"/>
      <c r="G576" s="85"/>
      <c r="H576" s="85"/>
      <c r="I576" s="91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2.75" customHeight="1" spans="1:26">
      <c r="A577" s="85"/>
      <c r="B577" s="85"/>
      <c r="C577" s="85"/>
      <c r="D577" s="85"/>
      <c r="E577" s="85"/>
      <c r="F577" s="85"/>
      <c r="G577" s="85"/>
      <c r="H577" s="85"/>
      <c r="I577" s="91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2.75" customHeight="1" spans="1:26">
      <c r="A578" s="85"/>
      <c r="B578" s="85"/>
      <c r="C578" s="85"/>
      <c r="D578" s="85"/>
      <c r="E578" s="85"/>
      <c r="F578" s="85"/>
      <c r="G578" s="85"/>
      <c r="H578" s="85"/>
      <c r="I578" s="91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2.75" customHeight="1" spans="1:26">
      <c r="A579" s="85"/>
      <c r="B579" s="85"/>
      <c r="C579" s="85"/>
      <c r="D579" s="85"/>
      <c r="E579" s="85"/>
      <c r="F579" s="85"/>
      <c r="G579" s="85"/>
      <c r="H579" s="85"/>
      <c r="I579" s="91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2.75" customHeight="1" spans="1:26">
      <c r="A580" s="85"/>
      <c r="B580" s="85"/>
      <c r="C580" s="85"/>
      <c r="D580" s="85"/>
      <c r="E580" s="85"/>
      <c r="F580" s="85"/>
      <c r="G580" s="85"/>
      <c r="H580" s="85"/>
      <c r="I580" s="91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2.75" customHeight="1" spans="1:26">
      <c r="A581" s="85"/>
      <c r="B581" s="85"/>
      <c r="C581" s="85"/>
      <c r="D581" s="85"/>
      <c r="E581" s="85"/>
      <c r="F581" s="85"/>
      <c r="G581" s="85"/>
      <c r="H581" s="85"/>
      <c r="I581" s="91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2.75" customHeight="1" spans="1:26">
      <c r="A582" s="85"/>
      <c r="B582" s="85"/>
      <c r="C582" s="85"/>
      <c r="D582" s="85"/>
      <c r="E582" s="85"/>
      <c r="F582" s="85"/>
      <c r="G582" s="85"/>
      <c r="H582" s="85"/>
      <c r="I582" s="91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2.75" customHeight="1" spans="1:26">
      <c r="A583" s="85"/>
      <c r="B583" s="85"/>
      <c r="C583" s="85"/>
      <c r="D583" s="85"/>
      <c r="E583" s="85"/>
      <c r="F583" s="85"/>
      <c r="G583" s="85"/>
      <c r="H583" s="85"/>
      <c r="I583" s="91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2.75" customHeight="1" spans="1:26">
      <c r="A584" s="85"/>
      <c r="B584" s="85"/>
      <c r="C584" s="85"/>
      <c r="D584" s="85"/>
      <c r="E584" s="85"/>
      <c r="F584" s="85"/>
      <c r="G584" s="85"/>
      <c r="H584" s="85"/>
      <c r="I584" s="91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2.75" customHeight="1" spans="1:26">
      <c r="A585" s="85"/>
      <c r="B585" s="85"/>
      <c r="C585" s="85"/>
      <c r="D585" s="85"/>
      <c r="E585" s="85"/>
      <c r="F585" s="85"/>
      <c r="G585" s="85"/>
      <c r="H585" s="85"/>
      <c r="I585" s="91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2.75" customHeight="1" spans="1:26">
      <c r="A586" s="85"/>
      <c r="B586" s="85"/>
      <c r="C586" s="85"/>
      <c r="D586" s="85"/>
      <c r="E586" s="85"/>
      <c r="F586" s="85"/>
      <c r="G586" s="85"/>
      <c r="H586" s="85"/>
      <c r="I586" s="91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2.75" customHeight="1" spans="1:26">
      <c r="A587" s="85"/>
      <c r="B587" s="85"/>
      <c r="C587" s="85"/>
      <c r="D587" s="85"/>
      <c r="E587" s="85"/>
      <c r="F587" s="85"/>
      <c r="G587" s="85"/>
      <c r="H587" s="85"/>
      <c r="I587" s="91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2.75" customHeight="1" spans="1:26">
      <c r="A588" s="85"/>
      <c r="B588" s="85"/>
      <c r="C588" s="85"/>
      <c r="D588" s="85"/>
      <c r="E588" s="85"/>
      <c r="F588" s="85"/>
      <c r="G588" s="85"/>
      <c r="H588" s="85"/>
      <c r="I588" s="91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2.75" customHeight="1" spans="1:26">
      <c r="A589" s="85"/>
      <c r="B589" s="85"/>
      <c r="C589" s="85"/>
      <c r="D589" s="85"/>
      <c r="E589" s="85"/>
      <c r="F589" s="85"/>
      <c r="G589" s="85"/>
      <c r="H589" s="85"/>
      <c r="I589" s="91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2.75" customHeight="1" spans="1:26">
      <c r="A590" s="85"/>
      <c r="B590" s="85"/>
      <c r="C590" s="85"/>
      <c r="D590" s="85"/>
      <c r="E590" s="85"/>
      <c r="F590" s="85"/>
      <c r="G590" s="85"/>
      <c r="H590" s="85"/>
      <c r="I590" s="91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2.75" customHeight="1" spans="1:26">
      <c r="A591" s="85"/>
      <c r="B591" s="85"/>
      <c r="C591" s="85"/>
      <c r="D591" s="85"/>
      <c r="E591" s="85"/>
      <c r="F591" s="85"/>
      <c r="G591" s="85"/>
      <c r="H591" s="85"/>
      <c r="I591" s="91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2.75" customHeight="1" spans="1:26">
      <c r="A592" s="85"/>
      <c r="B592" s="85"/>
      <c r="C592" s="85"/>
      <c r="D592" s="85"/>
      <c r="E592" s="85"/>
      <c r="F592" s="85"/>
      <c r="G592" s="85"/>
      <c r="H592" s="85"/>
      <c r="I592" s="91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2.75" customHeight="1" spans="1:26">
      <c r="A593" s="85"/>
      <c r="B593" s="85"/>
      <c r="C593" s="85"/>
      <c r="D593" s="85"/>
      <c r="E593" s="85"/>
      <c r="F593" s="85"/>
      <c r="G593" s="85"/>
      <c r="H593" s="85"/>
      <c r="I593" s="91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2.75" customHeight="1" spans="1:26">
      <c r="A594" s="85"/>
      <c r="B594" s="85"/>
      <c r="C594" s="85"/>
      <c r="D594" s="85"/>
      <c r="E594" s="85"/>
      <c r="F594" s="85"/>
      <c r="G594" s="85"/>
      <c r="H594" s="85"/>
      <c r="I594" s="91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2.75" customHeight="1" spans="1:26">
      <c r="A595" s="85"/>
      <c r="B595" s="85"/>
      <c r="C595" s="85"/>
      <c r="D595" s="85"/>
      <c r="E595" s="85"/>
      <c r="F595" s="85"/>
      <c r="G595" s="85"/>
      <c r="H595" s="85"/>
      <c r="I595" s="91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2.75" customHeight="1" spans="1:26">
      <c r="A596" s="85"/>
      <c r="B596" s="85"/>
      <c r="C596" s="85"/>
      <c r="D596" s="85"/>
      <c r="E596" s="85"/>
      <c r="F596" s="85"/>
      <c r="G596" s="85"/>
      <c r="H596" s="85"/>
      <c r="I596" s="91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2.75" customHeight="1" spans="1:26">
      <c r="A597" s="85"/>
      <c r="B597" s="85"/>
      <c r="C597" s="85"/>
      <c r="D597" s="85"/>
      <c r="E597" s="85"/>
      <c r="F597" s="85"/>
      <c r="G597" s="85"/>
      <c r="H597" s="85"/>
      <c r="I597" s="91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2.75" customHeight="1" spans="1:26">
      <c r="A598" s="85"/>
      <c r="B598" s="85"/>
      <c r="C598" s="85"/>
      <c r="D598" s="85"/>
      <c r="E598" s="85"/>
      <c r="F598" s="85"/>
      <c r="G598" s="85"/>
      <c r="H598" s="85"/>
      <c r="I598" s="91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2.75" customHeight="1" spans="1:26">
      <c r="A599" s="85"/>
      <c r="B599" s="85"/>
      <c r="C599" s="85"/>
      <c r="D599" s="85"/>
      <c r="E599" s="85"/>
      <c r="F599" s="85"/>
      <c r="G599" s="85"/>
      <c r="H599" s="85"/>
      <c r="I599" s="91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2.75" customHeight="1" spans="1:26">
      <c r="A600" s="85"/>
      <c r="B600" s="85"/>
      <c r="C600" s="85"/>
      <c r="D600" s="85"/>
      <c r="E600" s="85"/>
      <c r="F600" s="85"/>
      <c r="G600" s="85"/>
      <c r="H600" s="85"/>
      <c r="I600" s="91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2.75" customHeight="1" spans="1:26">
      <c r="A601" s="85"/>
      <c r="B601" s="85"/>
      <c r="C601" s="85"/>
      <c r="D601" s="85"/>
      <c r="E601" s="85"/>
      <c r="F601" s="85"/>
      <c r="G601" s="85"/>
      <c r="H601" s="85"/>
      <c r="I601" s="91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2.75" customHeight="1" spans="1:26">
      <c r="A602" s="85"/>
      <c r="B602" s="85"/>
      <c r="C602" s="85"/>
      <c r="D602" s="85"/>
      <c r="E602" s="85"/>
      <c r="F602" s="85"/>
      <c r="G602" s="85"/>
      <c r="H602" s="85"/>
      <c r="I602" s="91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2.75" customHeight="1" spans="1:26">
      <c r="A603" s="85"/>
      <c r="B603" s="85"/>
      <c r="C603" s="85"/>
      <c r="D603" s="85"/>
      <c r="E603" s="85"/>
      <c r="F603" s="85"/>
      <c r="G603" s="85"/>
      <c r="H603" s="85"/>
      <c r="I603" s="91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2.75" customHeight="1" spans="1:26">
      <c r="A604" s="85"/>
      <c r="B604" s="85"/>
      <c r="C604" s="85"/>
      <c r="D604" s="85"/>
      <c r="E604" s="85"/>
      <c r="F604" s="85"/>
      <c r="G604" s="85"/>
      <c r="H604" s="85"/>
      <c r="I604" s="91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2.75" customHeight="1" spans="1:26">
      <c r="A605" s="85"/>
      <c r="B605" s="85"/>
      <c r="C605" s="85"/>
      <c r="D605" s="85"/>
      <c r="E605" s="85"/>
      <c r="F605" s="85"/>
      <c r="G605" s="85"/>
      <c r="H605" s="85"/>
      <c r="I605" s="91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2.75" customHeight="1" spans="1:26">
      <c r="A606" s="85"/>
      <c r="B606" s="85"/>
      <c r="C606" s="85"/>
      <c r="D606" s="85"/>
      <c r="E606" s="85"/>
      <c r="F606" s="85"/>
      <c r="G606" s="85"/>
      <c r="H606" s="85"/>
      <c r="I606" s="91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2.75" customHeight="1" spans="1:26">
      <c r="A607" s="85"/>
      <c r="B607" s="85"/>
      <c r="C607" s="85"/>
      <c r="D607" s="85"/>
      <c r="E607" s="85"/>
      <c r="F607" s="85"/>
      <c r="G607" s="85"/>
      <c r="H607" s="85"/>
      <c r="I607" s="91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2.75" customHeight="1" spans="1:26">
      <c r="A608" s="85"/>
      <c r="B608" s="85"/>
      <c r="C608" s="85"/>
      <c r="D608" s="85"/>
      <c r="E608" s="85"/>
      <c r="F608" s="85"/>
      <c r="G608" s="85"/>
      <c r="H608" s="85"/>
      <c r="I608" s="91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2.75" customHeight="1" spans="1:26">
      <c r="A609" s="85"/>
      <c r="B609" s="85"/>
      <c r="C609" s="85"/>
      <c r="D609" s="85"/>
      <c r="E609" s="85"/>
      <c r="F609" s="85"/>
      <c r="G609" s="85"/>
      <c r="H609" s="85"/>
      <c r="I609" s="91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2.75" customHeight="1" spans="1:26">
      <c r="A610" s="85"/>
      <c r="B610" s="85"/>
      <c r="C610" s="85"/>
      <c r="D610" s="85"/>
      <c r="E610" s="85"/>
      <c r="F610" s="85"/>
      <c r="G610" s="85"/>
      <c r="H610" s="85"/>
      <c r="I610" s="91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2.75" customHeight="1" spans="1:26">
      <c r="A611" s="85"/>
      <c r="B611" s="85"/>
      <c r="C611" s="85"/>
      <c r="D611" s="85"/>
      <c r="E611" s="85"/>
      <c r="F611" s="85"/>
      <c r="G611" s="85"/>
      <c r="H611" s="85"/>
      <c r="I611" s="91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2.75" customHeight="1" spans="1:26">
      <c r="A612" s="85"/>
      <c r="B612" s="85"/>
      <c r="C612" s="85"/>
      <c r="D612" s="85"/>
      <c r="E612" s="85"/>
      <c r="F612" s="85"/>
      <c r="G612" s="85"/>
      <c r="H612" s="85"/>
      <c r="I612" s="91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2.75" customHeight="1" spans="1:26">
      <c r="A613" s="85"/>
      <c r="B613" s="85"/>
      <c r="C613" s="85"/>
      <c r="D613" s="85"/>
      <c r="E613" s="85"/>
      <c r="F613" s="85"/>
      <c r="G613" s="85"/>
      <c r="H613" s="85"/>
      <c r="I613" s="91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2.75" customHeight="1" spans="1:26">
      <c r="A614" s="85"/>
      <c r="B614" s="85"/>
      <c r="C614" s="85"/>
      <c r="D614" s="85"/>
      <c r="E614" s="85"/>
      <c r="F614" s="85"/>
      <c r="G614" s="85"/>
      <c r="H614" s="85"/>
      <c r="I614" s="91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2.75" customHeight="1" spans="1:26">
      <c r="A615" s="85"/>
      <c r="B615" s="85"/>
      <c r="C615" s="85"/>
      <c r="D615" s="85"/>
      <c r="E615" s="85"/>
      <c r="F615" s="85"/>
      <c r="G615" s="85"/>
      <c r="H615" s="85"/>
      <c r="I615" s="91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2.75" customHeight="1" spans="1:26">
      <c r="A616" s="85"/>
      <c r="B616" s="85"/>
      <c r="C616" s="85"/>
      <c r="D616" s="85"/>
      <c r="E616" s="85"/>
      <c r="F616" s="85"/>
      <c r="G616" s="85"/>
      <c r="H616" s="85"/>
      <c r="I616" s="91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2.75" customHeight="1" spans="1:26">
      <c r="A617" s="85"/>
      <c r="B617" s="85"/>
      <c r="C617" s="85"/>
      <c r="D617" s="85"/>
      <c r="E617" s="85"/>
      <c r="F617" s="85"/>
      <c r="G617" s="85"/>
      <c r="H617" s="85"/>
      <c r="I617" s="91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2.75" customHeight="1" spans="1:26">
      <c r="A618" s="85"/>
      <c r="B618" s="85"/>
      <c r="C618" s="85"/>
      <c r="D618" s="85"/>
      <c r="E618" s="85"/>
      <c r="F618" s="85"/>
      <c r="G618" s="85"/>
      <c r="H618" s="85"/>
      <c r="I618" s="91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2.75" customHeight="1" spans="1:26">
      <c r="A619" s="85"/>
      <c r="B619" s="85"/>
      <c r="C619" s="85"/>
      <c r="D619" s="85"/>
      <c r="E619" s="85"/>
      <c r="F619" s="85"/>
      <c r="G619" s="85"/>
      <c r="H619" s="85"/>
      <c r="I619" s="91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2.75" customHeight="1" spans="1:26">
      <c r="A620" s="85"/>
      <c r="B620" s="85"/>
      <c r="C620" s="85"/>
      <c r="D620" s="85"/>
      <c r="E620" s="85"/>
      <c r="F620" s="85"/>
      <c r="G620" s="85"/>
      <c r="H620" s="85"/>
      <c r="I620" s="91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2.75" customHeight="1" spans="1:26">
      <c r="A621" s="85"/>
      <c r="B621" s="85"/>
      <c r="C621" s="85"/>
      <c r="D621" s="85"/>
      <c r="E621" s="85"/>
      <c r="F621" s="85"/>
      <c r="G621" s="85"/>
      <c r="H621" s="85"/>
      <c r="I621" s="91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2.75" customHeight="1" spans="1:26">
      <c r="A622" s="85"/>
      <c r="B622" s="85"/>
      <c r="C622" s="85"/>
      <c r="D622" s="85"/>
      <c r="E622" s="85"/>
      <c r="F622" s="85"/>
      <c r="G622" s="85"/>
      <c r="H622" s="85"/>
      <c r="I622" s="91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2.75" customHeight="1" spans="1:26">
      <c r="A623" s="85"/>
      <c r="B623" s="85"/>
      <c r="C623" s="85"/>
      <c r="D623" s="85"/>
      <c r="E623" s="85"/>
      <c r="F623" s="85"/>
      <c r="G623" s="85"/>
      <c r="H623" s="85"/>
      <c r="I623" s="91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2.75" customHeight="1" spans="1:26">
      <c r="A624" s="85"/>
      <c r="B624" s="85"/>
      <c r="C624" s="85"/>
      <c r="D624" s="85"/>
      <c r="E624" s="85"/>
      <c r="F624" s="85"/>
      <c r="G624" s="85"/>
      <c r="H624" s="85"/>
      <c r="I624" s="91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2.75" customHeight="1" spans="1:26">
      <c r="A625" s="85"/>
      <c r="B625" s="85"/>
      <c r="C625" s="85"/>
      <c r="D625" s="85"/>
      <c r="E625" s="85"/>
      <c r="F625" s="85"/>
      <c r="G625" s="85"/>
      <c r="H625" s="85"/>
      <c r="I625" s="91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2.75" customHeight="1" spans="1:26">
      <c r="A626" s="85"/>
      <c r="B626" s="85"/>
      <c r="C626" s="85"/>
      <c r="D626" s="85"/>
      <c r="E626" s="85"/>
      <c r="F626" s="85"/>
      <c r="G626" s="85"/>
      <c r="H626" s="85"/>
      <c r="I626" s="91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2.75" customHeight="1" spans="1:26">
      <c r="A627" s="85"/>
      <c r="B627" s="85"/>
      <c r="C627" s="85"/>
      <c r="D627" s="85"/>
      <c r="E627" s="85"/>
      <c r="F627" s="85"/>
      <c r="G627" s="85"/>
      <c r="H627" s="85"/>
      <c r="I627" s="91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2.75" customHeight="1" spans="1:26">
      <c r="A628" s="85"/>
      <c r="B628" s="85"/>
      <c r="C628" s="85"/>
      <c r="D628" s="85"/>
      <c r="E628" s="85"/>
      <c r="F628" s="85"/>
      <c r="G628" s="85"/>
      <c r="H628" s="85"/>
      <c r="I628" s="91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2.75" customHeight="1" spans="1:26">
      <c r="A629" s="85"/>
      <c r="B629" s="85"/>
      <c r="C629" s="85"/>
      <c r="D629" s="85"/>
      <c r="E629" s="85"/>
      <c r="F629" s="85"/>
      <c r="G629" s="85"/>
      <c r="H629" s="85"/>
      <c r="I629" s="91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2.75" customHeight="1" spans="1:26">
      <c r="A630" s="85"/>
      <c r="B630" s="85"/>
      <c r="C630" s="85"/>
      <c r="D630" s="85"/>
      <c r="E630" s="85"/>
      <c r="F630" s="85"/>
      <c r="G630" s="85"/>
      <c r="H630" s="85"/>
      <c r="I630" s="91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2.75" customHeight="1" spans="1:26">
      <c r="A631" s="85"/>
      <c r="B631" s="85"/>
      <c r="C631" s="85"/>
      <c r="D631" s="85"/>
      <c r="E631" s="85"/>
      <c r="F631" s="85"/>
      <c r="G631" s="85"/>
      <c r="H631" s="85"/>
      <c r="I631" s="91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2.75" customHeight="1" spans="1:26">
      <c r="A632" s="85"/>
      <c r="B632" s="85"/>
      <c r="C632" s="85"/>
      <c r="D632" s="85"/>
      <c r="E632" s="85"/>
      <c r="F632" s="85"/>
      <c r="G632" s="85"/>
      <c r="H632" s="85"/>
      <c r="I632" s="91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2.75" customHeight="1" spans="1:26">
      <c r="A633" s="85"/>
      <c r="B633" s="85"/>
      <c r="C633" s="85"/>
      <c r="D633" s="85"/>
      <c r="E633" s="85"/>
      <c r="F633" s="85"/>
      <c r="G633" s="85"/>
      <c r="H633" s="85"/>
      <c r="I633" s="91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2.75" customHeight="1" spans="1:26">
      <c r="A634" s="85"/>
      <c r="B634" s="85"/>
      <c r="C634" s="85"/>
      <c r="D634" s="85"/>
      <c r="E634" s="85"/>
      <c r="F634" s="85"/>
      <c r="G634" s="85"/>
      <c r="H634" s="85"/>
      <c r="I634" s="91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2.75" customHeight="1" spans="1:26">
      <c r="A635" s="85"/>
      <c r="B635" s="85"/>
      <c r="C635" s="85"/>
      <c r="D635" s="85"/>
      <c r="E635" s="85"/>
      <c r="F635" s="85"/>
      <c r="G635" s="85"/>
      <c r="H635" s="85"/>
      <c r="I635" s="91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2.75" customHeight="1" spans="1:26">
      <c r="A636" s="85"/>
      <c r="B636" s="85"/>
      <c r="C636" s="85"/>
      <c r="D636" s="85"/>
      <c r="E636" s="85"/>
      <c r="F636" s="85"/>
      <c r="G636" s="85"/>
      <c r="H636" s="85"/>
      <c r="I636" s="91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2.75" customHeight="1" spans="1:26">
      <c r="A637" s="85"/>
      <c r="B637" s="85"/>
      <c r="C637" s="85"/>
      <c r="D637" s="85"/>
      <c r="E637" s="85"/>
      <c r="F637" s="85"/>
      <c r="G637" s="85"/>
      <c r="H637" s="85"/>
      <c r="I637" s="91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2.75" customHeight="1" spans="1:26">
      <c r="A638" s="85"/>
      <c r="B638" s="85"/>
      <c r="C638" s="85"/>
      <c r="D638" s="85"/>
      <c r="E638" s="85"/>
      <c r="F638" s="85"/>
      <c r="G638" s="85"/>
      <c r="H638" s="85"/>
      <c r="I638" s="91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2.75" customHeight="1" spans="1:26">
      <c r="A639" s="85"/>
      <c r="B639" s="85"/>
      <c r="C639" s="85"/>
      <c r="D639" s="85"/>
      <c r="E639" s="85"/>
      <c r="F639" s="85"/>
      <c r="G639" s="85"/>
      <c r="H639" s="85"/>
      <c r="I639" s="91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2.75" customHeight="1" spans="1:26">
      <c r="A640" s="85"/>
      <c r="B640" s="85"/>
      <c r="C640" s="85"/>
      <c r="D640" s="85"/>
      <c r="E640" s="85"/>
      <c r="F640" s="85"/>
      <c r="G640" s="85"/>
      <c r="H640" s="85"/>
      <c r="I640" s="91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2.75" customHeight="1" spans="1:26">
      <c r="A641" s="85"/>
      <c r="B641" s="85"/>
      <c r="C641" s="85"/>
      <c r="D641" s="85"/>
      <c r="E641" s="85"/>
      <c r="F641" s="85"/>
      <c r="G641" s="85"/>
      <c r="H641" s="85"/>
      <c r="I641" s="91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2.75" customHeight="1" spans="1:26">
      <c r="A642" s="85"/>
      <c r="B642" s="85"/>
      <c r="C642" s="85"/>
      <c r="D642" s="85"/>
      <c r="E642" s="85"/>
      <c r="F642" s="85"/>
      <c r="G642" s="85"/>
      <c r="H642" s="85"/>
      <c r="I642" s="91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2.75" customHeight="1" spans="1:26">
      <c r="A643" s="85"/>
      <c r="B643" s="85"/>
      <c r="C643" s="85"/>
      <c r="D643" s="85"/>
      <c r="E643" s="85"/>
      <c r="F643" s="85"/>
      <c r="G643" s="85"/>
      <c r="H643" s="85"/>
      <c r="I643" s="91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2.75" customHeight="1" spans="1:26">
      <c r="A644" s="85"/>
      <c r="B644" s="85"/>
      <c r="C644" s="85"/>
      <c r="D644" s="85"/>
      <c r="E644" s="85"/>
      <c r="F644" s="85"/>
      <c r="G644" s="85"/>
      <c r="H644" s="85"/>
      <c r="I644" s="91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2.75" customHeight="1" spans="1:26">
      <c r="A645" s="85"/>
      <c r="B645" s="85"/>
      <c r="C645" s="85"/>
      <c r="D645" s="85"/>
      <c r="E645" s="85"/>
      <c r="F645" s="85"/>
      <c r="G645" s="85"/>
      <c r="H645" s="85"/>
      <c r="I645" s="91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2.75" customHeight="1" spans="1:26">
      <c r="A646" s="85"/>
      <c r="B646" s="85"/>
      <c r="C646" s="85"/>
      <c r="D646" s="85"/>
      <c r="E646" s="85"/>
      <c r="F646" s="85"/>
      <c r="G646" s="85"/>
      <c r="H646" s="85"/>
      <c r="I646" s="91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2.75" customHeight="1" spans="1:26">
      <c r="A647" s="85"/>
      <c r="B647" s="85"/>
      <c r="C647" s="85"/>
      <c r="D647" s="85"/>
      <c r="E647" s="85"/>
      <c r="F647" s="85"/>
      <c r="G647" s="85"/>
      <c r="H647" s="85"/>
      <c r="I647" s="91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2.75" customHeight="1" spans="1:26">
      <c r="A648" s="85"/>
      <c r="B648" s="85"/>
      <c r="C648" s="85"/>
      <c r="D648" s="85"/>
      <c r="E648" s="85"/>
      <c r="F648" s="85"/>
      <c r="G648" s="85"/>
      <c r="H648" s="85"/>
      <c r="I648" s="91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2.75" customHeight="1" spans="1:26">
      <c r="A649" s="85"/>
      <c r="B649" s="85"/>
      <c r="C649" s="85"/>
      <c r="D649" s="85"/>
      <c r="E649" s="85"/>
      <c r="F649" s="85"/>
      <c r="G649" s="85"/>
      <c r="H649" s="85"/>
      <c r="I649" s="91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2.75" customHeight="1" spans="1:26">
      <c r="A650" s="85"/>
      <c r="B650" s="85"/>
      <c r="C650" s="85"/>
      <c r="D650" s="85"/>
      <c r="E650" s="85"/>
      <c r="F650" s="85"/>
      <c r="G650" s="85"/>
      <c r="H650" s="85"/>
      <c r="I650" s="91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2.75" customHeight="1" spans="1:26">
      <c r="A651" s="85"/>
      <c r="B651" s="85"/>
      <c r="C651" s="85"/>
      <c r="D651" s="85"/>
      <c r="E651" s="85"/>
      <c r="F651" s="85"/>
      <c r="G651" s="85"/>
      <c r="H651" s="85"/>
      <c r="I651" s="91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2.75" customHeight="1" spans="1:26">
      <c r="A652" s="85"/>
      <c r="B652" s="85"/>
      <c r="C652" s="85"/>
      <c r="D652" s="85"/>
      <c r="E652" s="85"/>
      <c r="F652" s="85"/>
      <c r="G652" s="85"/>
      <c r="H652" s="85"/>
      <c r="I652" s="91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2.75" customHeight="1" spans="1:26">
      <c r="A653" s="85"/>
      <c r="B653" s="85"/>
      <c r="C653" s="85"/>
      <c r="D653" s="85"/>
      <c r="E653" s="85"/>
      <c r="F653" s="85"/>
      <c r="G653" s="85"/>
      <c r="H653" s="85"/>
      <c r="I653" s="91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2.75" customHeight="1" spans="1:26">
      <c r="A654" s="85"/>
      <c r="B654" s="85"/>
      <c r="C654" s="85"/>
      <c r="D654" s="85"/>
      <c r="E654" s="85"/>
      <c r="F654" s="85"/>
      <c r="G654" s="85"/>
      <c r="H654" s="85"/>
      <c r="I654" s="91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2.75" customHeight="1" spans="1:26">
      <c r="A655" s="85"/>
      <c r="B655" s="85"/>
      <c r="C655" s="85"/>
      <c r="D655" s="85"/>
      <c r="E655" s="85"/>
      <c r="F655" s="85"/>
      <c r="G655" s="85"/>
      <c r="H655" s="85"/>
      <c r="I655" s="91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2.75" customHeight="1" spans="1:26">
      <c r="A656" s="85"/>
      <c r="B656" s="85"/>
      <c r="C656" s="85"/>
      <c r="D656" s="85"/>
      <c r="E656" s="85"/>
      <c r="F656" s="85"/>
      <c r="G656" s="85"/>
      <c r="H656" s="85"/>
      <c r="I656" s="91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2.75" customHeight="1" spans="1:26">
      <c r="A657" s="85"/>
      <c r="B657" s="85"/>
      <c r="C657" s="85"/>
      <c r="D657" s="85"/>
      <c r="E657" s="85"/>
      <c r="F657" s="85"/>
      <c r="G657" s="85"/>
      <c r="H657" s="85"/>
      <c r="I657" s="91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2.75" customHeight="1" spans="1:26">
      <c r="A658" s="85"/>
      <c r="B658" s="85"/>
      <c r="C658" s="85"/>
      <c r="D658" s="85"/>
      <c r="E658" s="85"/>
      <c r="F658" s="85"/>
      <c r="G658" s="85"/>
      <c r="H658" s="85"/>
      <c r="I658" s="91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2.75" customHeight="1" spans="1:26">
      <c r="A659" s="85"/>
      <c r="B659" s="85"/>
      <c r="C659" s="85"/>
      <c r="D659" s="85"/>
      <c r="E659" s="85"/>
      <c r="F659" s="85"/>
      <c r="G659" s="85"/>
      <c r="H659" s="85"/>
      <c r="I659" s="91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2.75" customHeight="1" spans="1:26">
      <c r="A660" s="85"/>
      <c r="B660" s="85"/>
      <c r="C660" s="85"/>
      <c r="D660" s="85"/>
      <c r="E660" s="85"/>
      <c r="F660" s="85"/>
      <c r="G660" s="85"/>
      <c r="H660" s="85"/>
      <c r="I660" s="91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2.75" customHeight="1" spans="1:26">
      <c r="A661" s="85"/>
      <c r="B661" s="85"/>
      <c r="C661" s="85"/>
      <c r="D661" s="85"/>
      <c r="E661" s="85"/>
      <c r="F661" s="85"/>
      <c r="G661" s="85"/>
      <c r="H661" s="85"/>
      <c r="I661" s="91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2.75" customHeight="1" spans="1:26">
      <c r="A662" s="85"/>
      <c r="B662" s="85"/>
      <c r="C662" s="85"/>
      <c r="D662" s="85"/>
      <c r="E662" s="85"/>
      <c r="F662" s="85"/>
      <c r="G662" s="85"/>
      <c r="H662" s="85"/>
      <c r="I662" s="91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2.75" customHeight="1" spans="1:26">
      <c r="A663" s="85"/>
      <c r="B663" s="85"/>
      <c r="C663" s="85"/>
      <c r="D663" s="85"/>
      <c r="E663" s="85"/>
      <c r="F663" s="85"/>
      <c r="G663" s="85"/>
      <c r="H663" s="85"/>
      <c r="I663" s="91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2.75" customHeight="1" spans="1:26">
      <c r="A664" s="85"/>
      <c r="B664" s="85"/>
      <c r="C664" s="85"/>
      <c r="D664" s="85"/>
      <c r="E664" s="85"/>
      <c r="F664" s="85"/>
      <c r="G664" s="85"/>
      <c r="H664" s="85"/>
      <c r="I664" s="91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2.75" customHeight="1" spans="1:26">
      <c r="A665" s="85"/>
      <c r="B665" s="85"/>
      <c r="C665" s="85"/>
      <c r="D665" s="85"/>
      <c r="E665" s="85"/>
      <c r="F665" s="85"/>
      <c r="G665" s="85"/>
      <c r="H665" s="85"/>
      <c r="I665" s="91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2.75" customHeight="1" spans="1:26">
      <c r="A666" s="85"/>
      <c r="B666" s="85"/>
      <c r="C666" s="85"/>
      <c r="D666" s="85"/>
      <c r="E666" s="85"/>
      <c r="F666" s="85"/>
      <c r="G666" s="85"/>
      <c r="H666" s="85"/>
      <c r="I666" s="91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2.75" customHeight="1" spans="1:26">
      <c r="A667" s="85"/>
      <c r="B667" s="85"/>
      <c r="C667" s="85"/>
      <c r="D667" s="85"/>
      <c r="E667" s="85"/>
      <c r="F667" s="85"/>
      <c r="G667" s="85"/>
      <c r="H667" s="85"/>
      <c r="I667" s="91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2.75" customHeight="1" spans="1:26">
      <c r="A668" s="85"/>
      <c r="B668" s="85"/>
      <c r="C668" s="85"/>
      <c r="D668" s="85"/>
      <c r="E668" s="85"/>
      <c r="F668" s="85"/>
      <c r="G668" s="85"/>
      <c r="H668" s="85"/>
      <c r="I668" s="91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2.75" customHeight="1" spans="1:26">
      <c r="A669" s="85"/>
      <c r="B669" s="85"/>
      <c r="C669" s="85"/>
      <c r="D669" s="85"/>
      <c r="E669" s="85"/>
      <c r="F669" s="85"/>
      <c r="G669" s="85"/>
      <c r="H669" s="85"/>
      <c r="I669" s="91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2.75" customHeight="1" spans="1:26">
      <c r="A670" s="85"/>
      <c r="B670" s="85"/>
      <c r="C670" s="85"/>
      <c r="D670" s="85"/>
      <c r="E670" s="85"/>
      <c r="F670" s="85"/>
      <c r="G670" s="85"/>
      <c r="H670" s="85"/>
      <c r="I670" s="91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2.75" customHeight="1" spans="1:26">
      <c r="A671" s="85"/>
      <c r="B671" s="85"/>
      <c r="C671" s="85"/>
      <c r="D671" s="85"/>
      <c r="E671" s="85"/>
      <c r="F671" s="85"/>
      <c r="G671" s="85"/>
      <c r="H671" s="85"/>
      <c r="I671" s="91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2.75" customHeight="1" spans="1:26">
      <c r="A672" s="85"/>
      <c r="B672" s="85"/>
      <c r="C672" s="85"/>
      <c r="D672" s="85"/>
      <c r="E672" s="85"/>
      <c r="F672" s="85"/>
      <c r="G672" s="85"/>
      <c r="H672" s="85"/>
      <c r="I672" s="91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2.75" customHeight="1" spans="1:26">
      <c r="A673" s="85"/>
      <c r="B673" s="85"/>
      <c r="C673" s="85"/>
      <c r="D673" s="85"/>
      <c r="E673" s="85"/>
      <c r="F673" s="85"/>
      <c r="G673" s="85"/>
      <c r="H673" s="85"/>
      <c r="I673" s="91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2.75" customHeight="1" spans="1:26">
      <c r="A674" s="85"/>
      <c r="B674" s="85"/>
      <c r="C674" s="85"/>
      <c r="D674" s="85"/>
      <c r="E674" s="85"/>
      <c r="F674" s="85"/>
      <c r="G674" s="85"/>
      <c r="H674" s="85"/>
      <c r="I674" s="91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2.75" customHeight="1" spans="1:26">
      <c r="A675" s="85"/>
      <c r="B675" s="85"/>
      <c r="C675" s="85"/>
      <c r="D675" s="85"/>
      <c r="E675" s="85"/>
      <c r="F675" s="85"/>
      <c r="G675" s="85"/>
      <c r="H675" s="85"/>
      <c r="I675" s="91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2.75" customHeight="1" spans="1:26">
      <c r="A676" s="85"/>
      <c r="B676" s="85"/>
      <c r="C676" s="85"/>
      <c r="D676" s="85"/>
      <c r="E676" s="85"/>
      <c r="F676" s="85"/>
      <c r="G676" s="85"/>
      <c r="H676" s="85"/>
      <c r="I676" s="91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2.75" customHeight="1" spans="1:26">
      <c r="A677" s="85"/>
      <c r="B677" s="85"/>
      <c r="C677" s="85"/>
      <c r="D677" s="85"/>
      <c r="E677" s="85"/>
      <c r="F677" s="85"/>
      <c r="G677" s="85"/>
      <c r="H677" s="85"/>
      <c r="I677" s="91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2.75" customHeight="1" spans="1:26">
      <c r="A678" s="85"/>
      <c r="B678" s="85"/>
      <c r="C678" s="85"/>
      <c r="D678" s="85"/>
      <c r="E678" s="85"/>
      <c r="F678" s="85"/>
      <c r="G678" s="85"/>
      <c r="H678" s="85"/>
      <c r="I678" s="91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2.75" customHeight="1" spans="1:26">
      <c r="A679" s="85"/>
      <c r="B679" s="85"/>
      <c r="C679" s="85"/>
      <c r="D679" s="85"/>
      <c r="E679" s="85"/>
      <c r="F679" s="85"/>
      <c r="G679" s="85"/>
      <c r="H679" s="85"/>
      <c r="I679" s="91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2.75" customHeight="1" spans="1:26">
      <c r="A680" s="85"/>
      <c r="B680" s="85"/>
      <c r="C680" s="85"/>
      <c r="D680" s="85"/>
      <c r="E680" s="85"/>
      <c r="F680" s="85"/>
      <c r="G680" s="85"/>
      <c r="H680" s="85"/>
      <c r="I680" s="91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2.75" customHeight="1" spans="1:26">
      <c r="A681" s="85"/>
      <c r="B681" s="85"/>
      <c r="C681" s="85"/>
      <c r="D681" s="85"/>
      <c r="E681" s="85"/>
      <c r="F681" s="85"/>
      <c r="G681" s="85"/>
      <c r="H681" s="85"/>
      <c r="I681" s="91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2.75" customHeight="1" spans="1:26">
      <c r="A682" s="85"/>
      <c r="B682" s="85"/>
      <c r="C682" s="85"/>
      <c r="D682" s="85"/>
      <c r="E682" s="85"/>
      <c r="F682" s="85"/>
      <c r="G682" s="85"/>
      <c r="H682" s="85"/>
      <c r="I682" s="91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2.75" customHeight="1" spans="1:26">
      <c r="A683" s="85"/>
      <c r="B683" s="85"/>
      <c r="C683" s="85"/>
      <c r="D683" s="85"/>
      <c r="E683" s="85"/>
      <c r="F683" s="85"/>
      <c r="G683" s="85"/>
      <c r="H683" s="85"/>
      <c r="I683" s="91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2.75" customHeight="1" spans="1:26">
      <c r="A684" s="85"/>
      <c r="B684" s="85"/>
      <c r="C684" s="85"/>
      <c r="D684" s="85"/>
      <c r="E684" s="85"/>
      <c r="F684" s="85"/>
      <c r="G684" s="85"/>
      <c r="H684" s="85"/>
      <c r="I684" s="91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2.75" customHeight="1" spans="1:26">
      <c r="A685" s="85"/>
      <c r="B685" s="85"/>
      <c r="C685" s="85"/>
      <c r="D685" s="85"/>
      <c r="E685" s="85"/>
      <c r="F685" s="85"/>
      <c r="G685" s="85"/>
      <c r="H685" s="85"/>
      <c r="I685" s="91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2.75" customHeight="1" spans="1:26">
      <c r="A686" s="85"/>
      <c r="B686" s="85"/>
      <c r="C686" s="85"/>
      <c r="D686" s="85"/>
      <c r="E686" s="85"/>
      <c r="F686" s="85"/>
      <c r="G686" s="85"/>
      <c r="H686" s="85"/>
      <c r="I686" s="91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2.75" customHeight="1" spans="1:26">
      <c r="A687" s="85"/>
      <c r="B687" s="85"/>
      <c r="C687" s="85"/>
      <c r="D687" s="85"/>
      <c r="E687" s="85"/>
      <c r="F687" s="85"/>
      <c r="G687" s="85"/>
      <c r="H687" s="85"/>
      <c r="I687" s="91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2.75" customHeight="1" spans="1:26">
      <c r="A688" s="85"/>
      <c r="B688" s="85"/>
      <c r="C688" s="85"/>
      <c r="D688" s="85"/>
      <c r="E688" s="85"/>
      <c r="F688" s="85"/>
      <c r="G688" s="85"/>
      <c r="H688" s="85"/>
      <c r="I688" s="91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2.75" customHeight="1" spans="1:26">
      <c r="A689" s="85"/>
      <c r="B689" s="85"/>
      <c r="C689" s="85"/>
      <c r="D689" s="85"/>
      <c r="E689" s="85"/>
      <c r="F689" s="85"/>
      <c r="G689" s="85"/>
      <c r="H689" s="85"/>
      <c r="I689" s="91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2.75" customHeight="1" spans="1:26">
      <c r="A690" s="85"/>
      <c r="B690" s="85"/>
      <c r="C690" s="85"/>
      <c r="D690" s="85"/>
      <c r="E690" s="85"/>
      <c r="F690" s="85"/>
      <c r="G690" s="85"/>
      <c r="H690" s="85"/>
      <c r="I690" s="91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2.75" customHeight="1" spans="1:26">
      <c r="A691" s="85"/>
      <c r="B691" s="85"/>
      <c r="C691" s="85"/>
      <c r="D691" s="85"/>
      <c r="E691" s="85"/>
      <c r="F691" s="85"/>
      <c r="G691" s="85"/>
      <c r="H691" s="85"/>
      <c r="I691" s="91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2.75" customHeight="1" spans="1:26">
      <c r="A692" s="85"/>
      <c r="B692" s="85"/>
      <c r="C692" s="85"/>
      <c r="D692" s="85"/>
      <c r="E692" s="85"/>
      <c r="F692" s="85"/>
      <c r="G692" s="85"/>
      <c r="H692" s="85"/>
      <c r="I692" s="91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2.75" customHeight="1" spans="1:26">
      <c r="A693" s="85"/>
      <c r="B693" s="85"/>
      <c r="C693" s="85"/>
      <c r="D693" s="85"/>
      <c r="E693" s="85"/>
      <c r="F693" s="85"/>
      <c r="G693" s="85"/>
      <c r="H693" s="85"/>
      <c r="I693" s="91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2.75" customHeight="1" spans="1:26">
      <c r="A694" s="85"/>
      <c r="B694" s="85"/>
      <c r="C694" s="85"/>
      <c r="D694" s="85"/>
      <c r="E694" s="85"/>
      <c r="F694" s="85"/>
      <c r="G694" s="85"/>
      <c r="H694" s="85"/>
      <c r="I694" s="91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2.75" customHeight="1" spans="1:26">
      <c r="A695" s="85"/>
      <c r="B695" s="85"/>
      <c r="C695" s="85"/>
      <c r="D695" s="85"/>
      <c r="E695" s="85"/>
      <c r="F695" s="85"/>
      <c r="G695" s="85"/>
      <c r="H695" s="85"/>
      <c r="I695" s="91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2.75" customHeight="1" spans="1:26">
      <c r="A696" s="85"/>
      <c r="B696" s="85"/>
      <c r="C696" s="85"/>
      <c r="D696" s="85"/>
      <c r="E696" s="85"/>
      <c r="F696" s="85"/>
      <c r="G696" s="85"/>
      <c r="H696" s="85"/>
      <c r="I696" s="91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2.75" customHeight="1" spans="1:26">
      <c r="A697" s="85"/>
      <c r="B697" s="85"/>
      <c r="C697" s="85"/>
      <c r="D697" s="85"/>
      <c r="E697" s="85"/>
      <c r="F697" s="85"/>
      <c r="G697" s="85"/>
      <c r="H697" s="85"/>
      <c r="I697" s="91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2.75" customHeight="1" spans="1:26">
      <c r="A698" s="85"/>
      <c r="B698" s="85"/>
      <c r="C698" s="85"/>
      <c r="D698" s="85"/>
      <c r="E698" s="85"/>
      <c r="F698" s="85"/>
      <c r="G698" s="85"/>
      <c r="H698" s="85"/>
      <c r="I698" s="91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2.75" customHeight="1" spans="1:26">
      <c r="A699" s="85"/>
      <c r="B699" s="85"/>
      <c r="C699" s="85"/>
      <c r="D699" s="85"/>
      <c r="E699" s="85"/>
      <c r="F699" s="85"/>
      <c r="G699" s="85"/>
      <c r="H699" s="85"/>
      <c r="I699" s="91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2.75" customHeight="1" spans="1:26">
      <c r="A700" s="85"/>
      <c r="B700" s="85"/>
      <c r="C700" s="85"/>
      <c r="D700" s="85"/>
      <c r="E700" s="85"/>
      <c r="F700" s="85"/>
      <c r="G700" s="85"/>
      <c r="H700" s="85"/>
      <c r="I700" s="91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2.75" customHeight="1" spans="1:26">
      <c r="A701" s="85"/>
      <c r="B701" s="85"/>
      <c r="C701" s="85"/>
      <c r="D701" s="85"/>
      <c r="E701" s="85"/>
      <c r="F701" s="85"/>
      <c r="G701" s="85"/>
      <c r="H701" s="85"/>
      <c r="I701" s="91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2.75" customHeight="1" spans="1:26">
      <c r="A702" s="85"/>
      <c r="B702" s="85"/>
      <c r="C702" s="85"/>
      <c r="D702" s="85"/>
      <c r="E702" s="85"/>
      <c r="F702" s="85"/>
      <c r="G702" s="85"/>
      <c r="H702" s="85"/>
      <c r="I702" s="91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2.75" customHeight="1" spans="1:26">
      <c r="A703" s="85"/>
      <c r="B703" s="85"/>
      <c r="C703" s="85"/>
      <c r="D703" s="85"/>
      <c r="E703" s="85"/>
      <c r="F703" s="85"/>
      <c r="G703" s="85"/>
      <c r="H703" s="85"/>
      <c r="I703" s="91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2.75" customHeight="1" spans="1:26">
      <c r="A704" s="85"/>
      <c r="B704" s="85"/>
      <c r="C704" s="85"/>
      <c r="D704" s="85"/>
      <c r="E704" s="85"/>
      <c r="F704" s="85"/>
      <c r="G704" s="85"/>
      <c r="H704" s="85"/>
      <c r="I704" s="91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2.75" customHeight="1" spans="1:26">
      <c r="A705" s="85"/>
      <c r="B705" s="85"/>
      <c r="C705" s="85"/>
      <c r="D705" s="85"/>
      <c r="E705" s="85"/>
      <c r="F705" s="85"/>
      <c r="G705" s="85"/>
      <c r="H705" s="85"/>
      <c r="I705" s="91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2.75" customHeight="1" spans="1:26">
      <c r="A706" s="85"/>
      <c r="B706" s="85"/>
      <c r="C706" s="85"/>
      <c r="D706" s="85"/>
      <c r="E706" s="85"/>
      <c r="F706" s="85"/>
      <c r="G706" s="85"/>
      <c r="H706" s="85"/>
      <c r="I706" s="91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2.75" customHeight="1" spans="1:26">
      <c r="A707" s="85"/>
      <c r="B707" s="85"/>
      <c r="C707" s="85"/>
      <c r="D707" s="85"/>
      <c r="E707" s="85"/>
      <c r="F707" s="85"/>
      <c r="G707" s="85"/>
      <c r="H707" s="85"/>
      <c r="I707" s="91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2.75" customHeight="1" spans="1:26">
      <c r="A708" s="85"/>
      <c r="B708" s="85"/>
      <c r="C708" s="85"/>
      <c r="D708" s="85"/>
      <c r="E708" s="85"/>
      <c r="F708" s="85"/>
      <c r="G708" s="85"/>
      <c r="H708" s="85"/>
      <c r="I708" s="91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2.75" customHeight="1" spans="1:26">
      <c r="A709" s="85"/>
      <c r="B709" s="85"/>
      <c r="C709" s="85"/>
      <c r="D709" s="85"/>
      <c r="E709" s="85"/>
      <c r="F709" s="85"/>
      <c r="G709" s="85"/>
      <c r="H709" s="85"/>
      <c r="I709" s="91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2.75" customHeight="1" spans="1:26">
      <c r="A710" s="85"/>
      <c r="B710" s="85"/>
      <c r="C710" s="85"/>
      <c r="D710" s="85"/>
      <c r="E710" s="85"/>
      <c r="F710" s="85"/>
      <c r="G710" s="85"/>
      <c r="H710" s="85"/>
      <c r="I710" s="91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2.75" customHeight="1" spans="1:26">
      <c r="A711" s="85"/>
      <c r="B711" s="85"/>
      <c r="C711" s="85"/>
      <c r="D711" s="85"/>
      <c r="E711" s="85"/>
      <c r="F711" s="85"/>
      <c r="G711" s="85"/>
      <c r="H711" s="85"/>
      <c r="I711" s="91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2.75" customHeight="1" spans="1:26">
      <c r="A712" s="85"/>
      <c r="B712" s="85"/>
      <c r="C712" s="85"/>
      <c r="D712" s="85"/>
      <c r="E712" s="85"/>
      <c r="F712" s="85"/>
      <c r="G712" s="85"/>
      <c r="H712" s="85"/>
      <c r="I712" s="91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2.75" customHeight="1" spans="1:26">
      <c r="A713" s="85"/>
      <c r="B713" s="85"/>
      <c r="C713" s="85"/>
      <c r="D713" s="85"/>
      <c r="E713" s="85"/>
      <c r="F713" s="85"/>
      <c r="G713" s="85"/>
      <c r="H713" s="85"/>
      <c r="I713" s="91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2.75" customHeight="1" spans="1:26">
      <c r="A714" s="85"/>
      <c r="B714" s="85"/>
      <c r="C714" s="85"/>
      <c r="D714" s="85"/>
      <c r="E714" s="85"/>
      <c r="F714" s="85"/>
      <c r="G714" s="85"/>
      <c r="H714" s="85"/>
      <c r="I714" s="91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2.75" customHeight="1" spans="1:26">
      <c r="A715" s="85"/>
      <c r="B715" s="85"/>
      <c r="C715" s="85"/>
      <c r="D715" s="85"/>
      <c r="E715" s="85"/>
      <c r="F715" s="85"/>
      <c r="G715" s="85"/>
      <c r="H715" s="85"/>
      <c r="I715" s="91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2.75" customHeight="1" spans="1:26">
      <c r="A716" s="85"/>
      <c r="B716" s="85"/>
      <c r="C716" s="85"/>
      <c r="D716" s="85"/>
      <c r="E716" s="85"/>
      <c r="F716" s="85"/>
      <c r="G716" s="85"/>
      <c r="H716" s="85"/>
      <c r="I716" s="91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2.75" customHeight="1" spans="1:26">
      <c r="A717" s="85"/>
      <c r="B717" s="85"/>
      <c r="C717" s="85"/>
      <c r="D717" s="85"/>
      <c r="E717" s="85"/>
      <c r="F717" s="85"/>
      <c r="G717" s="85"/>
      <c r="H717" s="85"/>
      <c r="I717" s="91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2.75" customHeight="1" spans="1:26">
      <c r="A718" s="85"/>
      <c r="B718" s="85"/>
      <c r="C718" s="85"/>
      <c r="D718" s="85"/>
      <c r="E718" s="85"/>
      <c r="F718" s="85"/>
      <c r="G718" s="85"/>
      <c r="H718" s="85"/>
      <c r="I718" s="91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2.75" customHeight="1" spans="1:26">
      <c r="A719" s="85"/>
      <c r="B719" s="85"/>
      <c r="C719" s="85"/>
      <c r="D719" s="85"/>
      <c r="E719" s="85"/>
      <c r="F719" s="85"/>
      <c r="G719" s="85"/>
      <c r="H719" s="85"/>
      <c r="I719" s="91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2.75" customHeight="1" spans="1:26">
      <c r="A720" s="85"/>
      <c r="B720" s="85"/>
      <c r="C720" s="85"/>
      <c r="D720" s="85"/>
      <c r="E720" s="85"/>
      <c r="F720" s="85"/>
      <c r="G720" s="85"/>
      <c r="H720" s="85"/>
      <c r="I720" s="91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2.75" customHeight="1" spans="1:26">
      <c r="A721" s="85"/>
      <c r="B721" s="85"/>
      <c r="C721" s="85"/>
      <c r="D721" s="85"/>
      <c r="E721" s="85"/>
      <c r="F721" s="85"/>
      <c r="G721" s="85"/>
      <c r="H721" s="85"/>
      <c r="I721" s="91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2.75" customHeight="1" spans="1:26">
      <c r="A722" s="85"/>
      <c r="B722" s="85"/>
      <c r="C722" s="85"/>
      <c r="D722" s="85"/>
      <c r="E722" s="85"/>
      <c r="F722" s="85"/>
      <c r="G722" s="85"/>
      <c r="H722" s="85"/>
      <c r="I722" s="91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2.75" customHeight="1" spans="1:26">
      <c r="A723" s="85"/>
      <c r="B723" s="85"/>
      <c r="C723" s="85"/>
      <c r="D723" s="85"/>
      <c r="E723" s="85"/>
      <c r="F723" s="85"/>
      <c r="G723" s="85"/>
      <c r="H723" s="85"/>
      <c r="I723" s="91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2.75" customHeight="1" spans="1:26">
      <c r="A724" s="85"/>
      <c r="B724" s="85"/>
      <c r="C724" s="85"/>
      <c r="D724" s="85"/>
      <c r="E724" s="85"/>
      <c r="F724" s="85"/>
      <c r="G724" s="85"/>
      <c r="H724" s="85"/>
      <c r="I724" s="91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2.75" customHeight="1" spans="1:26">
      <c r="A725" s="85"/>
      <c r="B725" s="85"/>
      <c r="C725" s="85"/>
      <c r="D725" s="85"/>
      <c r="E725" s="85"/>
      <c r="F725" s="85"/>
      <c r="G725" s="85"/>
      <c r="H725" s="85"/>
      <c r="I725" s="91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2.75" customHeight="1" spans="1:26">
      <c r="A726" s="85"/>
      <c r="B726" s="85"/>
      <c r="C726" s="85"/>
      <c r="D726" s="85"/>
      <c r="E726" s="85"/>
      <c r="F726" s="85"/>
      <c r="G726" s="85"/>
      <c r="H726" s="85"/>
      <c r="I726" s="91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2.75" customHeight="1" spans="1:26">
      <c r="A727" s="85"/>
      <c r="B727" s="85"/>
      <c r="C727" s="85"/>
      <c r="D727" s="85"/>
      <c r="E727" s="85"/>
      <c r="F727" s="85"/>
      <c r="G727" s="85"/>
      <c r="H727" s="85"/>
      <c r="I727" s="91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2.75" customHeight="1" spans="1:26">
      <c r="A728" s="85"/>
      <c r="B728" s="85"/>
      <c r="C728" s="85"/>
      <c r="D728" s="85"/>
      <c r="E728" s="85"/>
      <c r="F728" s="85"/>
      <c r="G728" s="85"/>
      <c r="H728" s="85"/>
      <c r="I728" s="91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2.75" customHeight="1" spans="1:26">
      <c r="A729" s="85"/>
      <c r="B729" s="85"/>
      <c r="C729" s="85"/>
      <c r="D729" s="85"/>
      <c r="E729" s="85"/>
      <c r="F729" s="85"/>
      <c r="G729" s="85"/>
      <c r="H729" s="85"/>
      <c r="I729" s="91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2.75" customHeight="1" spans="1:26">
      <c r="A730" s="85"/>
      <c r="B730" s="85"/>
      <c r="C730" s="85"/>
      <c r="D730" s="85"/>
      <c r="E730" s="85"/>
      <c r="F730" s="85"/>
      <c r="G730" s="85"/>
      <c r="H730" s="85"/>
      <c r="I730" s="91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2.75" customHeight="1" spans="1:26">
      <c r="A731" s="85"/>
      <c r="B731" s="85"/>
      <c r="C731" s="85"/>
      <c r="D731" s="85"/>
      <c r="E731" s="85"/>
      <c r="F731" s="85"/>
      <c r="G731" s="85"/>
      <c r="H731" s="85"/>
      <c r="I731" s="91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2.75" customHeight="1" spans="1:26">
      <c r="A732" s="85"/>
      <c r="B732" s="85"/>
      <c r="C732" s="85"/>
      <c r="D732" s="85"/>
      <c r="E732" s="85"/>
      <c r="F732" s="85"/>
      <c r="G732" s="85"/>
      <c r="H732" s="85"/>
      <c r="I732" s="91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2.75" customHeight="1" spans="1:26">
      <c r="A733" s="85"/>
      <c r="B733" s="85"/>
      <c r="C733" s="85"/>
      <c r="D733" s="85"/>
      <c r="E733" s="85"/>
      <c r="F733" s="85"/>
      <c r="G733" s="85"/>
      <c r="H733" s="85"/>
      <c r="I733" s="91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2.75" customHeight="1" spans="1:26">
      <c r="A734" s="85"/>
      <c r="B734" s="85"/>
      <c r="C734" s="85"/>
      <c r="D734" s="85"/>
      <c r="E734" s="85"/>
      <c r="F734" s="85"/>
      <c r="G734" s="85"/>
      <c r="H734" s="85"/>
      <c r="I734" s="91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2.75" customHeight="1" spans="1:26">
      <c r="A735" s="85"/>
      <c r="B735" s="85"/>
      <c r="C735" s="85"/>
      <c r="D735" s="85"/>
      <c r="E735" s="85"/>
      <c r="F735" s="85"/>
      <c r="G735" s="85"/>
      <c r="H735" s="85"/>
      <c r="I735" s="91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2.75" customHeight="1" spans="1:26">
      <c r="A736" s="85"/>
      <c r="B736" s="85"/>
      <c r="C736" s="85"/>
      <c r="D736" s="85"/>
      <c r="E736" s="85"/>
      <c r="F736" s="85"/>
      <c r="G736" s="85"/>
      <c r="H736" s="85"/>
      <c r="I736" s="91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2.75" customHeight="1" spans="1:26">
      <c r="A737" s="85"/>
      <c r="B737" s="85"/>
      <c r="C737" s="85"/>
      <c r="D737" s="85"/>
      <c r="E737" s="85"/>
      <c r="F737" s="85"/>
      <c r="G737" s="85"/>
      <c r="H737" s="85"/>
      <c r="I737" s="91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2.75" customHeight="1" spans="1:26">
      <c r="A738" s="85"/>
      <c r="B738" s="85"/>
      <c r="C738" s="85"/>
      <c r="D738" s="85"/>
      <c r="E738" s="85"/>
      <c r="F738" s="85"/>
      <c r="G738" s="85"/>
      <c r="H738" s="85"/>
      <c r="I738" s="91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2.75" customHeight="1" spans="1:26">
      <c r="A739" s="85"/>
      <c r="B739" s="85"/>
      <c r="C739" s="85"/>
      <c r="D739" s="85"/>
      <c r="E739" s="85"/>
      <c r="F739" s="85"/>
      <c r="G739" s="85"/>
      <c r="H739" s="85"/>
      <c r="I739" s="91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2.75" customHeight="1" spans="1:26">
      <c r="A740" s="85"/>
      <c r="B740" s="85"/>
      <c r="C740" s="85"/>
      <c r="D740" s="85"/>
      <c r="E740" s="85"/>
      <c r="F740" s="85"/>
      <c r="G740" s="85"/>
      <c r="H740" s="85"/>
      <c r="I740" s="91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2.75" customHeight="1" spans="1:26">
      <c r="A741" s="85"/>
      <c r="B741" s="85"/>
      <c r="C741" s="85"/>
      <c r="D741" s="85"/>
      <c r="E741" s="85"/>
      <c r="F741" s="85"/>
      <c r="G741" s="85"/>
      <c r="H741" s="85"/>
      <c r="I741" s="91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2.75" customHeight="1" spans="1:26">
      <c r="A742" s="85"/>
      <c r="B742" s="85"/>
      <c r="C742" s="85"/>
      <c r="D742" s="85"/>
      <c r="E742" s="85"/>
      <c r="F742" s="85"/>
      <c r="G742" s="85"/>
      <c r="H742" s="85"/>
      <c r="I742" s="91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2.75" customHeight="1" spans="1:26">
      <c r="A743" s="85"/>
      <c r="B743" s="85"/>
      <c r="C743" s="85"/>
      <c r="D743" s="85"/>
      <c r="E743" s="85"/>
      <c r="F743" s="85"/>
      <c r="G743" s="85"/>
      <c r="H743" s="85"/>
      <c r="I743" s="91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2.75" customHeight="1" spans="1:26">
      <c r="A744" s="85"/>
      <c r="B744" s="85"/>
      <c r="C744" s="85"/>
      <c r="D744" s="85"/>
      <c r="E744" s="85"/>
      <c r="F744" s="85"/>
      <c r="G744" s="85"/>
      <c r="H744" s="85"/>
      <c r="I744" s="91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2.75" customHeight="1" spans="1:26">
      <c r="A745" s="85"/>
      <c r="B745" s="85"/>
      <c r="C745" s="85"/>
      <c r="D745" s="85"/>
      <c r="E745" s="85"/>
      <c r="F745" s="85"/>
      <c r="G745" s="85"/>
      <c r="H745" s="85"/>
      <c r="I745" s="91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2.75" customHeight="1" spans="1:26">
      <c r="A746" s="85"/>
      <c r="B746" s="85"/>
      <c r="C746" s="85"/>
      <c r="D746" s="85"/>
      <c r="E746" s="85"/>
      <c r="F746" s="85"/>
      <c r="G746" s="85"/>
      <c r="H746" s="85"/>
      <c r="I746" s="91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2.75" customHeight="1" spans="1:26">
      <c r="A747" s="85"/>
      <c r="B747" s="85"/>
      <c r="C747" s="85"/>
      <c r="D747" s="85"/>
      <c r="E747" s="85"/>
      <c r="F747" s="85"/>
      <c r="G747" s="85"/>
      <c r="H747" s="85"/>
      <c r="I747" s="91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2.75" customHeight="1" spans="1:26">
      <c r="A748" s="85"/>
      <c r="B748" s="85"/>
      <c r="C748" s="85"/>
      <c r="D748" s="85"/>
      <c r="E748" s="85"/>
      <c r="F748" s="85"/>
      <c r="G748" s="85"/>
      <c r="H748" s="85"/>
      <c r="I748" s="91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2.75" customHeight="1" spans="1:26">
      <c r="A749" s="85"/>
      <c r="B749" s="85"/>
      <c r="C749" s="85"/>
      <c r="D749" s="85"/>
      <c r="E749" s="85"/>
      <c r="F749" s="85"/>
      <c r="G749" s="85"/>
      <c r="H749" s="85"/>
      <c r="I749" s="91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2.75" customHeight="1" spans="1:26">
      <c r="A750" s="85"/>
      <c r="B750" s="85"/>
      <c r="C750" s="85"/>
      <c r="D750" s="85"/>
      <c r="E750" s="85"/>
      <c r="F750" s="85"/>
      <c r="G750" s="85"/>
      <c r="H750" s="85"/>
      <c r="I750" s="91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2.75" customHeight="1" spans="1:26">
      <c r="A751" s="85"/>
      <c r="B751" s="85"/>
      <c r="C751" s="85"/>
      <c r="D751" s="85"/>
      <c r="E751" s="85"/>
      <c r="F751" s="85"/>
      <c r="G751" s="85"/>
      <c r="H751" s="85"/>
      <c r="I751" s="91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2.75" customHeight="1" spans="1:26">
      <c r="A752" s="85"/>
      <c r="B752" s="85"/>
      <c r="C752" s="85"/>
      <c r="D752" s="85"/>
      <c r="E752" s="85"/>
      <c r="F752" s="85"/>
      <c r="G752" s="85"/>
      <c r="H752" s="85"/>
      <c r="I752" s="91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2.75" customHeight="1" spans="1:26">
      <c r="A753" s="85"/>
      <c r="B753" s="85"/>
      <c r="C753" s="85"/>
      <c r="D753" s="85"/>
      <c r="E753" s="85"/>
      <c r="F753" s="85"/>
      <c r="G753" s="85"/>
      <c r="H753" s="85"/>
      <c r="I753" s="91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2.75" customHeight="1" spans="1:26">
      <c r="A754" s="85"/>
      <c r="B754" s="85"/>
      <c r="C754" s="85"/>
      <c r="D754" s="85"/>
      <c r="E754" s="85"/>
      <c r="F754" s="85"/>
      <c r="G754" s="85"/>
      <c r="H754" s="85"/>
      <c r="I754" s="91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2.75" customHeight="1" spans="1:26">
      <c r="A755" s="85"/>
      <c r="B755" s="85"/>
      <c r="C755" s="85"/>
      <c r="D755" s="85"/>
      <c r="E755" s="85"/>
      <c r="F755" s="85"/>
      <c r="G755" s="85"/>
      <c r="H755" s="85"/>
      <c r="I755" s="91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2.75" customHeight="1" spans="1:26">
      <c r="A756" s="85"/>
      <c r="B756" s="85"/>
      <c r="C756" s="85"/>
      <c r="D756" s="85"/>
      <c r="E756" s="85"/>
      <c r="F756" s="85"/>
      <c r="G756" s="85"/>
      <c r="H756" s="85"/>
      <c r="I756" s="91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2.75" customHeight="1" spans="1:26">
      <c r="A757" s="85"/>
      <c r="B757" s="85"/>
      <c r="C757" s="85"/>
      <c r="D757" s="85"/>
      <c r="E757" s="85"/>
      <c r="F757" s="85"/>
      <c r="G757" s="85"/>
      <c r="H757" s="85"/>
      <c r="I757" s="91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2.75" customHeight="1" spans="1:26">
      <c r="A758" s="85"/>
      <c r="B758" s="85"/>
      <c r="C758" s="85"/>
      <c r="D758" s="85"/>
      <c r="E758" s="85"/>
      <c r="F758" s="85"/>
      <c r="G758" s="85"/>
      <c r="H758" s="85"/>
      <c r="I758" s="91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2.75" customHeight="1" spans="1:26">
      <c r="A759" s="85"/>
      <c r="B759" s="85"/>
      <c r="C759" s="85"/>
      <c r="D759" s="85"/>
      <c r="E759" s="85"/>
      <c r="F759" s="85"/>
      <c r="G759" s="85"/>
      <c r="H759" s="85"/>
      <c r="I759" s="91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2.75" customHeight="1" spans="1:26">
      <c r="A760" s="85"/>
      <c r="B760" s="85"/>
      <c r="C760" s="85"/>
      <c r="D760" s="85"/>
      <c r="E760" s="85"/>
      <c r="F760" s="85"/>
      <c r="G760" s="85"/>
      <c r="H760" s="85"/>
      <c r="I760" s="91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2.75" customHeight="1" spans="1:26">
      <c r="A761" s="85"/>
      <c r="B761" s="85"/>
      <c r="C761" s="85"/>
      <c r="D761" s="85"/>
      <c r="E761" s="85"/>
      <c r="F761" s="85"/>
      <c r="G761" s="85"/>
      <c r="H761" s="85"/>
      <c r="I761" s="91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2.75" customHeight="1" spans="1:26">
      <c r="A762" s="85"/>
      <c r="B762" s="85"/>
      <c r="C762" s="85"/>
      <c r="D762" s="85"/>
      <c r="E762" s="85"/>
      <c r="F762" s="85"/>
      <c r="G762" s="85"/>
      <c r="H762" s="85"/>
      <c r="I762" s="91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2.75" customHeight="1" spans="1:26">
      <c r="A763" s="85"/>
      <c r="B763" s="85"/>
      <c r="C763" s="85"/>
      <c r="D763" s="85"/>
      <c r="E763" s="85"/>
      <c r="F763" s="85"/>
      <c r="G763" s="85"/>
      <c r="H763" s="85"/>
      <c r="I763" s="91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2.75" customHeight="1" spans="1:26">
      <c r="A764" s="85"/>
      <c r="B764" s="85"/>
      <c r="C764" s="85"/>
      <c r="D764" s="85"/>
      <c r="E764" s="85"/>
      <c r="F764" s="85"/>
      <c r="G764" s="85"/>
      <c r="H764" s="85"/>
      <c r="I764" s="91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2.75" customHeight="1" spans="1:26">
      <c r="A765" s="85"/>
      <c r="B765" s="85"/>
      <c r="C765" s="85"/>
      <c r="D765" s="85"/>
      <c r="E765" s="85"/>
      <c r="F765" s="85"/>
      <c r="G765" s="85"/>
      <c r="H765" s="85"/>
      <c r="I765" s="91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2.75" customHeight="1" spans="1:26">
      <c r="A766" s="85"/>
      <c r="B766" s="85"/>
      <c r="C766" s="85"/>
      <c r="D766" s="85"/>
      <c r="E766" s="85"/>
      <c r="F766" s="85"/>
      <c r="G766" s="85"/>
      <c r="H766" s="85"/>
      <c r="I766" s="91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2.75" customHeight="1" spans="1:26">
      <c r="A767" s="85"/>
      <c r="B767" s="85"/>
      <c r="C767" s="85"/>
      <c r="D767" s="85"/>
      <c r="E767" s="85"/>
      <c r="F767" s="85"/>
      <c r="G767" s="85"/>
      <c r="H767" s="85"/>
      <c r="I767" s="91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2.75" customHeight="1" spans="1:26">
      <c r="A768" s="85"/>
      <c r="B768" s="85"/>
      <c r="C768" s="85"/>
      <c r="D768" s="85"/>
      <c r="E768" s="85"/>
      <c r="F768" s="85"/>
      <c r="G768" s="85"/>
      <c r="H768" s="85"/>
      <c r="I768" s="91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2.75" customHeight="1" spans="1:26">
      <c r="A769" s="85"/>
      <c r="B769" s="85"/>
      <c r="C769" s="85"/>
      <c r="D769" s="85"/>
      <c r="E769" s="85"/>
      <c r="F769" s="85"/>
      <c r="G769" s="85"/>
      <c r="H769" s="85"/>
      <c r="I769" s="91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2.75" customHeight="1" spans="1:26">
      <c r="A770" s="85"/>
      <c r="B770" s="85"/>
      <c r="C770" s="85"/>
      <c r="D770" s="85"/>
      <c r="E770" s="85"/>
      <c r="F770" s="85"/>
      <c r="G770" s="85"/>
      <c r="H770" s="85"/>
      <c r="I770" s="91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2.75" customHeight="1" spans="1:26">
      <c r="A771" s="85"/>
      <c r="B771" s="85"/>
      <c r="C771" s="85"/>
      <c r="D771" s="85"/>
      <c r="E771" s="85"/>
      <c r="F771" s="85"/>
      <c r="G771" s="85"/>
      <c r="H771" s="85"/>
      <c r="I771" s="91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2.75" customHeight="1" spans="1:26">
      <c r="A772" s="85"/>
      <c r="B772" s="85"/>
      <c r="C772" s="85"/>
      <c r="D772" s="85"/>
      <c r="E772" s="85"/>
      <c r="F772" s="85"/>
      <c r="G772" s="85"/>
      <c r="H772" s="85"/>
      <c r="I772" s="91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2.75" customHeight="1" spans="1:26">
      <c r="A773" s="85"/>
      <c r="B773" s="85"/>
      <c r="C773" s="85"/>
      <c r="D773" s="85"/>
      <c r="E773" s="85"/>
      <c r="F773" s="85"/>
      <c r="G773" s="85"/>
      <c r="H773" s="85"/>
      <c r="I773" s="91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2.75" customHeight="1" spans="1:26">
      <c r="A774" s="85"/>
      <c r="B774" s="85"/>
      <c r="C774" s="85"/>
      <c r="D774" s="85"/>
      <c r="E774" s="85"/>
      <c r="F774" s="85"/>
      <c r="G774" s="85"/>
      <c r="H774" s="85"/>
      <c r="I774" s="91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2.75" customHeight="1" spans="1:26">
      <c r="A775" s="85"/>
      <c r="B775" s="85"/>
      <c r="C775" s="85"/>
      <c r="D775" s="85"/>
      <c r="E775" s="85"/>
      <c r="F775" s="85"/>
      <c r="G775" s="85"/>
      <c r="H775" s="85"/>
      <c r="I775" s="91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2.75" customHeight="1" spans="1:26">
      <c r="A776" s="85"/>
      <c r="B776" s="85"/>
      <c r="C776" s="85"/>
      <c r="D776" s="85"/>
      <c r="E776" s="85"/>
      <c r="F776" s="85"/>
      <c r="G776" s="85"/>
      <c r="H776" s="85"/>
      <c r="I776" s="91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2.75" customHeight="1" spans="1:26">
      <c r="A777" s="85"/>
      <c r="B777" s="85"/>
      <c r="C777" s="85"/>
      <c r="D777" s="85"/>
      <c r="E777" s="85"/>
      <c r="F777" s="85"/>
      <c r="G777" s="85"/>
      <c r="H777" s="85"/>
      <c r="I777" s="91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2.75" customHeight="1" spans="1:26">
      <c r="A778" s="85"/>
      <c r="B778" s="85"/>
      <c r="C778" s="85"/>
      <c r="D778" s="85"/>
      <c r="E778" s="85"/>
      <c r="F778" s="85"/>
      <c r="G778" s="85"/>
      <c r="H778" s="85"/>
      <c r="I778" s="91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2.75" customHeight="1" spans="1:26">
      <c r="A779" s="85"/>
      <c r="B779" s="85"/>
      <c r="C779" s="85"/>
      <c r="D779" s="85"/>
      <c r="E779" s="85"/>
      <c r="F779" s="85"/>
      <c r="G779" s="85"/>
      <c r="H779" s="85"/>
      <c r="I779" s="91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2.75" customHeight="1" spans="1:26">
      <c r="A780" s="85"/>
      <c r="B780" s="85"/>
      <c r="C780" s="85"/>
      <c r="D780" s="85"/>
      <c r="E780" s="85"/>
      <c r="F780" s="85"/>
      <c r="G780" s="85"/>
      <c r="H780" s="85"/>
      <c r="I780" s="91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2.75" customHeight="1" spans="1:26">
      <c r="A781" s="85"/>
      <c r="B781" s="85"/>
      <c r="C781" s="85"/>
      <c r="D781" s="85"/>
      <c r="E781" s="85"/>
      <c r="F781" s="85"/>
      <c r="G781" s="85"/>
      <c r="H781" s="85"/>
      <c r="I781" s="91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2.75" customHeight="1" spans="1:26">
      <c r="A782" s="85"/>
      <c r="B782" s="85"/>
      <c r="C782" s="85"/>
      <c r="D782" s="85"/>
      <c r="E782" s="85"/>
      <c r="F782" s="85"/>
      <c r="G782" s="85"/>
      <c r="H782" s="85"/>
      <c r="I782" s="91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2.75" customHeight="1" spans="1:26">
      <c r="A783" s="85"/>
      <c r="B783" s="85"/>
      <c r="C783" s="85"/>
      <c r="D783" s="85"/>
      <c r="E783" s="85"/>
      <c r="F783" s="85"/>
      <c r="G783" s="85"/>
      <c r="H783" s="85"/>
      <c r="I783" s="91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2.75" customHeight="1" spans="1:26">
      <c r="A784" s="85"/>
      <c r="B784" s="85"/>
      <c r="C784" s="85"/>
      <c r="D784" s="85"/>
      <c r="E784" s="85"/>
      <c r="F784" s="85"/>
      <c r="G784" s="85"/>
      <c r="H784" s="85"/>
      <c r="I784" s="91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2.75" customHeight="1" spans="1:26">
      <c r="A785" s="85"/>
      <c r="B785" s="85"/>
      <c r="C785" s="85"/>
      <c r="D785" s="85"/>
      <c r="E785" s="85"/>
      <c r="F785" s="85"/>
      <c r="G785" s="85"/>
      <c r="H785" s="85"/>
      <c r="I785" s="91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2.75" customHeight="1" spans="1:26">
      <c r="A786" s="85"/>
      <c r="B786" s="85"/>
      <c r="C786" s="85"/>
      <c r="D786" s="85"/>
      <c r="E786" s="85"/>
      <c r="F786" s="85"/>
      <c r="G786" s="85"/>
      <c r="H786" s="85"/>
      <c r="I786" s="91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2.75" customHeight="1" spans="1:26">
      <c r="A787" s="85"/>
      <c r="B787" s="85"/>
      <c r="C787" s="85"/>
      <c r="D787" s="85"/>
      <c r="E787" s="85"/>
      <c r="F787" s="85"/>
      <c r="G787" s="85"/>
      <c r="H787" s="85"/>
      <c r="I787" s="91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2.75" customHeight="1" spans="1:26">
      <c r="A788" s="85"/>
      <c r="B788" s="85"/>
      <c r="C788" s="85"/>
      <c r="D788" s="85"/>
      <c r="E788" s="85"/>
      <c r="F788" s="85"/>
      <c r="G788" s="85"/>
      <c r="H788" s="85"/>
      <c r="I788" s="91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2.75" customHeight="1" spans="1:26">
      <c r="A789" s="85"/>
      <c r="B789" s="85"/>
      <c r="C789" s="85"/>
      <c r="D789" s="85"/>
      <c r="E789" s="85"/>
      <c r="F789" s="85"/>
      <c r="G789" s="85"/>
      <c r="H789" s="85"/>
      <c r="I789" s="91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2.75" customHeight="1" spans="1:26">
      <c r="A790" s="85"/>
      <c r="B790" s="85"/>
      <c r="C790" s="85"/>
      <c r="D790" s="85"/>
      <c r="E790" s="85"/>
      <c r="F790" s="85"/>
      <c r="G790" s="85"/>
      <c r="H790" s="85"/>
      <c r="I790" s="91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2.75" customHeight="1" spans="1:26">
      <c r="A791" s="85"/>
      <c r="B791" s="85"/>
      <c r="C791" s="85"/>
      <c r="D791" s="85"/>
      <c r="E791" s="85"/>
      <c r="F791" s="85"/>
      <c r="G791" s="85"/>
      <c r="H791" s="85"/>
      <c r="I791" s="91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2.75" customHeight="1" spans="1:26">
      <c r="A792" s="85"/>
      <c r="B792" s="85"/>
      <c r="C792" s="85"/>
      <c r="D792" s="85"/>
      <c r="E792" s="85"/>
      <c r="F792" s="85"/>
      <c r="G792" s="85"/>
      <c r="H792" s="85"/>
      <c r="I792" s="91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2.75" customHeight="1" spans="1:26">
      <c r="A793" s="85"/>
      <c r="B793" s="85"/>
      <c r="C793" s="85"/>
      <c r="D793" s="85"/>
      <c r="E793" s="85"/>
      <c r="F793" s="85"/>
      <c r="G793" s="85"/>
      <c r="H793" s="85"/>
      <c r="I793" s="91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2.75" customHeight="1" spans="1:26">
      <c r="A794" s="85"/>
      <c r="B794" s="85"/>
      <c r="C794" s="85"/>
      <c r="D794" s="85"/>
      <c r="E794" s="85"/>
      <c r="F794" s="85"/>
      <c r="G794" s="85"/>
      <c r="H794" s="85"/>
      <c r="I794" s="91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2.75" customHeight="1" spans="1:26">
      <c r="A795" s="85"/>
      <c r="B795" s="85"/>
      <c r="C795" s="85"/>
      <c r="D795" s="85"/>
      <c r="E795" s="85"/>
      <c r="F795" s="85"/>
      <c r="G795" s="85"/>
      <c r="H795" s="85"/>
      <c r="I795" s="91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2.75" customHeight="1" spans="1:26">
      <c r="A796" s="85"/>
      <c r="B796" s="85"/>
      <c r="C796" s="85"/>
      <c r="D796" s="85"/>
      <c r="E796" s="85"/>
      <c r="F796" s="85"/>
      <c r="G796" s="85"/>
      <c r="H796" s="85"/>
      <c r="I796" s="91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2.75" customHeight="1" spans="1:26">
      <c r="A797" s="85"/>
      <c r="B797" s="85"/>
      <c r="C797" s="85"/>
      <c r="D797" s="85"/>
      <c r="E797" s="85"/>
      <c r="F797" s="85"/>
      <c r="G797" s="85"/>
      <c r="H797" s="85"/>
      <c r="I797" s="91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2.75" customHeight="1" spans="1:26">
      <c r="A798" s="85"/>
      <c r="B798" s="85"/>
      <c r="C798" s="85"/>
      <c r="D798" s="85"/>
      <c r="E798" s="85"/>
      <c r="F798" s="85"/>
      <c r="G798" s="85"/>
      <c r="H798" s="85"/>
      <c r="I798" s="91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2.75" customHeight="1" spans="1:26">
      <c r="A799" s="85"/>
      <c r="B799" s="85"/>
      <c r="C799" s="85"/>
      <c r="D799" s="85"/>
      <c r="E799" s="85"/>
      <c r="F799" s="85"/>
      <c r="G799" s="85"/>
      <c r="H799" s="85"/>
      <c r="I799" s="91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2.75" customHeight="1" spans="1:26">
      <c r="A800" s="85"/>
      <c r="B800" s="85"/>
      <c r="C800" s="85"/>
      <c r="D800" s="85"/>
      <c r="E800" s="85"/>
      <c r="F800" s="85"/>
      <c r="G800" s="85"/>
      <c r="H800" s="85"/>
      <c r="I800" s="91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2.75" customHeight="1" spans="1:26">
      <c r="A801" s="85"/>
      <c r="B801" s="85"/>
      <c r="C801" s="85"/>
      <c r="D801" s="85"/>
      <c r="E801" s="85"/>
      <c r="F801" s="85"/>
      <c r="G801" s="85"/>
      <c r="H801" s="85"/>
      <c r="I801" s="91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2.75" customHeight="1" spans="1:26">
      <c r="A802" s="85"/>
      <c r="B802" s="85"/>
      <c r="C802" s="85"/>
      <c r="D802" s="85"/>
      <c r="E802" s="85"/>
      <c r="F802" s="85"/>
      <c r="G802" s="85"/>
      <c r="H802" s="85"/>
      <c r="I802" s="91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2.75" customHeight="1" spans="1:26">
      <c r="A803" s="85"/>
      <c r="B803" s="85"/>
      <c r="C803" s="85"/>
      <c r="D803" s="85"/>
      <c r="E803" s="85"/>
      <c r="F803" s="85"/>
      <c r="G803" s="85"/>
      <c r="H803" s="85"/>
      <c r="I803" s="91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2.75" customHeight="1" spans="1:26">
      <c r="A804" s="85"/>
      <c r="B804" s="85"/>
      <c r="C804" s="85"/>
      <c r="D804" s="85"/>
      <c r="E804" s="85"/>
      <c r="F804" s="85"/>
      <c r="G804" s="85"/>
      <c r="H804" s="85"/>
      <c r="I804" s="91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2.75" customHeight="1" spans="1:26">
      <c r="A805" s="85"/>
      <c r="B805" s="85"/>
      <c r="C805" s="85"/>
      <c r="D805" s="85"/>
      <c r="E805" s="85"/>
      <c r="F805" s="85"/>
      <c r="G805" s="85"/>
      <c r="H805" s="85"/>
      <c r="I805" s="91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2.75" customHeight="1" spans="1:26">
      <c r="A806" s="85"/>
      <c r="B806" s="85"/>
      <c r="C806" s="85"/>
      <c r="D806" s="85"/>
      <c r="E806" s="85"/>
      <c r="F806" s="85"/>
      <c r="G806" s="85"/>
      <c r="H806" s="85"/>
      <c r="I806" s="91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2.75" customHeight="1" spans="1:26">
      <c r="A807" s="85"/>
      <c r="B807" s="85"/>
      <c r="C807" s="85"/>
      <c r="D807" s="85"/>
      <c r="E807" s="85"/>
      <c r="F807" s="85"/>
      <c r="G807" s="85"/>
      <c r="H807" s="85"/>
      <c r="I807" s="91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2.75" customHeight="1" spans="1:26">
      <c r="A808" s="85"/>
      <c r="B808" s="85"/>
      <c r="C808" s="85"/>
      <c r="D808" s="85"/>
      <c r="E808" s="85"/>
      <c r="F808" s="85"/>
      <c r="G808" s="85"/>
      <c r="H808" s="85"/>
      <c r="I808" s="91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2.75" customHeight="1" spans="1:26">
      <c r="A809" s="85"/>
      <c r="B809" s="85"/>
      <c r="C809" s="85"/>
      <c r="D809" s="85"/>
      <c r="E809" s="85"/>
      <c r="F809" s="85"/>
      <c r="G809" s="85"/>
      <c r="H809" s="85"/>
      <c r="I809" s="91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2.75" customHeight="1" spans="1:26">
      <c r="A810" s="85"/>
      <c r="B810" s="85"/>
      <c r="C810" s="85"/>
      <c r="D810" s="85"/>
      <c r="E810" s="85"/>
      <c r="F810" s="85"/>
      <c r="G810" s="85"/>
      <c r="H810" s="85"/>
      <c r="I810" s="91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2.75" customHeight="1" spans="1:26">
      <c r="A811" s="85"/>
      <c r="B811" s="85"/>
      <c r="C811" s="85"/>
      <c r="D811" s="85"/>
      <c r="E811" s="85"/>
      <c r="F811" s="85"/>
      <c r="G811" s="85"/>
      <c r="H811" s="85"/>
      <c r="I811" s="91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2.75" customHeight="1" spans="1:26">
      <c r="A812" s="85"/>
      <c r="B812" s="85"/>
      <c r="C812" s="85"/>
      <c r="D812" s="85"/>
      <c r="E812" s="85"/>
      <c r="F812" s="85"/>
      <c r="G812" s="85"/>
      <c r="H812" s="85"/>
      <c r="I812" s="91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2.75" customHeight="1" spans="1:26">
      <c r="A813" s="85"/>
      <c r="B813" s="85"/>
      <c r="C813" s="85"/>
      <c r="D813" s="85"/>
      <c r="E813" s="85"/>
      <c r="F813" s="85"/>
      <c r="G813" s="85"/>
      <c r="H813" s="85"/>
      <c r="I813" s="91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2.75" customHeight="1" spans="1:26">
      <c r="A814" s="85"/>
      <c r="B814" s="85"/>
      <c r="C814" s="85"/>
      <c r="D814" s="85"/>
      <c r="E814" s="85"/>
      <c r="F814" s="85"/>
      <c r="G814" s="85"/>
      <c r="H814" s="85"/>
      <c r="I814" s="91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2.75" customHeight="1" spans="1:26">
      <c r="A815" s="85"/>
      <c r="B815" s="85"/>
      <c r="C815" s="85"/>
      <c r="D815" s="85"/>
      <c r="E815" s="85"/>
      <c r="F815" s="85"/>
      <c r="G815" s="85"/>
      <c r="H815" s="85"/>
      <c r="I815" s="91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2.75" customHeight="1" spans="1:26">
      <c r="A816" s="85"/>
      <c r="B816" s="85"/>
      <c r="C816" s="85"/>
      <c r="D816" s="85"/>
      <c r="E816" s="85"/>
      <c r="F816" s="85"/>
      <c r="G816" s="85"/>
      <c r="H816" s="85"/>
      <c r="I816" s="91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2.75" customHeight="1" spans="1:26">
      <c r="A817" s="85"/>
      <c r="B817" s="85"/>
      <c r="C817" s="85"/>
      <c r="D817" s="85"/>
      <c r="E817" s="85"/>
      <c r="F817" s="85"/>
      <c r="G817" s="85"/>
      <c r="H817" s="85"/>
      <c r="I817" s="91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2.75" customHeight="1" spans="1:26">
      <c r="A818" s="85"/>
      <c r="B818" s="85"/>
      <c r="C818" s="85"/>
      <c r="D818" s="85"/>
      <c r="E818" s="85"/>
      <c r="F818" s="85"/>
      <c r="G818" s="85"/>
      <c r="H818" s="85"/>
      <c r="I818" s="91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2.75" customHeight="1" spans="1:26">
      <c r="A819" s="85"/>
      <c r="B819" s="85"/>
      <c r="C819" s="85"/>
      <c r="D819" s="85"/>
      <c r="E819" s="85"/>
      <c r="F819" s="85"/>
      <c r="G819" s="85"/>
      <c r="H819" s="85"/>
      <c r="I819" s="91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2.75" customHeight="1" spans="1:26">
      <c r="A820" s="85"/>
      <c r="B820" s="85"/>
      <c r="C820" s="85"/>
      <c r="D820" s="85"/>
      <c r="E820" s="85"/>
      <c r="F820" s="85"/>
      <c r="G820" s="85"/>
      <c r="H820" s="85"/>
      <c r="I820" s="91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2.75" customHeight="1" spans="1:26">
      <c r="A821" s="85"/>
      <c r="B821" s="85"/>
      <c r="C821" s="85"/>
      <c r="D821" s="85"/>
      <c r="E821" s="85"/>
      <c r="F821" s="85"/>
      <c r="G821" s="85"/>
      <c r="H821" s="85"/>
      <c r="I821" s="91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2.75" customHeight="1" spans="1:26">
      <c r="A822" s="85"/>
      <c r="B822" s="85"/>
      <c r="C822" s="85"/>
      <c r="D822" s="85"/>
      <c r="E822" s="85"/>
      <c r="F822" s="85"/>
      <c r="G822" s="85"/>
      <c r="H822" s="85"/>
      <c r="I822" s="91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2.75" customHeight="1" spans="1:26">
      <c r="A823" s="85"/>
      <c r="B823" s="85"/>
      <c r="C823" s="85"/>
      <c r="D823" s="85"/>
      <c r="E823" s="85"/>
      <c r="F823" s="85"/>
      <c r="G823" s="85"/>
      <c r="H823" s="85"/>
      <c r="I823" s="91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2.75" customHeight="1" spans="1:26">
      <c r="A824" s="85"/>
      <c r="B824" s="85"/>
      <c r="C824" s="85"/>
      <c r="D824" s="85"/>
      <c r="E824" s="85"/>
      <c r="F824" s="85"/>
      <c r="G824" s="85"/>
      <c r="H824" s="85"/>
      <c r="I824" s="91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2.75" customHeight="1" spans="1:26">
      <c r="A825" s="85"/>
      <c r="B825" s="85"/>
      <c r="C825" s="85"/>
      <c r="D825" s="85"/>
      <c r="E825" s="85"/>
      <c r="F825" s="85"/>
      <c r="G825" s="85"/>
      <c r="H825" s="85"/>
      <c r="I825" s="91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2.75" customHeight="1" spans="1:26">
      <c r="A826" s="85"/>
      <c r="B826" s="85"/>
      <c r="C826" s="85"/>
      <c r="D826" s="85"/>
      <c r="E826" s="85"/>
      <c r="F826" s="85"/>
      <c r="G826" s="85"/>
      <c r="H826" s="85"/>
      <c r="I826" s="91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2.75" customHeight="1" spans="1:26">
      <c r="A827" s="85"/>
      <c r="B827" s="85"/>
      <c r="C827" s="85"/>
      <c r="D827" s="85"/>
      <c r="E827" s="85"/>
      <c r="F827" s="85"/>
      <c r="G827" s="85"/>
      <c r="H827" s="85"/>
      <c r="I827" s="91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2.75" customHeight="1" spans="1:26">
      <c r="A828" s="85"/>
      <c r="B828" s="85"/>
      <c r="C828" s="85"/>
      <c r="D828" s="85"/>
      <c r="E828" s="85"/>
      <c r="F828" s="85"/>
      <c r="G828" s="85"/>
      <c r="H828" s="85"/>
      <c r="I828" s="91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2.75" customHeight="1" spans="1:26">
      <c r="A829" s="85"/>
      <c r="B829" s="85"/>
      <c r="C829" s="85"/>
      <c r="D829" s="85"/>
      <c r="E829" s="85"/>
      <c r="F829" s="85"/>
      <c r="G829" s="85"/>
      <c r="H829" s="85"/>
      <c r="I829" s="91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2.75" customHeight="1" spans="1:26">
      <c r="A830" s="85"/>
      <c r="B830" s="85"/>
      <c r="C830" s="85"/>
      <c r="D830" s="85"/>
      <c r="E830" s="85"/>
      <c r="F830" s="85"/>
      <c r="G830" s="85"/>
      <c r="H830" s="85"/>
      <c r="I830" s="91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2.75" customHeight="1" spans="1:26">
      <c r="A831" s="85"/>
      <c r="B831" s="85"/>
      <c r="C831" s="85"/>
      <c r="D831" s="85"/>
      <c r="E831" s="85"/>
      <c r="F831" s="85"/>
      <c r="G831" s="85"/>
      <c r="H831" s="85"/>
      <c r="I831" s="91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2.75" customHeight="1" spans="1:26">
      <c r="A832" s="85"/>
      <c r="B832" s="85"/>
      <c r="C832" s="85"/>
      <c r="D832" s="85"/>
      <c r="E832" s="85"/>
      <c r="F832" s="85"/>
      <c r="G832" s="85"/>
      <c r="H832" s="85"/>
      <c r="I832" s="91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2.75" customHeight="1" spans="1:26">
      <c r="A833" s="85"/>
      <c r="B833" s="85"/>
      <c r="C833" s="85"/>
      <c r="D833" s="85"/>
      <c r="E833" s="85"/>
      <c r="F833" s="85"/>
      <c r="G833" s="85"/>
      <c r="H833" s="85"/>
      <c r="I833" s="91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2.75" customHeight="1" spans="1:26">
      <c r="A834" s="85"/>
      <c r="B834" s="85"/>
      <c r="C834" s="85"/>
      <c r="D834" s="85"/>
      <c r="E834" s="85"/>
      <c r="F834" s="85"/>
      <c r="G834" s="85"/>
      <c r="H834" s="85"/>
      <c r="I834" s="91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2.75" customHeight="1" spans="1:26">
      <c r="A835" s="85"/>
      <c r="B835" s="85"/>
      <c r="C835" s="85"/>
      <c r="D835" s="85"/>
      <c r="E835" s="85"/>
      <c r="F835" s="85"/>
      <c r="G835" s="85"/>
      <c r="H835" s="85"/>
      <c r="I835" s="91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2.75" customHeight="1" spans="1:26">
      <c r="A836" s="85"/>
      <c r="B836" s="85"/>
      <c r="C836" s="85"/>
      <c r="D836" s="85"/>
      <c r="E836" s="85"/>
      <c r="F836" s="85"/>
      <c r="G836" s="85"/>
      <c r="H836" s="85"/>
      <c r="I836" s="91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2.75" customHeight="1" spans="1:26">
      <c r="A837" s="85"/>
      <c r="B837" s="85"/>
      <c r="C837" s="85"/>
      <c r="D837" s="85"/>
      <c r="E837" s="85"/>
      <c r="F837" s="85"/>
      <c r="G837" s="85"/>
      <c r="H837" s="85"/>
      <c r="I837" s="91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2.75" customHeight="1" spans="1:26">
      <c r="A838" s="85"/>
      <c r="B838" s="85"/>
      <c r="C838" s="85"/>
      <c r="D838" s="85"/>
      <c r="E838" s="85"/>
      <c r="F838" s="85"/>
      <c r="G838" s="85"/>
      <c r="H838" s="85"/>
      <c r="I838" s="91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2.75" customHeight="1" spans="1:26">
      <c r="A839" s="85"/>
      <c r="B839" s="85"/>
      <c r="C839" s="85"/>
      <c r="D839" s="85"/>
      <c r="E839" s="85"/>
      <c r="F839" s="85"/>
      <c r="G839" s="85"/>
      <c r="H839" s="85"/>
      <c r="I839" s="91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2.75" customHeight="1" spans="1:26">
      <c r="A840" s="85"/>
      <c r="B840" s="85"/>
      <c r="C840" s="85"/>
      <c r="D840" s="85"/>
      <c r="E840" s="85"/>
      <c r="F840" s="85"/>
      <c r="G840" s="85"/>
      <c r="H840" s="85"/>
      <c r="I840" s="91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2.75" customHeight="1" spans="1:26">
      <c r="A841" s="85"/>
      <c r="B841" s="85"/>
      <c r="C841" s="85"/>
      <c r="D841" s="85"/>
      <c r="E841" s="85"/>
      <c r="F841" s="85"/>
      <c r="G841" s="85"/>
      <c r="H841" s="85"/>
      <c r="I841" s="91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2.75" customHeight="1" spans="1:26">
      <c r="A842" s="85"/>
      <c r="B842" s="85"/>
      <c r="C842" s="85"/>
      <c r="D842" s="85"/>
      <c r="E842" s="85"/>
      <c r="F842" s="85"/>
      <c r="G842" s="85"/>
      <c r="H842" s="85"/>
      <c r="I842" s="91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2.75" customHeight="1" spans="1:26">
      <c r="A843" s="85"/>
      <c r="B843" s="85"/>
      <c r="C843" s="85"/>
      <c r="D843" s="85"/>
      <c r="E843" s="85"/>
      <c r="F843" s="85"/>
      <c r="G843" s="85"/>
      <c r="H843" s="85"/>
      <c r="I843" s="91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2.75" customHeight="1" spans="1:26">
      <c r="A844" s="85"/>
      <c r="B844" s="85"/>
      <c r="C844" s="85"/>
      <c r="D844" s="85"/>
      <c r="E844" s="85"/>
      <c r="F844" s="85"/>
      <c r="G844" s="85"/>
      <c r="H844" s="85"/>
      <c r="I844" s="91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2.75" customHeight="1" spans="1:26">
      <c r="A845" s="85"/>
      <c r="B845" s="85"/>
      <c r="C845" s="85"/>
      <c r="D845" s="85"/>
      <c r="E845" s="85"/>
      <c r="F845" s="85"/>
      <c r="G845" s="85"/>
      <c r="H845" s="85"/>
      <c r="I845" s="91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2.75" customHeight="1" spans="1:26">
      <c r="A846" s="85"/>
      <c r="B846" s="85"/>
      <c r="C846" s="85"/>
      <c r="D846" s="85"/>
      <c r="E846" s="85"/>
      <c r="F846" s="85"/>
      <c r="G846" s="85"/>
      <c r="H846" s="85"/>
      <c r="I846" s="91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2.75" customHeight="1" spans="1:26">
      <c r="A847" s="85"/>
      <c r="B847" s="85"/>
      <c r="C847" s="85"/>
      <c r="D847" s="85"/>
      <c r="E847" s="85"/>
      <c r="F847" s="85"/>
      <c r="G847" s="85"/>
      <c r="H847" s="85"/>
      <c r="I847" s="91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2.75" customHeight="1" spans="1:26">
      <c r="A848" s="85"/>
      <c r="B848" s="85"/>
      <c r="C848" s="85"/>
      <c r="D848" s="85"/>
      <c r="E848" s="85"/>
      <c r="F848" s="85"/>
      <c r="G848" s="85"/>
      <c r="H848" s="85"/>
      <c r="I848" s="91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2.75" customHeight="1" spans="1:26">
      <c r="A849" s="85"/>
      <c r="B849" s="85"/>
      <c r="C849" s="85"/>
      <c r="D849" s="85"/>
      <c r="E849" s="85"/>
      <c r="F849" s="85"/>
      <c r="G849" s="85"/>
      <c r="H849" s="85"/>
      <c r="I849" s="91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2.75" customHeight="1" spans="1:26">
      <c r="A850" s="85"/>
      <c r="B850" s="85"/>
      <c r="C850" s="85"/>
      <c r="D850" s="85"/>
      <c r="E850" s="85"/>
      <c r="F850" s="85"/>
      <c r="G850" s="85"/>
      <c r="H850" s="85"/>
      <c r="I850" s="91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2.75" customHeight="1" spans="1:26">
      <c r="A851" s="85"/>
      <c r="B851" s="85"/>
      <c r="C851" s="85"/>
      <c r="D851" s="85"/>
      <c r="E851" s="85"/>
      <c r="F851" s="85"/>
      <c r="G851" s="85"/>
      <c r="H851" s="85"/>
      <c r="I851" s="91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2.75" customHeight="1" spans="1:26">
      <c r="A852" s="85"/>
      <c r="B852" s="85"/>
      <c r="C852" s="85"/>
      <c r="D852" s="85"/>
      <c r="E852" s="85"/>
      <c r="F852" s="85"/>
      <c r="G852" s="85"/>
      <c r="H852" s="85"/>
      <c r="I852" s="91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2.75" customHeight="1" spans="1:26">
      <c r="A853" s="85"/>
      <c r="B853" s="85"/>
      <c r="C853" s="85"/>
      <c r="D853" s="85"/>
      <c r="E853" s="85"/>
      <c r="F853" s="85"/>
      <c r="G853" s="85"/>
      <c r="H853" s="85"/>
      <c r="I853" s="91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2.75" customHeight="1" spans="1:26">
      <c r="A854" s="85"/>
      <c r="B854" s="85"/>
      <c r="C854" s="85"/>
      <c r="D854" s="85"/>
      <c r="E854" s="85"/>
      <c r="F854" s="85"/>
      <c r="G854" s="85"/>
      <c r="H854" s="85"/>
      <c r="I854" s="91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2.75" customHeight="1" spans="1:26">
      <c r="A855" s="85"/>
      <c r="B855" s="85"/>
      <c r="C855" s="85"/>
      <c r="D855" s="85"/>
      <c r="E855" s="85"/>
      <c r="F855" s="85"/>
      <c r="G855" s="85"/>
      <c r="H855" s="85"/>
      <c r="I855" s="91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2.75" customHeight="1" spans="1:26">
      <c r="A856" s="85"/>
      <c r="B856" s="85"/>
      <c r="C856" s="85"/>
      <c r="D856" s="85"/>
      <c r="E856" s="85"/>
      <c r="F856" s="85"/>
      <c r="G856" s="85"/>
      <c r="H856" s="85"/>
      <c r="I856" s="91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2.75" customHeight="1" spans="1:26">
      <c r="A857" s="85"/>
      <c r="B857" s="85"/>
      <c r="C857" s="85"/>
      <c r="D857" s="85"/>
      <c r="E857" s="85"/>
      <c r="F857" s="85"/>
      <c r="G857" s="85"/>
      <c r="H857" s="85"/>
      <c r="I857" s="91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2.75" customHeight="1" spans="1:26">
      <c r="A858" s="85"/>
      <c r="B858" s="85"/>
      <c r="C858" s="85"/>
      <c r="D858" s="85"/>
      <c r="E858" s="85"/>
      <c r="F858" s="85"/>
      <c r="G858" s="85"/>
      <c r="H858" s="85"/>
      <c r="I858" s="91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2.75" customHeight="1" spans="1:26">
      <c r="A859" s="85"/>
      <c r="B859" s="85"/>
      <c r="C859" s="85"/>
      <c r="D859" s="85"/>
      <c r="E859" s="85"/>
      <c r="F859" s="85"/>
      <c r="G859" s="85"/>
      <c r="H859" s="85"/>
      <c r="I859" s="91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2.75" customHeight="1" spans="1:26">
      <c r="A860" s="85"/>
      <c r="B860" s="85"/>
      <c r="C860" s="85"/>
      <c r="D860" s="85"/>
      <c r="E860" s="85"/>
      <c r="F860" s="85"/>
      <c r="G860" s="85"/>
      <c r="H860" s="85"/>
      <c r="I860" s="91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2.75" customHeight="1" spans="1:26">
      <c r="A861" s="85"/>
      <c r="B861" s="85"/>
      <c r="C861" s="85"/>
      <c r="D861" s="85"/>
      <c r="E861" s="85"/>
      <c r="F861" s="85"/>
      <c r="G861" s="85"/>
      <c r="H861" s="85"/>
      <c r="I861" s="91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2.75" customHeight="1" spans="1:26">
      <c r="A862" s="85"/>
      <c r="B862" s="85"/>
      <c r="C862" s="85"/>
      <c r="D862" s="85"/>
      <c r="E862" s="85"/>
      <c r="F862" s="85"/>
      <c r="G862" s="85"/>
      <c r="H862" s="85"/>
      <c r="I862" s="91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2.75" customHeight="1" spans="1:26">
      <c r="A863" s="85"/>
      <c r="B863" s="85"/>
      <c r="C863" s="85"/>
      <c r="D863" s="85"/>
      <c r="E863" s="85"/>
      <c r="F863" s="85"/>
      <c r="G863" s="85"/>
      <c r="H863" s="85"/>
      <c r="I863" s="91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2.75" customHeight="1" spans="1:26">
      <c r="A864" s="85"/>
      <c r="B864" s="85"/>
      <c r="C864" s="85"/>
      <c r="D864" s="85"/>
      <c r="E864" s="85"/>
      <c r="F864" s="85"/>
      <c r="G864" s="85"/>
      <c r="H864" s="85"/>
      <c r="I864" s="91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2.75" customHeight="1" spans="1:26">
      <c r="A865" s="85"/>
      <c r="B865" s="85"/>
      <c r="C865" s="85"/>
      <c r="D865" s="85"/>
      <c r="E865" s="85"/>
      <c r="F865" s="85"/>
      <c r="G865" s="85"/>
      <c r="H865" s="85"/>
      <c r="I865" s="91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2.75" customHeight="1" spans="1:26">
      <c r="A866" s="85"/>
      <c r="B866" s="85"/>
      <c r="C866" s="85"/>
      <c r="D866" s="85"/>
      <c r="E866" s="85"/>
      <c r="F866" s="85"/>
      <c r="G866" s="85"/>
      <c r="H866" s="85"/>
      <c r="I866" s="91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2.75" customHeight="1" spans="1:26">
      <c r="A867" s="85"/>
      <c r="B867" s="85"/>
      <c r="C867" s="85"/>
      <c r="D867" s="85"/>
      <c r="E867" s="85"/>
      <c r="F867" s="85"/>
      <c r="G867" s="85"/>
      <c r="H867" s="85"/>
      <c r="I867" s="91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2.75" customHeight="1" spans="1:26">
      <c r="A868" s="85"/>
      <c r="B868" s="85"/>
      <c r="C868" s="85"/>
      <c r="D868" s="85"/>
      <c r="E868" s="85"/>
      <c r="F868" s="85"/>
      <c r="G868" s="85"/>
      <c r="H868" s="85"/>
      <c r="I868" s="91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2.75" customHeight="1" spans="1:26">
      <c r="A869" s="85"/>
      <c r="B869" s="85"/>
      <c r="C869" s="85"/>
      <c r="D869" s="85"/>
      <c r="E869" s="85"/>
      <c r="F869" s="85"/>
      <c r="G869" s="85"/>
      <c r="H869" s="85"/>
      <c r="I869" s="91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ht="12.75" customHeight="1" spans="1:26">
      <c r="A870" s="85"/>
      <c r="B870" s="85"/>
      <c r="C870" s="85"/>
      <c r="D870" s="85"/>
      <c r="E870" s="85"/>
      <c r="F870" s="85"/>
      <c r="G870" s="85"/>
      <c r="H870" s="85"/>
      <c r="I870" s="91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 G8:G17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0"/>
  <sheetViews>
    <sheetView zoomScale="89" zoomScaleNormal="89" workbookViewId="0">
      <pane ySplit="8" topLeftCell="A9" activePane="bottomLeft" state="frozen"/>
      <selection/>
      <selection pane="bottomLeft" activeCell="A10" sqref="A10"/>
    </sheetView>
  </sheetViews>
  <sheetFormatPr defaultColWidth="12.6333333333333" defaultRowHeight="15" customHeight="1"/>
  <cols>
    <col min="1" max="1" width="15" style="53" customWidth="1"/>
    <col min="2" max="2" width="19.1333333333333" style="53" customWidth="1"/>
    <col min="3" max="3" width="25.6333333333333" style="53" customWidth="1"/>
    <col min="4" max="4" width="28.5" style="53" customWidth="1"/>
    <col min="5" max="5" width="28.1333333333333" style="53" customWidth="1"/>
    <col min="6" max="6" width="28.3833333333333" style="53" customWidth="1"/>
    <col min="7" max="7" width="9" style="53" customWidth="1"/>
    <col min="8" max="8" width="17.6333333333333" style="53" customWidth="1"/>
    <col min="9" max="9" width="8.13333333333333" style="53" customWidth="1"/>
    <col min="10" max="10" width="3.88333333333333" style="53" hidden="1" customWidth="1"/>
    <col min="11" max="26" width="10" style="53" customWidth="1"/>
    <col min="27" max="16384" width="12.6333333333333" style="53"/>
  </cols>
  <sheetData>
    <row r="1" ht="12.75" customHeight="1" spans="1:26">
      <c r="A1" s="54"/>
      <c r="B1" s="55"/>
      <c r="C1" s="55"/>
      <c r="D1" s="55"/>
      <c r="E1" s="55"/>
      <c r="F1" s="56"/>
      <c r="G1" s="57"/>
      <c r="H1" s="58"/>
      <c r="I1" s="8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customHeight="1" spans="1:26">
      <c r="A2" s="59" t="s">
        <v>54</v>
      </c>
      <c r="B2" s="60" t="s">
        <v>43</v>
      </c>
      <c r="C2" s="61"/>
      <c r="D2" s="61"/>
      <c r="E2" s="61"/>
      <c r="F2" s="62"/>
      <c r="G2" s="58"/>
      <c r="H2" s="58"/>
      <c r="I2" s="86"/>
      <c r="J2" s="76" t="s">
        <v>55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5.5" customHeight="1" spans="1:26">
      <c r="A3" s="63" t="s">
        <v>56</v>
      </c>
      <c r="B3" s="60" t="s">
        <v>205</v>
      </c>
      <c r="C3" s="61"/>
      <c r="D3" s="61"/>
      <c r="E3" s="61"/>
      <c r="F3" s="62"/>
      <c r="G3" s="58"/>
      <c r="H3" s="58"/>
      <c r="I3" s="86"/>
      <c r="J3" s="76" t="s">
        <v>58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8" customHeight="1" spans="1:26">
      <c r="A4" s="59" t="s">
        <v>59</v>
      </c>
      <c r="B4" s="64" t="s">
        <v>39</v>
      </c>
      <c r="C4" s="65"/>
      <c r="D4" s="65"/>
      <c r="E4" s="65"/>
      <c r="F4" s="66"/>
      <c r="G4" s="58"/>
      <c r="H4" s="58"/>
      <c r="I4" s="86"/>
      <c r="J4" s="87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9.5" customHeight="1" spans="1:26">
      <c r="A5" s="67" t="s">
        <v>55</v>
      </c>
      <c r="B5" s="68" t="s">
        <v>58</v>
      </c>
      <c r="C5" s="68" t="s">
        <v>60</v>
      </c>
      <c r="D5" s="69" t="s">
        <v>61</v>
      </c>
      <c r="E5" s="69" t="s">
        <v>62</v>
      </c>
      <c r="F5" s="62"/>
      <c r="G5" s="70"/>
      <c r="H5" s="70"/>
      <c r="I5" s="88"/>
      <c r="J5" s="76" t="s">
        <v>63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customHeight="1" spans="1:26">
      <c r="A6" s="71">
        <f>COUNTIF(F10:G868,"Pass")</f>
        <v>6</v>
      </c>
      <c r="B6" s="72">
        <f>COUNTIF(F10:G868,"Fail")</f>
        <v>1</v>
      </c>
      <c r="C6" s="72">
        <f>E6-D6-B6-A6</f>
        <v>0</v>
      </c>
      <c r="D6" s="73">
        <f>COUNTIF(F$9:F$868,"N/A")</f>
        <v>0</v>
      </c>
      <c r="E6" s="74">
        <f>COUNTA(A9:A868)</f>
        <v>7</v>
      </c>
      <c r="F6" s="75"/>
      <c r="G6" s="70"/>
      <c r="H6" s="70"/>
      <c r="I6" s="88"/>
      <c r="J6" s="76" t="s">
        <v>61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customHeight="1" spans="1:26">
      <c r="A7" s="76"/>
      <c r="B7" s="76"/>
      <c r="C7" s="76"/>
      <c r="D7" s="77"/>
      <c r="E7" s="77"/>
      <c r="F7" s="70"/>
      <c r="G7" s="70"/>
      <c r="H7" s="70"/>
      <c r="I7" s="88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5.5" customHeight="1" spans="1:26">
      <c r="A8" s="78" t="s">
        <v>64</v>
      </c>
      <c r="B8" s="78" t="s">
        <v>65</v>
      </c>
      <c r="C8" s="78" t="s">
        <v>66</v>
      </c>
      <c r="D8" s="78" t="s">
        <v>67</v>
      </c>
      <c r="E8" s="78" t="s">
        <v>68</v>
      </c>
      <c r="F8" s="79" t="s">
        <v>69</v>
      </c>
      <c r="G8" s="79" t="s">
        <v>70</v>
      </c>
      <c r="H8" s="79" t="s">
        <v>71</v>
      </c>
      <c r="I8" s="78" t="s">
        <v>72</v>
      </c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3.5" spans="1:26">
      <c r="A9" s="80"/>
      <c r="B9" s="81" t="s">
        <v>73</v>
      </c>
      <c r="C9" s="80"/>
      <c r="D9" s="80"/>
      <c r="E9" s="80"/>
      <c r="F9" s="80"/>
      <c r="G9" s="80"/>
      <c r="H9" s="80"/>
      <c r="I9" s="89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51" spans="1:26">
      <c r="A10" s="82" t="str">
        <f>IF(OR(B10&lt;&gt;"",E10&lt;&gt;""),"["&amp;TEXT($B$2,"##")&amp;"-"&amp;TEXT(ROW()-9,"##")&amp;"]","")</f>
        <v>[M_sua_dich_vu-1]</v>
      </c>
      <c r="B10" s="82" t="s">
        <v>206</v>
      </c>
      <c r="C10" s="82" t="s">
        <v>144</v>
      </c>
      <c r="D10" s="82" t="s">
        <v>207</v>
      </c>
      <c r="E10" s="82" t="s">
        <v>208</v>
      </c>
      <c r="F10" s="83" t="s">
        <v>209</v>
      </c>
      <c r="G10" s="82" t="s">
        <v>58</v>
      </c>
      <c r="H10" s="84">
        <v>45992</v>
      </c>
      <c r="I10" s="82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54" customHeight="1" spans="1:26">
      <c r="A11" s="82" t="str">
        <f>IF(OR(B10&lt;&gt;"",E10&lt;&gt;""),"["&amp;TEXT($B$2,"##")&amp;"-"&amp;TEXT(ROW()-9,"##")&amp;"]","")</f>
        <v>[M_sua_dich_vu-2]</v>
      </c>
      <c r="B11" s="82" t="s">
        <v>181</v>
      </c>
      <c r="C11" s="82" t="s">
        <v>210</v>
      </c>
      <c r="D11" s="82" t="s">
        <v>211</v>
      </c>
      <c r="E11" s="82" t="s">
        <v>212</v>
      </c>
      <c r="F11" s="83" t="s">
        <v>213</v>
      </c>
      <c r="G11" s="82" t="s">
        <v>55</v>
      </c>
      <c r="H11" s="84">
        <v>45992</v>
      </c>
      <c r="I11" s="82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54" customHeight="1" spans="1:26">
      <c r="A12" s="82" t="str">
        <f>IF(OR(B12&lt;&gt;"",E12&lt;&gt;""),"["&amp;TEXT($B$2,"##")&amp;"-"&amp;TEXT(ROW()-9,"##")&amp;"]","")</f>
        <v>[M_sua_dich_vu-3]</v>
      </c>
      <c r="B12" s="82" t="s">
        <v>214</v>
      </c>
      <c r="C12" s="82" t="s">
        <v>210</v>
      </c>
      <c r="D12" s="82" t="s">
        <v>215</v>
      </c>
      <c r="E12" s="82" t="s">
        <v>216</v>
      </c>
      <c r="F12" s="83" t="s">
        <v>213</v>
      </c>
      <c r="G12" s="82" t="s">
        <v>55</v>
      </c>
      <c r="H12" s="84">
        <v>45992</v>
      </c>
      <c r="I12" s="82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13.5" spans="1:26">
      <c r="A13" s="80"/>
      <c r="B13" s="81" t="s">
        <v>80</v>
      </c>
      <c r="C13" s="80"/>
      <c r="D13" s="80"/>
      <c r="E13" s="80"/>
      <c r="F13" s="80"/>
      <c r="G13" s="80"/>
      <c r="H13" s="80"/>
      <c r="I13" s="89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63.75" spans="1:26">
      <c r="A14" s="82" t="str">
        <f>IF(OR(B14&lt;&gt;"",E14&lt;&gt;""),"["&amp;TEXT($B$2,"##")&amp;"-"&amp;TEXT(ROW()-10,"##")&amp;"]","")</f>
        <v>[M_sua_dich_vu-4]</v>
      </c>
      <c r="B14" s="82" t="s">
        <v>217</v>
      </c>
      <c r="C14" s="82" t="s">
        <v>210</v>
      </c>
      <c r="D14" s="82" t="s">
        <v>218</v>
      </c>
      <c r="E14" s="82" t="s">
        <v>219</v>
      </c>
      <c r="F14" s="83" t="s">
        <v>220</v>
      </c>
      <c r="G14" s="82" t="s">
        <v>55</v>
      </c>
      <c r="H14" s="84">
        <v>45992</v>
      </c>
      <c r="I14" s="90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51" spans="1:26">
      <c r="A15" s="82" t="str">
        <f>IF(OR(B15&lt;&gt;"",E15&lt;&gt;""),"["&amp;TEXT($B$2,"##")&amp;"-"&amp;TEXT(ROW()-10,"##")&amp;"]","")</f>
        <v>[M_sua_dich_vu-5]</v>
      </c>
      <c r="B15" s="82" t="s">
        <v>221</v>
      </c>
      <c r="C15" s="82" t="s">
        <v>222</v>
      </c>
      <c r="D15" s="82" t="s">
        <v>223</v>
      </c>
      <c r="E15" s="82" t="s">
        <v>198</v>
      </c>
      <c r="F15" s="83" t="s">
        <v>213</v>
      </c>
      <c r="G15" s="82" t="s">
        <v>55</v>
      </c>
      <c r="H15" s="84">
        <v>45992</v>
      </c>
      <c r="I15" s="82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51" spans="1:26">
      <c r="A16" s="82" t="str">
        <f>IF(OR(B16&lt;&gt;"",E16&lt;&gt;""),"["&amp;TEXT($B$2,"##")&amp;"-"&amp;TEXT(ROW()-10,"##")&amp;"]","")</f>
        <v>[M_sua_dich_vu-6]</v>
      </c>
      <c r="B16" s="82" t="s">
        <v>224</v>
      </c>
      <c r="C16" s="82" t="s">
        <v>144</v>
      </c>
      <c r="D16" s="82" t="s">
        <v>225</v>
      </c>
      <c r="E16" s="82" t="s">
        <v>226</v>
      </c>
      <c r="F16" s="83" t="s">
        <v>209</v>
      </c>
      <c r="G16" s="82" t="s">
        <v>55</v>
      </c>
      <c r="H16" s="84">
        <v>45992</v>
      </c>
      <c r="I16" s="90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51" spans="1:26">
      <c r="A17" s="82" t="str">
        <f>IF(OR(B17&lt;&gt;"",E17&lt;&gt;""),"["&amp;TEXT($B$2,"##")&amp;"-"&amp;TEXT(ROW()-10,"##")&amp;"]","")</f>
        <v>[M_sua_dich_vu-7]</v>
      </c>
      <c r="B17" s="82" t="s">
        <v>227</v>
      </c>
      <c r="C17" s="82" t="s">
        <v>228</v>
      </c>
      <c r="D17" s="82" t="s">
        <v>229</v>
      </c>
      <c r="E17" s="82" t="s">
        <v>230</v>
      </c>
      <c r="F17" s="83" t="s">
        <v>220</v>
      </c>
      <c r="G17" s="82" t="s">
        <v>55</v>
      </c>
      <c r="H17" s="84">
        <v>45992</v>
      </c>
      <c r="I17" s="90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2.75" customHeight="1" spans="1:26">
      <c r="A18" s="85"/>
      <c r="B18" s="85"/>
      <c r="C18" s="85"/>
      <c r="D18" s="85"/>
      <c r="E18" s="85"/>
      <c r="F18" s="85"/>
      <c r="G18" s="85"/>
      <c r="H18" s="85"/>
      <c r="I18" s="91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2.75" customHeight="1" spans="1:26">
      <c r="A19" s="85"/>
      <c r="B19" s="85"/>
      <c r="C19" s="85"/>
      <c r="D19" s="85"/>
      <c r="E19" s="85"/>
      <c r="F19" s="85"/>
      <c r="G19" s="85"/>
      <c r="H19" s="85"/>
      <c r="I19" s="91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2.75" customHeight="1" spans="1:26">
      <c r="A20" s="85"/>
      <c r="B20" s="85"/>
      <c r="C20" s="85"/>
      <c r="D20" s="85"/>
      <c r="E20" s="85"/>
      <c r="F20" s="85"/>
      <c r="G20" s="85"/>
      <c r="H20" s="85"/>
      <c r="I20" s="91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2.75" customHeight="1" spans="1:26">
      <c r="A21" s="85"/>
      <c r="B21" s="85"/>
      <c r="C21" s="85"/>
      <c r="D21" s="85"/>
      <c r="E21" s="85"/>
      <c r="F21" s="85"/>
      <c r="G21" s="85"/>
      <c r="H21" s="85"/>
      <c r="I21" s="91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2.75" customHeight="1" spans="1:26">
      <c r="A22" s="85"/>
      <c r="B22" s="85"/>
      <c r="C22" s="85"/>
      <c r="D22" s="85"/>
      <c r="E22" s="85"/>
      <c r="F22" s="85"/>
      <c r="G22" s="85"/>
      <c r="H22" s="85"/>
      <c r="I22" s="91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2.75" customHeight="1" spans="1:26">
      <c r="A23" s="85"/>
      <c r="B23" s="85"/>
      <c r="C23" s="85"/>
      <c r="D23" s="85"/>
      <c r="E23" s="85"/>
      <c r="F23" s="85"/>
      <c r="G23" s="85"/>
      <c r="H23" s="85"/>
      <c r="I23" s="91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2.75" customHeight="1" spans="1:26">
      <c r="A24" s="85"/>
      <c r="B24" s="85"/>
      <c r="C24" s="85"/>
      <c r="D24" s="85"/>
      <c r="E24" s="85"/>
      <c r="F24" s="85"/>
      <c r="G24" s="85"/>
      <c r="H24" s="85"/>
      <c r="I24" s="91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2.75" customHeight="1" spans="1:26">
      <c r="A25" s="85"/>
      <c r="B25" s="85"/>
      <c r="C25" s="85"/>
      <c r="D25" s="85"/>
      <c r="E25" s="85"/>
      <c r="F25" s="85"/>
      <c r="G25" s="85"/>
      <c r="H25" s="85"/>
      <c r="I25" s="91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2.75" customHeight="1" spans="1:26">
      <c r="A26" s="85"/>
      <c r="B26" s="85"/>
      <c r="C26" s="85"/>
      <c r="D26" s="85"/>
      <c r="E26" s="85"/>
      <c r="F26" s="85"/>
      <c r="G26" s="85"/>
      <c r="H26" s="85"/>
      <c r="I26" s="91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2.75" customHeight="1" spans="1:26">
      <c r="A27" s="85"/>
      <c r="B27" s="85"/>
      <c r="C27" s="85"/>
      <c r="D27" s="85"/>
      <c r="E27" s="85"/>
      <c r="F27" s="85"/>
      <c r="G27" s="85"/>
      <c r="H27" s="85"/>
      <c r="I27" s="91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2.75" customHeight="1" spans="1:26">
      <c r="A28" s="85"/>
      <c r="B28" s="85"/>
      <c r="C28" s="85"/>
      <c r="D28" s="85"/>
      <c r="E28" s="85"/>
      <c r="F28" s="85"/>
      <c r="G28" s="85"/>
      <c r="H28" s="85"/>
      <c r="I28" s="91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2.75" customHeight="1" spans="1:26">
      <c r="A29" s="85"/>
      <c r="B29" s="85"/>
      <c r="C29" s="85"/>
      <c r="D29" s="85"/>
      <c r="E29" s="85"/>
      <c r="F29" s="85"/>
      <c r="G29" s="85"/>
      <c r="H29" s="85"/>
      <c r="I29" s="91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2.75" customHeight="1" spans="1:26">
      <c r="A30" s="85"/>
      <c r="B30" s="85"/>
      <c r="C30" s="85"/>
      <c r="D30" s="85"/>
      <c r="E30" s="85"/>
      <c r="F30" s="85"/>
      <c r="G30" s="85"/>
      <c r="H30" s="85"/>
      <c r="I30" s="91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2.75" customHeight="1" spans="1:26">
      <c r="A31" s="85"/>
      <c r="B31" s="85"/>
      <c r="C31" s="85"/>
      <c r="D31" s="85"/>
      <c r="E31" s="85"/>
      <c r="F31" s="85"/>
      <c r="G31" s="85"/>
      <c r="H31" s="85"/>
      <c r="I31" s="91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2.75" customHeight="1" spans="1:26">
      <c r="A32" s="85"/>
      <c r="B32" s="85"/>
      <c r="C32" s="85"/>
      <c r="D32" s="85"/>
      <c r="E32" s="85"/>
      <c r="F32" s="85"/>
      <c r="G32" s="85"/>
      <c r="H32" s="85"/>
      <c r="I32" s="91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2.75" customHeight="1" spans="1:26">
      <c r="A33" s="85"/>
      <c r="B33" s="85"/>
      <c r="C33" s="85"/>
      <c r="D33" s="85"/>
      <c r="E33" s="85"/>
      <c r="F33" s="85"/>
      <c r="G33" s="85"/>
      <c r="H33" s="85"/>
      <c r="I33" s="91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2.75" customHeight="1" spans="1:26">
      <c r="A34" s="85"/>
      <c r="B34" s="85"/>
      <c r="C34" s="85"/>
      <c r="D34" s="85"/>
      <c r="E34" s="85"/>
      <c r="F34" s="85"/>
      <c r="G34" s="85"/>
      <c r="H34" s="85"/>
      <c r="I34" s="91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2.75" customHeight="1" spans="1:26">
      <c r="A35" s="85"/>
      <c r="B35" s="85"/>
      <c r="C35" s="85"/>
      <c r="D35" s="85"/>
      <c r="E35" s="85"/>
      <c r="F35" s="85"/>
      <c r="G35" s="85"/>
      <c r="H35" s="85"/>
      <c r="I35" s="91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2.75" customHeight="1" spans="1:26">
      <c r="A36" s="85"/>
      <c r="B36" s="85"/>
      <c r="C36" s="85"/>
      <c r="D36" s="85"/>
      <c r="E36" s="85"/>
      <c r="F36" s="85"/>
      <c r="G36" s="85"/>
      <c r="H36" s="85"/>
      <c r="I36" s="91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2.75" customHeight="1" spans="1:26">
      <c r="A37" s="85"/>
      <c r="B37" s="85"/>
      <c r="C37" s="85"/>
      <c r="D37" s="85"/>
      <c r="E37" s="85"/>
      <c r="F37" s="85"/>
      <c r="G37" s="85"/>
      <c r="H37" s="85"/>
      <c r="I37" s="91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2.75" customHeight="1" spans="1:26">
      <c r="A38" s="85"/>
      <c r="B38" s="85"/>
      <c r="C38" s="85"/>
      <c r="D38" s="85"/>
      <c r="E38" s="85"/>
      <c r="F38" s="85"/>
      <c r="G38" s="85"/>
      <c r="H38" s="85"/>
      <c r="I38" s="91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2.75" customHeight="1" spans="1:26">
      <c r="A39" s="85"/>
      <c r="B39" s="85"/>
      <c r="C39" s="85"/>
      <c r="D39" s="85"/>
      <c r="E39" s="85"/>
      <c r="F39" s="85"/>
      <c r="G39" s="85"/>
      <c r="H39" s="85"/>
      <c r="I39" s="91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2.75" customHeight="1" spans="1:26">
      <c r="A40" s="85"/>
      <c r="B40" s="85"/>
      <c r="C40" s="85"/>
      <c r="D40" s="85"/>
      <c r="E40" s="85"/>
      <c r="F40" s="85"/>
      <c r="G40" s="85"/>
      <c r="H40" s="85"/>
      <c r="I40" s="91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2.75" customHeight="1" spans="1:26">
      <c r="A41" s="85"/>
      <c r="B41" s="85"/>
      <c r="C41" s="85"/>
      <c r="D41" s="85"/>
      <c r="E41" s="85"/>
      <c r="F41" s="85"/>
      <c r="G41" s="85"/>
      <c r="H41" s="85"/>
      <c r="I41" s="91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2.75" customHeight="1" spans="1:26">
      <c r="A42" s="85"/>
      <c r="B42" s="85"/>
      <c r="C42" s="85"/>
      <c r="D42" s="85"/>
      <c r="E42" s="85"/>
      <c r="F42" s="85"/>
      <c r="G42" s="85"/>
      <c r="H42" s="85"/>
      <c r="I42" s="91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2.75" customHeight="1" spans="1:26">
      <c r="A43" s="85"/>
      <c r="B43" s="85"/>
      <c r="C43" s="85"/>
      <c r="D43" s="85"/>
      <c r="E43" s="85"/>
      <c r="F43" s="85"/>
      <c r="G43" s="85"/>
      <c r="H43" s="85"/>
      <c r="I43" s="91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2.75" customHeight="1" spans="1:26">
      <c r="A44" s="85"/>
      <c r="B44" s="85"/>
      <c r="C44" s="85"/>
      <c r="D44" s="85"/>
      <c r="E44" s="85"/>
      <c r="F44" s="85"/>
      <c r="G44" s="85"/>
      <c r="H44" s="85"/>
      <c r="I44" s="91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2.75" customHeight="1" spans="1:26">
      <c r="A45" s="85"/>
      <c r="B45" s="85"/>
      <c r="C45" s="85"/>
      <c r="D45" s="85"/>
      <c r="E45" s="85"/>
      <c r="F45" s="85"/>
      <c r="G45" s="85"/>
      <c r="H45" s="85"/>
      <c r="I45" s="91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2.75" customHeight="1" spans="1:26">
      <c r="A46" s="85"/>
      <c r="B46" s="85"/>
      <c r="C46" s="85"/>
      <c r="D46" s="85"/>
      <c r="E46" s="85"/>
      <c r="F46" s="85"/>
      <c r="G46" s="85"/>
      <c r="H46" s="85"/>
      <c r="I46" s="91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2.75" customHeight="1" spans="1:26">
      <c r="A47" s="85"/>
      <c r="B47" s="85"/>
      <c r="C47" s="85"/>
      <c r="D47" s="85"/>
      <c r="E47" s="85"/>
      <c r="F47" s="85"/>
      <c r="G47" s="85"/>
      <c r="H47" s="85"/>
      <c r="I47" s="91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2.75" customHeight="1" spans="1:26">
      <c r="A48" s="85"/>
      <c r="B48" s="85"/>
      <c r="C48" s="85"/>
      <c r="D48" s="85"/>
      <c r="E48" s="85"/>
      <c r="F48" s="85"/>
      <c r="G48" s="85"/>
      <c r="H48" s="85"/>
      <c r="I48" s="91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2.75" customHeight="1" spans="1:26">
      <c r="A49" s="85"/>
      <c r="B49" s="85"/>
      <c r="C49" s="85"/>
      <c r="D49" s="85"/>
      <c r="E49" s="85"/>
      <c r="F49" s="85"/>
      <c r="G49" s="85"/>
      <c r="H49" s="85"/>
      <c r="I49" s="91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2.75" customHeight="1" spans="1:26">
      <c r="A50" s="85"/>
      <c r="B50" s="85"/>
      <c r="C50" s="85"/>
      <c r="D50" s="85"/>
      <c r="E50" s="85"/>
      <c r="F50" s="85"/>
      <c r="G50" s="85"/>
      <c r="H50" s="85"/>
      <c r="I50" s="91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2.75" customHeight="1" spans="1:26">
      <c r="A51" s="85"/>
      <c r="B51" s="85"/>
      <c r="C51" s="85"/>
      <c r="D51" s="85"/>
      <c r="E51" s="85"/>
      <c r="F51" s="85"/>
      <c r="G51" s="85"/>
      <c r="H51" s="85"/>
      <c r="I51" s="91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2.75" customHeight="1" spans="1:26">
      <c r="A52" s="85"/>
      <c r="B52" s="85"/>
      <c r="C52" s="85"/>
      <c r="D52" s="85"/>
      <c r="E52" s="85"/>
      <c r="F52" s="85"/>
      <c r="G52" s="85"/>
      <c r="H52" s="85"/>
      <c r="I52" s="91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2.75" customHeight="1" spans="1:26">
      <c r="A53" s="85"/>
      <c r="B53" s="85"/>
      <c r="C53" s="85"/>
      <c r="D53" s="85"/>
      <c r="E53" s="85"/>
      <c r="F53" s="85"/>
      <c r="G53" s="85"/>
      <c r="H53" s="85"/>
      <c r="I53" s="91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2.75" customHeight="1" spans="1:26">
      <c r="A54" s="85"/>
      <c r="B54" s="85"/>
      <c r="C54" s="85"/>
      <c r="D54" s="85"/>
      <c r="E54" s="85"/>
      <c r="F54" s="85"/>
      <c r="G54" s="85"/>
      <c r="H54" s="85"/>
      <c r="I54" s="91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2.75" customHeight="1" spans="1:26">
      <c r="A55" s="85"/>
      <c r="B55" s="85"/>
      <c r="C55" s="85"/>
      <c r="D55" s="85"/>
      <c r="E55" s="85"/>
      <c r="F55" s="85"/>
      <c r="G55" s="85"/>
      <c r="H55" s="85"/>
      <c r="I55" s="91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2.75" customHeight="1" spans="1:26">
      <c r="A56" s="85"/>
      <c r="B56" s="85"/>
      <c r="C56" s="85"/>
      <c r="D56" s="85"/>
      <c r="E56" s="85"/>
      <c r="F56" s="85"/>
      <c r="G56" s="85"/>
      <c r="H56" s="85"/>
      <c r="I56" s="91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2.75" customHeight="1" spans="1:26">
      <c r="A57" s="85"/>
      <c r="B57" s="85"/>
      <c r="C57" s="85"/>
      <c r="D57" s="85"/>
      <c r="E57" s="85"/>
      <c r="F57" s="85"/>
      <c r="G57" s="85"/>
      <c r="H57" s="85"/>
      <c r="I57" s="91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2.75" customHeight="1" spans="1:26">
      <c r="A58" s="85"/>
      <c r="B58" s="85"/>
      <c r="C58" s="85"/>
      <c r="D58" s="85"/>
      <c r="E58" s="85"/>
      <c r="F58" s="85"/>
      <c r="G58" s="85"/>
      <c r="H58" s="85"/>
      <c r="I58" s="91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2.75" customHeight="1" spans="1:26">
      <c r="A59" s="85"/>
      <c r="B59" s="85"/>
      <c r="C59" s="85"/>
      <c r="D59" s="85"/>
      <c r="E59" s="85"/>
      <c r="F59" s="85"/>
      <c r="G59" s="85"/>
      <c r="H59" s="85"/>
      <c r="I59" s="91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2.75" customHeight="1" spans="1:26">
      <c r="A60" s="85"/>
      <c r="B60" s="85"/>
      <c r="C60" s="85"/>
      <c r="D60" s="85"/>
      <c r="E60" s="85"/>
      <c r="F60" s="85"/>
      <c r="G60" s="85"/>
      <c r="H60" s="85"/>
      <c r="I60" s="91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2.75" customHeight="1" spans="1:26">
      <c r="A61" s="85"/>
      <c r="B61" s="85"/>
      <c r="C61" s="85"/>
      <c r="D61" s="85"/>
      <c r="E61" s="85"/>
      <c r="F61" s="85"/>
      <c r="G61" s="85"/>
      <c r="H61" s="85"/>
      <c r="I61" s="91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2.75" customHeight="1" spans="1:26">
      <c r="A62" s="85"/>
      <c r="B62" s="85"/>
      <c r="C62" s="85"/>
      <c r="D62" s="85"/>
      <c r="E62" s="85"/>
      <c r="F62" s="85"/>
      <c r="G62" s="85"/>
      <c r="H62" s="85"/>
      <c r="I62" s="91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2.75" customHeight="1" spans="1:26">
      <c r="A63" s="85"/>
      <c r="B63" s="85"/>
      <c r="C63" s="85"/>
      <c r="D63" s="85"/>
      <c r="E63" s="85"/>
      <c r="F63" s="85"/>
      <c r="G63" s="85"/>
      <c r="H63" s="85"/>
      <c r="I63" s="91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2.75" customHeight="1" spans="1:26">
      <c r="A64" s="85"/>
      <c r="B64" s="85"/>
      <c r="C64" s="85"/>
      <c r="D64" s="85"/>
      <c r="E64" s="85"/>
      <c r="F64" s="85"/>
      <c r="G64" s="85"/>
      <c r="H64" s="85"/>
      <c r="I64" s="91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2.75" customHeight="1" spans="1:26">
      <c r="A65" s="85"/>
      <c r="B65" s="85"/>
      <c r="C65" s="85"/>
      <c r="D65" s="85"/>
      <c r="E65" s="85"/>
      <c r="F65" s="85"/>
      <c r="G65" s="85"/>
      <c r="H65" s="85"/>
      <c r="I65" s="91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2.75" customHeight="1" spans="1:26">
      <c r="A66" s="85"/>
      <c r="B66" s="85"/>
      <c r="C66" s="85"/>
      <c r="D66" s="85"/>
      <c r="E66" s="85"/>
      <c r="F66" s="85"/>
      <c r="G66" s="85"/>
      <c r="H66" s="85"/>
      <c r="I66" s="91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2.75" customHeight="1" spans="1:26">
      <c r="A67" s="85"/>
      <c r="B67" s="85"/>
      <c r="C67" s="85"/>
      <c r="D67" s="85"/>
      <c r="E67" s="85"/>
      <c r="F67" s="85"/>
      <c r="G67" s="85"/>
      <c r="H67" s="85"/>
      <c r="I67" s="91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2.75" customHeight="1" spans="1:26">
      <c r="A68" s="85"/>
      <c r="B68" s="85"/>
      <c r="C68" s="85"/>
      <c r="D68" s="85"/>
      <c r="E68" s="85"/>
      <c r="F68" s="85"/>
      <c r="G68" s="85"/>
      <c r="H68" s="85"/>
      <c r="I68" s="91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2.75" customHeight="1" spans="1:26">
      <c r="A69" s="85"/>
      <c r="B69" s="85"/>
      <c r="C69" s="85"/>
      <c r="D69" s="85"/>
      <c r="E69" s="85"/>
      <c r="F69" s="85"/>
      <c r="G69" s="85"/>
      <c r="H69" s="85"/>
      <c r="I69" s="91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2.75" customHeight="1" spans="1:26">
      <c r="A70" s="85"/>
      <c r="B70" s="85"/>
      <c r="C70" s="85"/>
      <c r="D70" s="85"/>
      <c r="E70" s="85"/>
      <c r="F70" s="85"/>
      <c r="G70" s="85"/>
      <c r="H70" s="85"/>
      <c r="I70" s="91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2.75" customHeight="1" spans="1:26">
      <c r="A71" s="85"/>
      <c r="B71" s="85"/>
      <c r="C71" s="85"/>
      <c r="D71" s="85"/>
      <c r="E71" s="85"/>
      <c r="F71" s="85"/>
      <c r="G71" s="85"/>
      <c r="H71" s="85"/>
      <c r="I71" s="91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2.75" customHeight="1" spans="1:26">
      <c r="A72" s="85"/>
      <c r="B72" s="85"/>
      <c r="C72" s="85"/>
      <c r="D72" s="85"/>
      <c r="E72" s="85"/>
      <c r="F72" s="85"/>
      <c r="G72" s="85"/>
      <c r="H72" s="85"/>
      <c r="I72" s="91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2.75" customHeight="1" spans="1:26">
      <c r="A73" s="85"/>
      <c r="B73" s="85"/>
      <c r="C73" s="85"/>
      <c r="D73" s="85"/>
      <c r="E73" s="85"/>
      <c r="F73" s="85"/>
      <c r="G73" s="85"/>
      <c r="H73" s="85"/>
      <c r="I73" s="91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2.75" customHeight="1" spans="1:26">
      <c r="A74" s="85"/>
      <c r="B74" s="85"/>
      <c r="C74" s="85"/>
      <c r="D74" s="85"/>
      <c r="E74" s="85"/>
      <c r="F74" s="85"/>
      <c r="G74" s="85"/>
      <c r="H74" s="85"/>
      <c r="I74" s="91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2.75" customHeight="1" spans="1:26">
      <c r="A75" s="85"/>
      <c r="B75" s="85"/>
      <c r="C75" s="85"/>
      <c r="D75" s="85"/>
      <c r="E75" s="85"/>
      <c r="F75" s="85"/>
      <c r="G75" s="85"/>
      <c r="H75" s="85"/>
      <c r="I75" s="91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2.75" customHeight="1" spans="1:26">
      <c r="A76" s="85"/>
      <c r="B76" s="85"/>
      <c r="C76" s="85"/>
      <c r="D76" s="85"/>
      <c r="E76" s="85"/>
      <c r="F76" s="85"/>
      <c r="G76" s="85"/>
      <c r="H76" s="85"/>
      <c r="I76" s="91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2.75" customHeight="1" spans="1:26">
      <c r="A77" s="85"/>
      <c r="B77" s="85"/>
      <c r="C77" s="85"/>
      <c r="D77" s="85"/>
      <c r="E77" s="85"/>
      <c r="F77" s="85"/>
      <c r="G77" s="85"/>
      <c r="H77" s="85"/>
      <c r="I77" s="91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2.75" customHeight="1" spans="1:26">
      <c r="A78" s="85"/>
      <c r="B78" s="85"/>
      <c r="C78" s="85"/>
      <c r="D78" s="85"/>
      <c r="E78" s="85"/>
      <c r="F78" s="85"/>
      <c r="G78" s="85"/>
      <c r="H78" s="85"/>
      <c r="I78" s="91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2.75" customHeight="1" spans="1:26">
      <c r="A79" s="85"/>
      <c r="B79" s="85"/>
      <c r="C79" s="85"/>
      <c r="D79" s="85"/>
      <c r="E79" s="85"/>
      <c r="F79" s="85"/>
      <c r="G79" s="85"/>
      <c r="H79" s="85"/>
      <c r="I79" s="91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2.75" customHeight="1" spans="1:26">
      <c r="A80" s="85"/>
      <c r="B80" s="85"/>
      <c r="C80" s="85"/>
      <c r="D80" s="85"/>
      <c r="E80" s="85"/>
      <c r="F80" s="85"/>
      <c r="G80" s="85"/>
      <c r="H80" s="85"/>
      <c r="I80" s="91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2.75" customHeight="1" spans="1:26">
      <c r="A81" s="85"/>
      <c r="B81" s="85"/>
      <c r="C81" s="85"/>
      <c r="D81" s="85"/>
      <c r="E81" s="85"/>
      <c r="F81" s="85"/>
      <c r="G81" s="85"/>
      <c r="H81" s="85"/>
      <c r="I81" s="91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2.75" customHeight="1" spans="1:26">
      <c r="A82" s="85"/>
      <c r="B82" s="85"/>
      <c r="C82" s="85"/>
      <c r="D82" s="85"/>
      <c r="E82" s="85"/>
      <c r="F82" s="85"/>
      <c r="G82" s="85"/>
      <c r="H82" s="85"/>
      <c r="I82" s="91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2.75" customHeight="1" spans="1:26">
      <c r="A83" s="85"/>
      <c r="B83" s="85"/>
      <c r="C83" s="85"/>
      <c r="D83" s="85"/>
      <c r="E83" s="85"/>
      <c r="F83" s="85"/>
      <c r="G83" s="85"/>
      <c r="H83" s="85"/>
      <c r="I83" s="91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2.75" customHeight="1" spans="1:26">
      <c r="A84" s="85"/>
      <c r="B84" s="85"/>
      <c r="C84" s="85"/>
      <c r="D84" s="85"/>
      <c r="E84" s="85"/>
      <c r="F84" s="85"/>
      <c r="G84" s="85"/>
      <c r="H84" s="85"/>
      <c r="I84" s="91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2.75" customHeight="1" spans="1:26">
      <c r="A85" s="85"/>
      <c r="B85" s="85"/>
      <c r="C85" s="85"/>
      <c r="D85" s="85"/>
      <c r="E85" s="85"/>
      <c r="F85" s="85"/>
      <c r="G85" s="85"/>
      <c r="H85" s="85"/>
      <c r="I85" s="91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2.75" customHeight="1" spans="1:26">
      <c r="A86" s="85"/>
      <c r="B86" s="85"/>
      <c r="C86" s="85"/>
      <c r="D86" s="85"/>
      <c r="E86" s="85"/>
      <c r="F86" s="85"/>
      <c r="G86" s="85"/>
      <c r="H86" s="85"/>
      <c r="I86" s="91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2.75" customHeight="1" spans="1:26">
      <c r="A87" s="85"/>
      <c r="B87" s="85"/>
      <c r="C87" s="85"/>
      <c r="D87" s="85"/>
      <c r="E87" s="85"/>
      <c r="F87" s="85"/>
      <c r="G87" s="85"/>
      <c r="H87" s="85"/>
      <c r="I87" s="91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2.75" customHeight="1" spans="1:26">
      <c r="A88" s="85"/>
      <c r="B88" s="85"/>
      <c r="C88" s="85"/>
      <c r="D88" s="85"/>
      <c r="E88" s="85"/>
      <c r="F88" s="85"/>
      <c r="G88" s="85"/>
      <c r="H88" s="85"/>
      <c r="I88" s="91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2.75" customHeight="1" spans="1:26">
      <c r="A89" s="85"/>
      <c r="B89" s="85"/>
      <c r="C89" s="85"/>
      <c r="D89" s="85"/>
      <c r="E89" s="85"/>
      <c r="F89" s="85"/>
      <c r="G89" s="85"/>
      <c r="H89" s="85"/>
      <c r="I89" s="91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2.75" customHeight="1" spans="1:26">
      <c r="A90" s="85"/>
      <c r="B90" s="85"/>
      <c r="C90" s="85"/>
      <c r="D90" s="85"/>
      <c r="E90" s="85"/>
      <c r="F90" s="85"/>
      <c r="G90" s="85"/>
      <c r="H90" s="85"/>
      <c r="I90" s="91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2.75" customHeight="1" spans="1:26">
      <c r="A91" s="85"/>
      <c r="B91" s="85"/>
      <c r="C91" s="85"/>
      <c r="D91" s="85"/>
      <c r="E91" s="85"/>
      <c r="F91" s="85"/>
      <c r="G91" s="85"/>
      <c r="H91" s="85"/>
      <c r="I91" s="91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2.75" customHeight="1" spans="1:26">
      <c r="A92" s="85"/>
      <c r="B92" s="85"/>
      <c r="C92" s="85"/>
      <c r="D92" s="85"/>
      <c r="E92" s="85"/>
      <c r="F92" s="85"/>
      <c r="G92" s="85"/>
      <c r="H92" s="85"/>
      <c r="I92" s="91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2.75" customHeight="1" spans="1:26">
      <c r="A93" s="85"/>
      <c r="B93" s="85"/>
      <c r="C93" s="85"/>
      <c r="D93" s="85"/>
      <c r="E93" s="85"/>
      <c r="F93" s="85"/>
      <c r="G93" s="85"/>
      <c r="H93" s="85"/>
      <c r="I93" s="91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2.75" customHeight="1" spans="1:26">
      <c r="A94" s="85"/>
      <c r="B94" s="85"/>
      <c r="C94" s="85"/>
      <c r="D94" s="85"/>
      <c r="E94" s="85"/>
      <c r="F94" s="85"/>
      <c r="G94" s="85"/>
      <c r="H94" s="85"/>
      <c r="I94" s="91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2.75" customHeight="1" spans="1:26">
      <c r="A95" s="85"/>
      <c r="B95" s="85"/>
      <c r="C95" s="85"/>
      <c r="D95" s="85"/>
      <c r="E95" s="85"/>
      <c r="F95" s="85"/>
      <c r="G95" s="85"/>
      <c r="H95" s="85"/>
      <c r="I95" s="91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2.75" customHeight="1" spans="1:26">
      <c r="A96" s="85"/>
      <c r="B96" s="85"/>
      <c r="C96" s="85"/>
      <c r="D96" s="85"/>
      <c r="E96" s="85"/>
      <c r="F96" s="85"/>
      <c r="G96" s="85"/>
      <c r="H96" s="85"/>
      <c r="I96" s="91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2.75" customHeight="1" spans="1:26">
      <c r="A97" s="85"/>
      <c r="B97" s="85"/>
      <c r="C97" s="85"/>
      <c r="D97" s="85"/>
      <c r="E97" s="85"/>
      <c r="F97" s="85"/>
      <c r="G97" s="85"/>
      <c r="H97" s="85"/>
      <c r="I97" s="91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2.75" customHeight="1" spans="1:26">
      <c r="A98" s="85"/>
      <c r="B98" s="85"/>
      <c r="C98" s="85"/>
      <c r="D98" s="85"/>
      <c r="E98" s="85"/>
      <c r="F98" s="85"/>
      <c r="G98" s="85"/>
      <c r="H98" s="85"/>
      <c r="I98" s="91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2.75" customHeight="1" spans="1:26">
      <c r="A99" s="85"/>
      <c r="B99" s="85"/>
      <c r="C99" s="85"/>
      <c r="D99" s="85"/>
      <c r="E99" s="85"/>
      <c r="F99" s="85"/>
      <c r="G99" s="85"/>
      <c r="H99" s="85"/>
      <c r="I99" s="91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2.75" customHeight="1" spans="1:26">
      <c r="A100" s="85"/>
      <c r="B100" s="85"/>
      <c r="C100" s="85"/>
      <c r="D100" s="85"/>
      <c r="E100" s="85"/>
      <c r="F100" s="85"/>
      <c r="G100" s="85"/>
      <c r="H100" s="85"/>
      <c r="I100" s="91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2.75" customHeight="1" spans="1:26">
      <c r="A101" s="85"/>
      <c r="B101" s="85"/>
      <c r="C101" s="85"/>
      <c r="D101" s="85"/>
      <c r="E101" s="85"/>
      <c r="F101" s="85"/>
      <c r="G101" s="85"/>
      <c r="H101" s="85"/>
      <c r="I101" s="91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2.75" customHeight="1" spans="1:26">
      <c r="A102" s="85"/>
      <c r="B102" s="85"/>
      <c r="C102" s="85"/>
      <c r="D102" s="85"/>
      <c r="E102" s="85"/>
      <c r="F102" s="85"/>
      <c r="G102" s="85"/>
      <c r="H102" s="85"/>
      <c r="I102" s="91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2.75" customHeight="1" spans="1:26">
      <c r="A103" s="85"/>
      <c r="B103" s="85"/>
      <c r="C103" s="85"/>
      <c r="D103" s="85"/>
      <c r="E103" s="85"/>
      <c r="F103" s="85"/>
      <c r="G103" s="85"/>
      <c r="H103" s="85"/>
      <c r="I103" s="91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2.75" customHeight="1" spans="1:26">
      <c r="A104" s="85"/>
      <c r="B104" s="85"/>
      <c r="C104" s="85"/>
      <c r="D104" s="85"/>
      <c r="E104" s="85"/>
      <c r="F104" s="85"/>
      <c r="G104" s="85"/>
      <c r="H104" s="85"/>
      <c r="I104" s="91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2.75" customHeight="1" spans="1:26">
      <c r="A105" s="85"/>
      <c r="B105" s="85"/>
      <c r="C105" s="85"/>
      <c r="D105" s="85"/>
      <c r="E105" s="85"/>
      <c r="F105" s="85"/>
      <c r="G105" s="85"/>
      <c r="H105" s="85"/>
      <c r="I105" s="91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2.75" customHeight="1" spans="1:26">
      <c r="A106" s="85"/>
      <c r="B106" s="85"/>
      <c r="C106" s="85"/>
      <c r="D106" s="85"/>
      <c r="E106" s="85"/>
      <c r="F106" s="85"/>
      <c r="G106" s="85"/>
      <c r="H106" s="85"/>
      <c r="I106" s="91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2.75" customHeight="1" spans="1:26">
      <c r="A107" s="85"/>
      <c r="B107" s="85"/>
      <c r="C107" s="85"/>
      <c r="D107" s="85"/>
      <c r="E107" s="85"/>
      <c r="F107" s="85"/>
      <c r="G107" s="85"/>
      <c r="H107" s="85"/>
      <c r="I107" s="91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2.75" customHeight="1" spans="1:26">
      <c r="A108" s="85"/>
      <c r="B108" s="85"/>
      <c r="C108" s="85"/>
      <c r="D108" s="85"/>
      <c r="E108" s="85"/>
      <c r="F108" s="85"/>
      <c r="G108" s="85"/>
      <c r="H108" s="85"/>
      <c r="I108" s="91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2.75" customHeight="1" spans="1:26">
      <c r="A109" s="85"/>
      <c r="B109" s="85"/>
      <c r="C109" s="85"/>
      <c r="D109" s="85"/>
      <c r="E109" s="85"/>
      <c r="F109" s="85"/>
      <c r="G109" s="85"/>
      <c r="H109" s="85"/>
      <c r="I109" s="91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2.75" customHeight="1" spans="1:26">
      <c r="A110" s="85"/>
      <c r="B110" s="85"/>
      <c r="C110" s="85"/>
      <c r="D110" s="85"/>
      <c r="E110" s="85"/>
      <c r="F110" s="85"/>
      <c r="G110" s="85"/>
      <c r="H110" s="85"/>
      <c r="I110" s="91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2.75" customHeight="1" spans="1:26">
      <c r="A111" s="85"/>
      <c r="B111" s="85"/>
      <c r="C111" s="85"/>
      <c r="D111" s="85"/>
      <c r="E111" s="85"/>
      <c r="F111" s="85"/>
      <c r="G111" s="85"/>
      <c r="H111" s="85"/>
      <c r="I111" s="91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2.75" customHeight="1" spans="1:26">
      <c r="A112" s="85"/>
      <c r="B112" s="85"/>
      <c r="C112" s="85"/>
      <c r="D112" s="85"/>
      <c r="E112" s="85"/>
      <c r="F112" s="85"/>
      <c r="G112" s="85"/>
      <c r="H112" s="85"/>
      <c r="I112" s="91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2.75" customHeight="1" spans="1:26">
      <c r="A113" s="85"/>
      <c r="B113" s="85"/>
      <c r="C113" s="85"/>
      <c r="D113" s="85"/>
      <c r="E113" s="85"/>
      <c r="F113" s="85"/>
      <c r="G113" s="85"/>
      <c r="H113" s="85"/>
      <c r="I113" s="91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2.75" customHeight="1" spans="1:26">
      <c r="A114" s="85"/>
      <c r="B114" s="85"/>
      <c r="C114" s="85"/>
      <c r="D114" s="85"/>
      <c r="E114" s="85"/>
      <c r="F114" s="85"/>
      <c r="G114" s="85"/>
      <c r="H114" s="85"/>
      <c r="I114" s="91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2.75" customHeight="1" spans="1:26">
      <c r="A115" s="85"/>
      <c r="B115" s="85"/>
      <c r="C115" s="85"/>
      <c r="D115" s="85"/>
      <c r="E115" s="85"/>
      <c r="F115" s="85"/>
      <c r="G115" s="85"/>
      <c r="H115" s="85"/>
      <c r="I115" s="91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2.75" customHeight="1" spans="1:26">
      <c r="A116" s="85"/>
      <c r="B116" s="85"/>
      <c r="C116" s="85"/>
      <c r="D116" s="85"/>
      <c r="E116" s="85"/>
      <c r="F116" s="85"/>
      <c r="G116" s="85"/>
      <c r="H116" s="85"/>
      <c r="I116" s="91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2.75" customHeight="1" spans="1:26">
      <c r="A117" s="85"/>
      <c r="B117" s="85"/>
      <c r="C117" s="85"/>
      <c r="D117" s="85"/>
      <c r="E117" s="85"/>
      <c r="F117" s="85"/>
      <c r="G117" s="85"/>
      <c r="H117" s="85"/>
      <c r="I117" s="91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2.75" customHeight="1" spans="1:26">
      <c r="A118" s="85"/>
      <c r="B118" s="85"/>
      <c r="C118" s="85"/>
      <c r="D118" s="85"/>
      <c r="E118" s="85"/>
      <c r="F118" s="85"/>
      <c r="G118" s="85"/>
      <c r="H118" s="85"/>
      <c r="I118" s="91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2.75" customHeight="1" spans="1:26">
      <c r="A119" s="85"/>
      <c r="B119" s="85"/>
      <c r="C119" s="85"/>
      <c r="D119" s="85"/>
      <c r="E119" s="85"/>
      <c r="F119" s="85"/>
      <c r="G119" s="85"/>
      <c r="H119" s="85"/>
      <c r="I119" s="91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2.75" customHeight="1" spans="1:26">
      <c r="A120" s="85"/>
      <c r="B120" s="85"/>
      <c r="C120" s="85"/>
      <c r="D120" s="85"/>
      <c r="E120" s="85"/>
      <c r="F120" s="85"/>
      <c r="G120" s="85"/>
      <c r="H120" s="85"/>
      <c r="I120" s="91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2.75" customHeight="1" spans="1:26">
      <c r="A121" s="85"/>
      <c r="B121" s="85"/>
      <c r="C121" s="85"/>
      <c r="D121" s="85"/>
      <c r="E121" s="85"/>
      <c r="F121" s="85"/>
      <c r="G121" s="85"/>
      <c r="H121" s="85"/>
      <c r="I121" s="91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2.75" customHeight="1" spans="1:26">
      <c r="A122" s="85"/>
      <c r="B122" s="85"/>
      <c r="C122" s="85"/>
      <c r="D122" s="85"/>
      <c r="E122" s="85"/>
      <c r="F122" s="85"/>
      <c r="G122" s="85"/>
      <c r="H122" s="85"/>
      <c r="I122" s="91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2.75" customHeight="1" spans="1:26">
      <c r="A123" s="85"/>
      <c r="B123" s="85"/>
      <c r="C123" s="85"/>
      <c r="D123" s="85"/>
      <c r="E123" s="85"/>
      <c r="F123" s="85"/>
      <c r="G123" s="85"/>
      <c r="H123" s="85"/>
      <c r="I123" s="91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2.75" customHeight="1" spans="1:26">
      <c r="A124" s="85"/>
      <c r="B124" s="85"/>
      <c r="C124" s="85"/>
      <c r="D124" s="85"/>
      <c r="E124" s="85"/>
      <c r="F124" s="85"/>
      <c r="G124" s="85"/>
      <c r="H124" s="85"/>
      <c r="I124" s="91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2.75" customHeight="1" spans="1:26">
      <c r="A125" s="85"/>
      <c r="B125" s="85"/>
      <c r="C125" s="85"/>
      <c r="D125" s="85"/>
      <c r="E125" s="85"/>
      <c r="F125" s="85"/>
      <c r="G125" s="85"/>
      <c r="H125" s="85"/>
      <c r="I125" s="91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2.75" customHeight="1" spans="1:26">
      <c r="A126" s="85"/>
      <c r="B126" s="85"/>
      <c r="C126" s="85"/>
      <c r="D126" s="85"/>
      <c r="E126" s="85"/>
      <c r="F126" s="85"/>
      <c r="G126" s="85"/>
      <c r="H126" s="85"/>
      <c r="I126" s="91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2.75" customHeight="1" spans="1:26">
      <c r="A127" s="85"/>
      <c r="B127" s="85"/>
      <c r="C127" s="85"/>
      <c r="D127" s="85"/>
      <c r="E127" s="85"/>
      <c r="F127" s="85"/>
      <c r="G127" s="85"/>
      <c r="H127" s="85"/>
      <c r="I127" s="91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2.75" customHeight="1" spans="1:26">
      <c r="A128" s="85"/>
      <c r="B128" s="85"/>
      <c r="C128" s="85"/>
      <c r="D128" s="85"/>
      <c r="E128" s="85"/>
      <c r="F128" s="85"/>
      <c r="G128" s="85"/>
      <c r="H128" s="85"/>
      <c r="I128" s="91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2.75" customHeight="1" spans="1:26">
      <c r="A129" s="85"/>
      <c r="B129" s="85"/>
      <c r="C129" s="85"/>
      <c r="D129" s="85"/>
      <c r="E129" s="85"/>
      <c r="F129" s="85"/>
      <c r="G129" s="85"/>
      <c r="H129" s="85"/>
      <c r="I129" s="91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2.75" customHeight="1" spans="1:26">
      <c r="A130" s="85"/>
      <c r="B130" s="85"/>
      <c r="C130" s="85"/>
      <c r="D130" s="85"/>
      <c r="E130" s="85"/>
      <c r="F130" s="85"/>
      <c r="G130" s="85"/>
      <c r="H130" s="85"/>
      <c r="I130" s="91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2.75" customHeight="1" spans="1:26">
      <c r="A131" s="85"/>
      <c r="B131" s="85"/>
      <c r="C131" s="85"/>
      <c r="D131" s="85"/>
      <c r="E131" s="85"/>
      <c r="F131" s="85"/>
      <c r="G131" s="85"/>
      <c r="H131" s="85"/>
      <c r="I131" s="91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2.75" customHeight="1" spans="1:26">
      <c r="A132" s="85"/>
      <c r="B132" s="85"/>
      <c r="C132" s="85"/>
      <c r="D132" s="85"/>
      <c r="E132" s="85"/>
      <c r="F132" s="85"/>
      <c r="G132" s="85"/>
      <c r="H132" s="85"/>
      <c r="I132" s="91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2.75" customHeight="1" spans="1:26">
      <c r="A133" s="85"/>
      <c r="B133" s="85"/>
      <c r="C133" s="85"/>
      <c r="D133" s="85"/>
      <c r="E133" s="85"/>
      <c r="F133" s="85"/>
      <c r="G133" s="85"/>
      <c r="H133" s="85"/>
      <c r="I133" s="91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2.75" customHeight="1" spans="1:26">
      <c r="A134" s="85"/>
      <c r="B134" s="85"/>
      <c r="C134" s="85"/>
      <c r="D134" s="85"/>
      <c r="E134" s="85"/>
      <c r="F134" s="85"/>
      <c r="G134" s="85"/>
      <c r="H134" s="85"/>
      <c r="I134" s="91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2.75" customHeight="1" spans="1:26">
      <c r="A135" s="85"/>
      <c r="B135" s="85"/>
      <c r="C135" s="85"/>
      <c r="D135" s="85"/>
      <c r="E135" s="85"/>
      <c r="F135" s="85"/>
      <c r="G135" s="85"/>
      <c r="H135" s="85"/>
      <c r="I135" s="91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2.75" customHeight="1" spans="1:26">
      <c r="A136" s="85"/>
      <c r="B136" s="85"/>
      <c r="C136" s="85"/>
      <c r="D136" s="85"/>
      <c r="E136" s="85"/>
      <c r="F136" s="85"/>
      <c r="G136" s="85"/>
      <c r="H136" s="85"/>
      <c r="I136" s="91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2.75" customHeight="1" spans="1:26">
      <c r="A137" s="85"/>
      <c r="B137" s="85"/>
      <c r="C137" s="85"/>
      <c r="D137" s="85"/>
      <c r="E137" s="85"/>
      <c r="F137" s="85"/>
      <c r="G137" s="85"/>
      <c r="H137" s="85"/>
      <c r="I137" s="91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2.75" customHeight="1" spans="1:26">
      <c r="A138" s="85"/>
      <c r="B138" s="85"/>
      <c r="C138" s="85"/>
      <c r="D138" s="85"/>
      <c r="E138" s="85"/>
      <c r="F138" s="85"/>
      <c r="G138" s="85"/>
      <c r="H138" s="85"/>
      <c r="I138" s="91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2.75" customHeight="1" spans="1:26">
      <c r="A139" s="85"/>
      <c r="B139" s="85"/>
      <c r="C139" s="85"/>
      <c r="D139" s="85"/>
      <c r="E139" s="85"/>
      <c r="F139" s="85"/>
      <c r="G139" s="85"/>
      <c r="H139" s="85"/>
      <c r="I139" s="91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2.75" customHeight="1" spans="1:26">
      <c r="A140" s="85"/>
      <c r="B140" s="85"/>
      <c r="C140" s="85"/>
      <c r="D140" s="85"/>
      <c r="E140" s="85"/>
      <c r="F140" s="85"/>
      <c r="G140" s="85"/>
      <c r="H140" s="85"/>
      <c r="I140" s="91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2.75" customHeight="1" spans="1:26">
      <c r="A141" s="85"/>
      <c r="B141" s="85"/>
      <c r="C141" s="85"/>
      <c r="D141" s="85"/>
      <c r="E141" s="85"/>
      <c r="F141" s="85"/>
      <c r="G141" s="85"/>
      <c r="H141" s="85"/>
      <c r="I141" s="91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2.75" customHeight="1" spans="1:26">
      <c r="A142" s="85"/>
      <c r="B142" s="85"/>
      <c r="C142" s="85"/>
      <c r="D142" s="85"/>
      <c r="E142" s="85"/>
      <c r="F142" s="85"/>
      <c r="G142" s="85"/>
      <c r="H142" s="85"/>
      <c r="I142" s="91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2.75" customHeight="1" spans="1:26">
      <c r="A143" s="85"/>
      <c r="B143" s="85"/>
      <c r="C143" s="85"/>
      <c r="D143" s="85"/>
      <c r="E143" s="85"/>
      <c r="F143" s="85"/>
      <c r="G143" s="85"/>
      <c r="H143" s="85"/>
      <c r="I143" s="91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2.75" customHeight="1" spans="1:26">
      <c r="A144" s="85"/>
      <c r="B144" s="85"/>
      <c r="C144" s="85"/>
      <c r="D144" s="85"/>
      <c r="E144" s="85"/>
      <c r="F144" s="85"/>
      <c r="G144" s="85"/>
      <c r="H144" s="85"/>
      <c r="I144" s="91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2.75" customHeight="1" spans="1:26">
      <c r="A145" s="85"/>
      <c r="B145" s="85"/>
      <c r="C145" s="85"/>
      <c r="D145" s="85"/>
      <c r="E145" s="85"/>
      <c r="F145" s="85"/>
      <c r="G145" s="85"/>
      <c r="H145" s="85"/>
      <c r="I145" s="91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2.75" customHeight="1" spans="1:26">
      <c r="A146" s="85"/>
      <c r="B146" s="85"/>
      <c r="C146" s="85"/>
      <c r="D146" s="85"/>
      <c r="E146" s="85"/>
      <c r="F146" s="85"/>
      <c r="G146" s="85"/>
      <c r="H146" s="85"/>
      <c r="I146" s="91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2.75" customHeight="1" spans="1:26">
      <c r="A147" s="85"/>
      <c r="B147" s="85"/>
      <c r="C147" s="85"/>
      <c r="D147" s="85"/>
      <c r="E147" s="85"/>
      <c r="F147" s="85"/>
      <c r="G147" s="85"/>
      <c r="H147" s="85"/>
      <c r="I147" s="91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2.75" customHeight="1" spans="1:26">
      <c r="A148" s="85"/>
      <c r="B148" s="85"/>
      <c r="C148" s="85"/>
      <c r="D148" s="85"/>
      <c r="E148" s="85"/>
      <c r="F148" s="85"/>
      <c r="G148" s="85"/>
      <c r="H148" s="85"/>
      <c r="I148" s="91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2.75" customHeight="1" spans="1:26">
      <c r="A149" s="85"/>
      <c r="B149" s="85"/>
      <c r="C149" s="85"/>
      <c r="D149" s="85"/>
      <c r="E149" s="85"/>
      <c r="F149" s="85"/>
      <c r="G149" s="85"/>
      <c r="H149" s="85"/>
      <c r="I149" s="91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2.75" customHeight="1" spans="1:26">
      <c r="A150" s="85"/>
      <c r="B150" s="85"/>
      <c r="C150" s="85"/>
      <c r="D150" s="85"/>
      <c r="E150" s="85"/>
      <c r="F150" s="85"/>
      <c r="G150" s="85"/>
      <c r="H150" s="85"/>
      <c r="I150" s="91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2.75" customHeight="1" spans="1:26">
      <c r="A151" s="85"/>
      <c r="B151" s="85"/>
      <c r="C151" s="85"/>
      <c r="D151" s="85"/>
      <c r="E151" s="85"/>
      <c r="F151" s="85"/>
      <c r="G151" s="85"/>
      <c r="H151" s="85"/>
      <c r="I151" s="91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2.75" customHeight="1" spans="1:26">
      <c r="A152" s="85"/>
      <c r="B152" s="85"/>
      <c r="C152" s="85"/>
      <c r="D152" s="85"/>
      <c r="E152" s="85"/>
      <c r="F152" s="85"/>
      <c r="G152" s="85"/>
      <c r="H152" s="85"/>
      <c r="I152" s="91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2.75" customHeight="1" spans="1:26">
      <c r="A153" s="85"/>
      <c r="B153" s="85"/>
      <c r="C153" s="85"/>
      <c r="D153" s="85"/>
      <c r="E153" s="85"/>
      <c r="F153" s="85"/>
      <c r="G153" s="85"/>
      <c r="H153" s="85"/>
      <c r="I153" s="91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2.75" customHeight="1" spans="1:26">
      <c r="A154" s="85"/>
      <c r="B154" s="85"/>
      <c r="C154" s="85"/>
      <c r="D154" s="85"/>
      <c r="E154" s="85"/>
      <c r="F154" s="85"/>
      <c r="G154" s="85"/>
      <c r="H154" s="85"/>
      <c r="I154" s="91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2.75" customHeight="1" spans="1:26">
      <c r="A155" s="85"/>
      <c r="B155" s="85"/>
      <c r="C155" s="85"/>
      <c r="D155" s="85"/>
      <c r="E155" s="85"/>
      <c r="F155" s="85"/>
      <c r="G155" s="85"/>
      <c r="H155" s="85"/>
      <c r="I155" s="91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2.75" customHeight="1" spans="1:26">
      <c r="A156" s="85"/>
      <c r="B156" s="85"/>
      <c r="C156" s="85"/>
      <c r="D156" s="85"/>
      <c r="E156" s="85"/>
      <c r="F156" s="85"/>
      <c r="G156" s="85"/>
      <c r="H156" s="85"/>
      <c r="I156" s="91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2.75" customHeight="1" spans="1:26">
      <c r="A157" s="85"/>
      <c r="B157" s="85"/>
      <c r="C157" s="85"/>
      <c r="D157" s="85"/>
      <c r="E157" s="85"/>
      <c r="F157" s="85"/>
      <c r="G157" s="85"/>
      <c r="H157" s="85"/>
      <c r="I157" s="91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2.75" customHeight="1" spans="1:26">
      <c r="A158" s="85"/>
      <c r="B158" s="85"/>
      <c r="C158" s="85"/>
      <c r="D158" s="85"/>
      <c r="E158" s="85"/>
      <c r="F158" s="85"/>
      <c r="G158" s="85"/>
      <c r="H158" s="85"/>
      <c r="I158" s="91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2.75" customHeight="1" spans="1:26">
      <c r="A159" s="85"/>
      <c r="B159" s="85"/>
      <c r="C159" s="85"/>
      <c r="D159" s="85"/>
      <c r="E159" s="85"/>
      <c r="F159" s="85"/>
      <c r="G159" s="85"/>
      <c r="H159" s="85"/>
      <c r="I159" s="91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2.75" customHeight="1" spans="1:26">
      <c r="A160" s="85"/>
      <c r="B160" s="85"/>
      <c r="C160" s="85"/>
      <c r="D160" s="85"/>
      <c r="E160" s="85"/>
      <c r="F160" s="85"/>
      <c r="G160" s="85"/>
      <c r="H160" s="85"/>
      <c r="I160" s="91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2.75" customHeight="1" spans="1:26">
      <c r="A161" s="85"/>
      <c r="B161" s="85"/>
      <c r="C161" s="85"/>
      <c r="D161" s="85"/>
      <c r="E161" s="85"/>
      <c r="F161" s="85"/>
      <c r="G161" s="85"/>
      <c r="H161" s="85"/>
      <c r="I161" s="91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2.75" customHeight="1" spans="1:26">
      <c r="A162" s="85"/>
      <c r="B162" s="85"/>
      <c r="C162" s="85"/>
      <c r="D162" s="85"/>
      <c r="E162" s="85"/>
      <c r="F162" s="85"/>
      <c r="G162" s="85"/>
      <c r="H162" s="85"/>
      <c r="I162" s="91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2.75" customHeight="1" spans="1:26">
      <c r="A163" s="85"/>
      <c r="B163" s="85"/>
      <c r="C163" s="85"/>
      <c r="D163" s="85"/>
      <c r="E163" s="85"/>
      <c r="F163" s="85"/>
      <c r="G163" s="85"/>
      <c r="H163" s="85"/>
      <c r="I163" s="91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2.75" customHeight="1" spans="1:26">
      <c r="A164" s="85"/>
      <c r="B164" s="85"/>
      <c r="C164" s="85"/>
      <c r="D164" s="85"/>
      <c r="E164" s="85"/>
      <c r="F164" s="85"/>
      <c r="G164" s="85"/>
      <c r="H164" s="85"/>
      <c r="I164" s="91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2.75" customHeight="1" spans="1:26">
      <c r="A165" s="85"/>
      <c r="B165" s="85"/>
      <c r="C165" s="85"/>
      <c r="D165" s="85"/>
      <c r="E165" s="85"/>
      <c r="F165" s="85"/>
      <c r="G165" s="85"/>
      <c r="H165" s="85"/>
      <c r="I165" s="91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2.75" customHeight="1" spans="1:26">
      <c r="A166" s="85"/>
      <c r="B166" s="85"/>
      <c r="C166" s="85"/>
      <c r="D166" s="85"/>
      <c r="E166" s="85"/>
      <c r="F166" s="85"/>
      <c r="G166" s="85"/>
      <c r="H166" s="85"/>
      <c r="I166" s="91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2.75" customHeight="1" spans="1:26">
      <c r="A167" s="85"/>
      <c r="B167" s="85"/>
      <c r="C167" s="85"/>
      <c r="D167" s="85"/>
      <c r="E167" s="85"/>
      <c r="F167" s="85"/>
      <c r="G167" s="85"/>
      <c r="H167" s="85"/>
      <c r="I167" s="91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2.75" customHeight="1" spans="1:26">
      <c r="A168" s="85"/>
      <c r="B168" s="85"/>
      <c r="C168" s="85"/>
      <c r="D168" s="85"/>
      <c r="E168" s="85"/>
      <c r="F168" s="85"/>
      <c r="G168" s="85"/>
      <c r="H168" s="85"/>
      <c r="I168" s="91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2.75" customHeight="1" spans="1:26">
      <c r="A169" s="85"/>
      <c r="B169" s="85"/>
      <c r="C169" s="85"/>
      <c r="D169" s="85"/>
      <c r="E169" s="85"/>
      <c r="F169" s="85"/>
      <c r="G169" s="85"/>
      <c r="H169" s="85"/>
      <c r="I169" s="91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2.75" customHeight="1" spans="1:26">
      <c r="A170" s="85"/>
      <c r="B170" s="85"/>
      <c r="C170" s="85"/>
      <c r="D170" s="85"/>
      <c r="E170" s="85"/>
      <c r="F170" s="85"/>
      <c r="G170" s="85"/>
      <c r="H170" s="85"/>
      <c r="I170" s="91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2.75" customHeight="1" spans="1:26">
      <c r="A171" s="85"/>
      <c r="B171" s="85"/>
      <c r="C171" s="85"/>
      <c r="D171" s="85"/>
      <c r="E171" s="85"/>
      <c r="F171" s="85"/>
      <c r="G171" s="85"/>
      <c r="H171" s="85"/>
      <c r="I171" s="91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2.75" customHeight="1" spans="1:26">
      <c r="A172" s="85"/>
      <c r="B172" s="85"/>
      <c r="C172" s="85"/>
      <c r="D172" s="85"/>
      <c r="E172" s="85"/>
      <c r="F172" s="85"/>
      <c r="G172" s="85"/>
      <c r="H172" s="85"/>
      <c r="I172" s="91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2.75" customHeight="1" spans="1:26">
      <c r="A173" s="85"/>
      <c r="B173" s="85"/>
      <c r="C173" s="85"/>
      <c r="D173" s="85"/>
      <c r="E173" s="85"/>
      <c r="F173" s="85"/>
      <c r="G173" s="85"/>
      <c r="H173" s="85"/>
      <c r="I173" s="91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2.75" customHeight="1" spans="1:26">
      <c r="A174" s="85"/>
      <c r="B174" s="85"/>
      <c r="C174" s="85"/>
      <c r="D174" s="85"/>
      <c r="E174" s="85"/>
      <c r="F174" s="85"/>
      <c r="G174" s="85"/>
      <c r="H174" s="85"/>
      <c r="I174" s="91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2.75" customHeight="1" spans="1:26">
      <c r="A175" s="85"/>
      <c r="B175" s="85"/>
      <c r="C175" s="85"/>
      <c r="D175" s="85"/>
      <c r="E175" s="85"/>
      <c r="F175" s="85"/>
      <c r="G175" s="85"/>
      <c r="H175" s="85"/>
      <c r="I175" s="91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2.75" customHeight="1" spans="1:26">
      <c r="A176" s="85"/>
      <c r="B176" s="85"/>
      <c r="C176" s="85"/>
      <c r="D176" s="85"/>
      <c r="E176" s="85"/>
      <c r="F176" s="85"/>
      <c r="G176" s="85"/>
      <c r="H176" s="85"/>
      <c r="I176" s="91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2.75" customHeight="1" spans="1:26">
      <c r="A177" s="85"/>
      <c r="B177" s="85"/>
      <c r="C177" s="85"/>
      <c r="D177" s="85"/>
      <c r="E177" s="85"/>
      <c r="F177" s="85"/>
      <c r="G177" s="85"/>
      <c r="H177" s="85"/>
      <c r="I177" s="91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2.75" customHeight="1" spans="1:26">
      <c r="A178" s="85"/>
      <c r="B178" s="85"/>
      <c r="C178" s="85"/>
      <c r="D178" s="85"/>
      <c r="E178" s="85"/>
      <c r="F178" s="85"/>
      <c r="G178" s="85"/>
      <c r="H178" s="85"/>
      <c r="I178" s="91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2.75" customHeight="1" spans="1:26">
      <c r="A179" s="85"/>
      <c r="B179" s="85"/>
      <c r="C179" s="85"/>
      <c r="D179" s="85"/>
      <c r="E179" s="85"/>
      <c r="F179" s="85"/>
      <c r="G179" s="85"/>
      <c r="H179" s="85"/>
      <c r="I179" s="91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2.75" customHeight="1" spans="1:26">
      <c r="A180" s="85"/>
      <c r="B180" s="85"/>
      <c r="C180" s="85"/>
      <c r="D180" s="85"/>
      <c r="E180" s="85"/>
      <c r="F180" s="85"/>
      <c r="G180" s="85"/>
      <c r="H180" s="85"/>
      <c r="I180" s="91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2.75" customHeight="1" spans="1:26">
      <c r="A181" s="85"/>
      <c r="B181" s="85"/>
      <c r="C181" s="85"/>
      <c r="D181" s="85"/>
      <c r="E181" s="85"/>
      <c r="F181" s="85"/>
      <c r="G181" s="85"/>
      <c r="H181" s="85"/>
      <c r="I181" s="91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2.75" customHeight="1" spans="1:26">
      <c r="A182" s="85"/>
      <c r="B182" s="85"/>
      <c r="C182" s="85"/>
      <c r="D182" s="85"/>
      <c r="E182" s="85"/>
      <c r="F182" s="85"/>
      <c r="G182" s="85"/>
      <c r="H182" s="85"/>
      <c r="I182" s="91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2.75" customHeight="1" spans="1:26">
      <c r="A183" s="85"/>
      <c r="B183" s="85"/>
      <c r="C183" s="85"/>
      <c r="D183" s="85"/>
      <c r="E183" s="85"/>
      <c r="F183" s="85"/>
      <c r="G183" s="85"/>
      <c r="H183" s="85"/>
      <c r="I183" s="91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2.75" customHeight="1" spans="1:26">
      <c r="A184" s="85"/>
      <c r="B184" s="85"/>
      <c r="C184" s="85"/>
      <c r="D184" s="85"/>
      <c r="E184" s="85"/>
      <c r="F184" s="85"/>
      <c r="G184" s="85"/>
      <c r="H184" s="85"/>
      <c r="I184" s="91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2.75" customHeight="1" spans="1:26">
      <c r="A185" s="85"/>
      <c r="B185" s="85"/>
      <c r="C185" s="85"/>
      <c r="D185" s="85"/>
      <c r="E185" s="85"/>
      <c r="F185" s="85"/>
      <c r="G185" s="85"/>
      <c r="H185" s="85"/>
      <c r="I185" s="91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2.75" customHeight="1" spans="1:26">
      <c r="A186" s="85"/>
      <c r="B186" s="85"/>
      <c r="C186" s="85"/>
      <c r="D186" s="85"/>
      <c r="E186" s="85"/>
      <c r="F186" s="85"/>
      <c r="G186" s="85"/>
      <c r="H186" s="85"/>
      <c r="I186" s="91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2.75" customHeight="1" spans="1:26">
      <c r="A187" s="85"/>
      <c r="B187" s="85"/>
      <c r="C187" s="85"/>
      <c r="D187" s="85"/>
      <c r="E187" s="85"/>
      <c r="F187" s="85"/>
      <c r="G187" s="85"/>
      <c r="H187" s="85"/>
      <c r="I187" s="91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2.75" customHeight="1" spans="1:26">
      <c r="A188" s="85"/>
      <c r="B188" s="85"/>
      <c r="C188" s="85"/>
      <c r="D188" s="85"/>
      <c r="E188" s="85"/>
      <c r="F188" s="85"/>
      <c r="G188" s="85"/>
      <c r="H188" s="85"/>
      <c r="I188" s="91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2.75" customHeight="1" spans="1:26">
      <c r="A189" s="85"/>
      <c r="B189" s="85"/>
      <c r="C189" s="85"/>
      <c r="D189" s="85"/>
      <c r="E189" s="85"/>
      <c r="F189" s="85"/>
      <c r="G189" s="85"/>
      <c r="H189" s="85"/>
      <c r="I189" s="91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2.75" customHeight="1" spans="1:26">
      <c r="A190" s="85"/>
      <c r="B190" s="85"/>
      <c r="C190" s="85"/>
      <c r="D190" s="85"/>
      <c r="E190" s="85"/>
      <c r="F190" s="85"/>
      <c r="G190" s="85"/>
      <c r="H190" s="85"/>
      <c r="I190" s="91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2.75" customHeight="1" spans="1:26">
      <c r="A191" s="85"/>
      <c r="B191" s="85"/>
      <c r="C191" s="85"/>
      <c r="D191" s="85"/>
      <c r="E191" s="85"/>
      <c r="F191" s="85"/>
      <c r="G191" s="85"/>
      <c r="H191" s="85"/>
      <c r="I191" s="91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2.75" customHeight="1" spans="1:26">
      <c r="A192" s="85"/>
      <c r="B192" s="85"/>
      <c r="C192" s="85"/>
      <c r="D192" s="85"/>
      <c r="E192" s="85"/>
      <c r="F192" s="85"/>
      <c r="G192" s="85"/>
      <c r="H192" s="85"/>
      <c r="I192" s="91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2.75" customHeight="1" spans="1:26">
      <c r="A193" s="85"/>
      <c r="B193" s="85"/>
      <c r="C193" s="85"/>
      <c r="D193" s="85"/>
      <c r="E193" s="85"/>
      <c r="F193" s="85"/>
      <c r="G193" s="85"/>
      <c r="H193" s="85"/>
      <c r="I193" s="91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2.75" customHeight="1" spans="1:26">
      <c r="A194" s="85"/>
      <c r="B194" s="85"/>
      <c r="C194" s="85"/>
      <c r="D194" s="85"/>
      <c r="E194" s="85"/>
      <c r="F194" s="85"/>
      <c r="G194" s="85"/>
      <c r="H194" s="85"/>
      <c r="I194" s="91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2.75" customHeight="1" spans="1:26">
      <c r="A195" s="85"/>
      <c r="B195" s="85"/>
      <c r="C195" s="85"/>
      <c r="D195" s="85"/>
      <c r="E195" s="85"/>
      <c r="F195" s="85"/>
      <c r="G195" s="85"/>
      <c r="H195" s="85"/>
      <c r="I195" s="91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2.75" customHeight="1" spans="1:26">
      <c r="A196" s="85"/>
      <c r="B196" s="85"/>
      <c r="C196" s="85"/>
      <c r="D196" s="85"/>
      <c r="E196" s="85"/>
      <c r="F196" s="85"/>
      <c r="G196" s="85"/>
      <c r="H196" s="85"/>
      <c r="I196" s="91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2.75" customHeight="1" spans="1:26">
      <c r="A197" s="85"/>
      <c r="B197" s="85"/>
      <c r="C197" s="85"/>
      <c r="D197" s="85"/>
      <c r="E197" s="85"/>
      <c r="F197" s="85"/>
      <c r="G197" s="85"/>
      <c r="H197" s="85"/>
      <c r="I197" s="91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2.75" customHeight="1" spans="1:26">
      <c r="A198" s="85"/>
      <c r="B198" s="85"/>
      <c r="C198" s="85"/>
      <c r="D198" s="85"/>
      <c r="E198" s="85"/>
      <c r="F198" s="85"/>
      <c r="G198" s="85"/>
      <c r="H198" s="85"/>
      <c r="I198" s="91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2.75" customHeight="1" spans="1:26">
      <c r="A199" s="85"/>
      <c r="B199" s="85"/>
      <c r="C199" s="85"/>
      <c r="D199" s="85"/>
      <c r="E199" s="85"/>
      <c r="F199" s="85"/>
      <c r="G199" s="85"/>
      <c r="H199" s="85"/>
      <c r="I199" s="91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2.75" customHeight="1" spans="1:26">
      <c r="A200" s="85"/>
      <c r="B200" s="85"/>
      <c r="C200" s="85"/>
      <c r="D200" s="85"/>
      <c r="E200" s="85"/>
      <c r="F200" s="85"/>
      <c r="G200" s="85"/>
      <c r="H200" s="85"/>
      <c r="I200" s="91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2.75" customHeight="1" spans="1:26">
      <c r="A201" s="85"/>
      <c r="B201" s="85"/>
      <c r="C201" s="85"/>
      <c r="D201" s="85"/>
      <c r="E201" s="85"/>
      <c r="F201" s="85"/>
      <c r="G201" s="85"/>
      <c r="H201" s="85"/>
      <c r="I201" s="91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2.75" customHeight="1" spans="1:26">
      <c r="A202" s="85"/>
      <c r="B202" s="85"/>
      <c r="C202" s="85"/>
      <c r="D202" s="85"/>
      <c r="E202" s="85"/>
      <c r="F202" s="85"/>
      <c r="G202" s="85"/>
      <c r="H202" s="85"/>
      <c r="I202" s="91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2.75" customHeight="1" spans="1:26">
      <c r="A203" s="85"/>
      <c r="B203" s="85"/>
      <c r="C203" s="85"/>
      <c r="D203" s="85"/>
      <c r="E203" s="85"/>
      <c r="F203" s="85"/>
      <c r="G203" s="85"/>
      <c r="H203" s="85"/>
      <c r="I203" s="91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2.75" customHeight="1" spans="1:26">
      <c r="A204" s="85"/>
      <c r="B204" s="85"/>
      <c r="C204" s="85"/>
      <c r="D204" s="85"/>
      <c r="E204" s="85"/>
      <c r="F204" s="85"/>
      <c r="G204" s="85"/>
      <c r="H204" s="85"/>
      <c r="I204" s="91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2.75" customHeight="1" spans="1:26">
      <c r="A205" s="85"/>
      <c r="B205" s="85"/>
      <c r="C205" s="85"/>
      <c r="D205" s="85"/>
      <c r="E205" s="85"/>
      <c r="F205" s="85"/>
      <c r="G205" s="85"/>
      <c r="H205" s="85"/>
      <c r="I205" s="91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2.75" customHeight="1" spans="1:26">
      <c r="A206" s="85"/>
      <c r="B206" s="85"/>
      <c r="C206" s="85"/>
      <c r="D206" s="85"/>
      <c r="E206" s="85"/>
      <c r="F206" s="85"/>
      <c r="G206" s="85"/>
      <c r="H206" s="85"/>
      <c r="I206" s="91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2.75" customHeight="1" spans="1:26">
      <c r="A207" s="85"/>
      <c r="B207" s="85"/>
      <c r="C207" s="85"/>
      <c r="D207" s="85"/>
      <c r="E207" s="85"/>
      <c r="F207" s="85"/>
      <c r="G207" s="85"/>
      <c r="H207" s="85"/>
      <c r="I207" s="91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2.75" customHeight="1" spans="1:26">
      <c r="A208" s="85"/>
      <c r="B208" s="85"/>
      <c r="C208" s="85"/>
      <c r="D208" s="85"/>
      <c r="E208" s="85"/>
      <c r="F208" s="85"/>
      <c r="G208" s="85"/>
      <c r="H208" s="85"/>
      <c r="I208" s="91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2.75" customHeight="1" spans="1:26">
      <c r="A209" s="85"/>
      <c r="B209" s="85"/>
      <c r="C209" s="85"/>
      <c r="D209" s="85"/>
      <c r="E209" s="85"/>
      <c r="F209" s="85"/>
      <c r="G209" s="85"/>
      <c r="H209" s="85"/>
      <c r="I209" s="91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2.75" customHeight="1" spans="1:26">
      <c r="A210" s="85"/>
      <c r="B210" s="85"/>
      <c r="C210" s="85"/>
      <c r="D210" s="85"/>
      <c r="E210" s="85"/>
      <c r="F210" s="85"/>
      <c r="G210" s="85"/>
      <c r="H210" s="85"/>
      <c r="I210" s="91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2.75" customHeight="1" spans="1:26">
      <c r="A211" s="85"/>
      <c r="B211" s="85"/>
      <c r="C211" s="85"/>
      <c r="D211" s="85"/>
      <c r="E211" s="85"/>
      <c r="F211" s="85"/>
      <c r="G211" s="85"/>
      <c r="H211" s="85"/>
      <c r="I211" s="91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2.75" customHeight="1" spans="1:26">
      <c r="A212" s="85"/>
      <c r="B212" s="85"/>
      <c r="C212" s="85"/>
      <c r="D212" s="85"/>
      <c r="E212" s="85"/>
      <c r="F212" s="85"/>
      <c r="G212" s="85"/>
      <c r="H212" s="85"/>
      <c r="I212" s="91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2.75" customHeight="1" spans="1:26">
      <c r="A213" s="85"/>
      <c r="B213" s="85"/>
      <c r="C213" s="85"/>
      <c r="D213" s="85"/>
      <c r="E213" s="85"/>
      <c r="F213" s="85"/>
      <c r="G213" s="85"/>
      <c r="H213" s="85"/>
      <c r="I213" s="91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2.75" customHeight="1" spans="1:26">
      <c r="A214" s="85"/>
      <c r="B214" s="85"/>
      <c r="C214" s="85"/>
      <c r="D214" s="85"/>
      <c r="E214" s="85"/>
      <c r="F214" s="85"/>
      <c r="G214" s="85"/>
      <c r="H214" s="85"/>
      <c r="I214" s="91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2.75" customHeight="1" spans="1:26">
      <c r="A215" s="85"/>
      <c r="B215" s="85"/>
      <c r="C215" s="85"/>
      <c r="D215" s="85"/>
      <c r="E215" s="85"/>
      <c r="F215" s="85"/>
      <c r="G215" s="85"/>
      <c r="H215" s="85"/>
      <c r="I215" s="91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2.75" customHeight="1" spans="1:26">
      <c r="A216" s="85"/>
      <c r="B216" s="85"/>
      <c r="C216" s="85"/>
      <c r="D216" s="85"/>
      <c r="E216" s="85"/>
      <c r="F216" s="85"/>
      <c r="G216" s="85"/>
      <c r="H216" s="85"/>
      <c r="I216" s="91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2.75" customHeight="1" spans="1:26">
      <c r="A217" s="85"/>
      <c r="B217" s="85"/>
      <c r="C217" s="85"/>
      <c r="D217" s="85"/>
      <c r="E217" s="85"/>
      <c r="F217" s="85"/>
      <c r="G217" s="85"/>
      <c r="H217" s="85"/>
      <c r="I217" s="91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2.75" customHeight="1" spans="1:26">
      <c r="A218" s="85"/>
      <c r="B218" s="85"/>
      <c r="C218" s="85"/>
      <c r="D218" s="85"/>
      <c r="E218" s="85"/>
      <c r="F218" s="85"/>
      <c r="G218" s="85"/>
      <c r="H218" s="85"/>
      <c r="I218" s="91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2.75" customHeight="1" spans="1:26">
      <c r="A219" s="85"/>
      <c r="B219" s="85"/>
      <c r="C219" s="85"/>
      <c r="D219" s="85"/>
      <c r="E219" s="85"/>
      <c r="F219" s="85"/>
      <c r="G219" s="85"/>
      <c r="H219" s="85"/>
      <c r="I219" s="91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2.75" customHeight="1" spans="1:26">
      <c r="A220" s="85"/>
      <c r="B220" s="85"/>
      <c r="C220" s="85"/>
      <c r="D220" s="85"/>
      <c r="E220" s="85"/>
      <c r="F220" s="85"/>
      <c r="G220" s="85"/>
      <c r="H220" s="85"/>
      <c r="I220" s="91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2.75" customHeight="1" spans="1:26">
      <c r="A221" s="85"/>
      <c r="B221" s="85"/>
      <c r="C221" s="85"/>
      <c r="D221" s="85"/>
      <c r="E221" s="85"/>
      <c r="F221" s="85"/>
      <c r="G221" s="85"/>
      <c r="H221" s="85"/>
      <c r="I221" s="91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2.75" customHeight="1" spans="1:26">
      <c r="A222" s="85"/>
      <c r="B222" s="85"/>
      <c r="C222" s="85"/>
      <c r="D222" s="85"/>
      <c r="E222" s="85"/>
      <c r="F222" s="85"/>
      <c r="G222" s="85"/>
      <c r="H222" s="85"/>
      <c r="I222" s="91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2.75" customHeight="1" spans="1:26">
      <c r="A223" s="85"/>
      <c r="B223" s="85"/>
      <c r="C223" s="85"/>
      <c r="D223" s="85"/>
      <c r="E223" s="85"/>
      <c r="F223" s="85"/>
      <c r="G223" s="85"/>
      <c r="H223" s="85"/>
      <c r="I223" s="91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2.75" customHeight="1" spans="1:26">
      <c r="A224" s="85"/>
      <c r="B224" s="85"/>
      <c r="C224" s="85"/>
      <c r="D224" s="85"/>
      <c r="E224" s="85"/>
      <c r="F224" s="85"/>
      <c r="G224" s="85"/>
      <c r="H224" s="85"/>
      <c r="I224" s="91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2.75" customHeight="1" spans="1:26">
      <c r="A225" s="85"/>
      <c r="B225" s="85"/>
      <c r="C225" s="85"/>
      <c r="D225" s="85"/>
      <c r="E225" s="85"/>
      <c r="F225" s="85"/>
      <c r="G225" s="85"/>
      <c r="H225" s="85"/>
      <c r="I225" s="91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2.75" customHeight="1" spans="1:26">
      <c r="A226" s="85"/>
      <c r="B226" s="85"/>
      <c r="C226" s="85"/>
      <c r="D226" s="85"/>
      <c r="E226" s="85"/>
      <c r="F226" s="85"/>
      <c r="G226" s="85"/>
      <c r="H226" s="85"/>
      <c r="I226" s="91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2.75" customHeight="1" spans="1:26">
      <c r="A227" s="85"/>
      <c r="B227" s="85"/>
      <c r="C227" s="85"/>
      <c r="D227" s="85"/>
      <c r="E227" s="85"/>
      <c r="F227" s="85"/>
      <c r="G227" s="85"/>
      <c r="H227" s="85"/>
      <c r="I227" s="91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2.75" customHeight="1" spans="1:26">
      <c r="A228" s="85"/>
      <c r="B228" s="85"/>
      <c r="C228" s="85"/>
      <c r="D228" s="85"/>
      <c r="E228" s="85"/>
      <c r="F228" s="85"/>
      <c r="G228" s="85"/>
      <c r="H228" s="85"/>
      <c r="I228" s="91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2.75" customHeight="1" spans="1:26">
      <c r="A229" s="85"/>
      <c r="B229" s="85"/>
      <c r="C229" s="85"/>
      <c r="D229" s="85"/>
      <c r="E229" s="85"/>
      <c r="F229" s="85"/>
      <c r="G229" s="85"/>
      <c r="H229" s="85"/>
      <c r="I229" s="91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2.75" customHeight="1" spans="1:26">
      <c r="A230" s="85"/>
      <c r="B230" s="85"/>
      <c r="C230" s="85"/>
      <c r="D230" s="85"/>
      <c r="E230" s="85"/>
      <c r="F230" s="85"/>
      <c r="G230" s="85"/>
      <c r="H230" s="85"/>
      <c r="I230" s="91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2.75" customHeight="1" spans="1:26">
      <c r="A231" s="85"/>
      <c r="B231" s="85"/>
      <c r="C231" s="85"/>
      <c r="D231" s="85"/>
      <c r="E231" s="85"/>
      <c r="F231" s="85"/>
      <c r="G231" s="85"/>
      <c r="H231" s="85"/>
      <c r="I231" s="91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2.75" customHeight="1" spans="1:26">
      <c r="A232" s="85"/>
      <c r="B232" s="85"/>
      <c r="C232" s="85"/>
      <c r="D232" s="85"/>
      <c r="E232" s="85"/>
      <c r="F232" s="85"/>
      <c r="G232" s="85"/>
      <c r="H232" s="85"/>
      <c r="I232" s="91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2.75" customHeight="1" spans="1:26">
      <c r="A233" s="85"/>
      <c r="B233" s="85"/>
      <c r="C233" s="85"/>
      <c r="D233" s="85"/>
      <c r="E233" s="85"/>
      <c r="F233" s="85"/>
      <c r="G233" s="85"/>
      <c r="H233" s="85"/>
      <c r="I233" s="91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2.75" customHeight="1" spans="1:26">
      <c r="A234" s="85"/>
      <c r="B234" s="85"/>
      <c r="C234" s="85"/>
      <c r="D234" s="85"/>
      <c r="E234" s="85"/>
      <c r="F234" s="85"/>
      <c r="G234" s="85"/>
      <c r="H234" s="85"/>
      <c r="I234" s="91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2.75" customHeight="1" spans="1:26">
      <c r="A235" s="85"/>
      <c r="B235" s="85"/>
      <c r="C235" s="85"/>
      <c r="D235" s="85"/>
      <c r="E235" s="85"/>
      <c r="F235" s="85"/>
      <c r="G235" s="85"/>
      <c r="H235" s="85"/>
      <c r="I235" s="91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2.75" customHeight="1" spans="1:26">
      <c r="A236" s="85"/>
      <c r="B236" s="85"/>
      <c r="C236" s="85"/>
      <c r="D236" s="85"/>
      <c r="E236" s="85"/>
      <c r="F236" s="85"/>
      <c r="G236" s="85"/>
      <c r="H236" s="85"/>
      <c r="I236" s="91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2.75" customHeight="1" spans="1:26">
      <c r="A237" s="85"/>
      <c r="B237" s="85"/>
      <c r="C237" s="85"/>
      <c r="D237" s="85"/>
      <c r="E237" s="85"/>
      <c r="F237" s="85"/>
      <c r="G237" s="85"/>
      <c r="H237" s="85"/>
      <c r="I237" s="91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2.75" customHeight="1" spans="1:26">
      <c r="A238" s="85"/>
      <c r="B238" s="85"/>
      <c r="C238" s="85"/>
      <c r="D238" s="85"/>
      <c r="E238" s="85"/>
      <c r="F238" s="85"/>
      <c r="G238" s="85"/>
      <c r="H238" s="85"/>
      <c r="I238" s="91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2.75" customHeight="1" spans="1:26">
      <c r="A239" s="85"/>
      <c r="B239" s="85"/>
      <c r="C239" s="85"/>
      <c r="D239" s="85"/>
      <c r="E239" s="85"/>
      <c r="F239" s="85"/>
      <c r="G239" s="85"/>
      <c r="H239" s="85"/>
      <c r="I239" s="91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2.75" customHeight="1" spans="1:26">
      <c r="A240" s="85"/>
      <c r="B240" s="85"/>
      <c r="C240" s="85"/>
      <c r="D240" s="85"/>
      <c r="E240" s="85"/>
      <c r="F240" s="85"/>
      <c r="G240" s="85"/>
      <c r="H240" s="85"/>
      <c r="I240" s="91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2.75" customHeight="1" spans="1:26">
      <c r="A241" s="85"/>
      <c r="B241" s="85"/>
      <c r="C241" s="85"/>
      <c r="D241" s="85"/>
      <c r="E241" s="85"/>
      <c r="F241" s="85"/>
      <c r="G241" s="85"/>
      <c r="H241" s="85"/>
      <c r="I241" s="91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2.75" customHeight="1" spans="1:26">
      <c r="A242" s="85"/>
      <c r="B242" s="85"/>
      <c r="C242" s="85"/>
      <c r="D242" s="85"/>
      <c r="E242" s="85"/>
      <c r="F242" s="85"/>
      <c r="G242" s="85"/>
      <c r="H242" s="85"/>
      <c r="I242" s="91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2.75" customHeight="1" spans="1:26">
      <c r="A243" s="85"/>
      <c r="B243" s="85"/>
      <c r="C243" s="85"/>
      <c r="D243" s="85"/>
      <c r="E243" s="85"/>
      <c r="F243" s="85"/>
      <c r="G243" s="85"/>
      <c r="H243" s="85"/>
      <c r="I243" s="91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2.75" customHeight="1" spans="1:26">
      <c r="A244" s="85"/>
      <c r="B244" s="85"/>
      <c r="C244" s="85"/>
      <c r="D244" s="85"/>
      <c r="E244" s="85"/>
      <c r="F244" s="85"/>
      <c r="G244" s="85"/>
      <c r="H244" s="85"/>
      <c r="I244" s="91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2.75" customHeight="1" spans="1:26">
      <c r="A245" s="85"/>
      <c r="B245" s="85"/>
      <c r="C245" s="85"/>
      <c r="D245" s="85"/>
      <c r="E245" s="85"/>
      <c r="F245" s="85"/>
      <c r="G245" s="85"/>
      <c r="H245" s="85"/>
      <c r="I245" s="91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2.75" customHeight="1" spans="1:26">
      <c r="A246" s="85"/>
      <c r="B246" s="85"/>
      <c r="C246" s="85"/>
      <c r="D246" s="85"/>
      <c r="E246" s="85"/>
      <c r="F246" s="85"/>
      <c r="G246" s="85"/>
      <c r="H246" s="85"/>
      <c r="I246" s="91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2.75" customHeight="1" spans="1:26">
      <c r="A247" s="85"/>
      <c r="B247" s="85"/>
      <c r="C247" s="85"/>
      <c r="D247" s="85"/>
      <c r="E247" s="85"/>
      <c r="F247" s="85"/>
      <c r="G247" s="85"/>
      <c r="H247" s="85"/>
      <c r="I247" s="91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2.75" customHeight="1" spans="1:26">
      <c r="A248" s="85"/>
      <c r="B248" s="85"/>
      <c r="C248" s="85"/>
      <c r="D248" s="85"/>
      <c r="E248" s="85"/>
      <c r="F248" s="85"/>
      <c r="G248" s="85"/>
      <c r="H248" s="85"/>
      <c r="I248" s="91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2.75" customHeight="1" spans="1:26">
      <c r="A249" s="85"/>
      <c r="B249" s="85"/>
      <c r="C249" s="85"/>
      <c r="D249" s="85"/>
      <c r="E249" s="85"/>
      <c r="F249" s="85"/>
      <c r="G249" s="85"/>
      <c r="H249" s="85"/>
      <c r="I249" s="91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2.75" customHeight="1" spans="1:26">
      <c r="A250" s="85"/>
      <c r="B250" s="85"/>
      <c r="C250" s="85"/>
      <c r="D250" s="85"/>
      <c r="E250" s="85"/>
      <c r="F250" s="85"/>
      <c r="G250" s="85"/>
      <c r="H250" s="85"/>
      <c r="I250" s="91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2.75" customHeight="1" spans="1:26">
      <c r="A251" s="85"/>
      <c r="B251" s="85"/>
      <c r="C251" s="85"/>
      <c r="D251" s="85"/>
      <c r="E251" s="85"/>
      <c r="F251" s="85"/>
      <c r="G251" s="85"/>
      <c r="H251" s="85"/>
      <c r="I251" s="91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2.75" customHeight="1" spans="1:26">
      <c r="A252" s="85"/>
      <c r="B252" s="85"/>
      <c r="C252" s="85"/>
      <c r="D252" s="85"/>
      <c r="E252" s="85"/>
      <c r="F252" s="85"/>
      <c r="G252" s="85"/>
      <c r="H252" s="85"/>
      <c r="I252" s="91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2.75" customHeight="1" spans="1:26">
      <c r="A253" s="85"/>
      <c r="B253" s="85"/>
      <c r="C253" s="85"/>
      <c r="D253" s="85"/>
      <c r="E253" s="85"/>
      <c r="F253" s="85"/>
      <c r="G253" s="85"/>
      <c r="H253" s="85"/>
      <c r="I253" s="91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2.75" customHeight="1" spans="1:26">
      <c r="A254" s="85"/>
      <c r="B254" s="85"/>
      <c r="C254" s="85"/>
      <c r="D254" s="85"/>
      <c r="E254" s="85"/>
      <c r="F254" s="85"/>
      <c r="G254" s="85"/>
      <c r="H254" s="85"/>
      <c r="I254" s="91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2.75" customHeight="1" spans="1:26">
      <c r="A255" s="85"/>
      <c r="B255" s="85"/>
      <c r="C255" s="85"/>
      <c r="D255" s="85"/>
      <c r="E255" s="85"/>
      <c r="F255" s="85"/>
      <c r="G255" s="85"/>
      <c r="H255" s="85"/>
      <c r="I255" s="91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2.75" customHeight="1" spans="1:26">
      <c r="A256" s="85"/>
      <c r="B256" s="85"/>
      <c r="C256" s="85"/>
      <c r="D256" s="85"/>
      <c r="E256" s="85"/>
      <c r="F256" s="85"/>
      <c r="G256" s="85"/>
      <c r="H256" s="85"/>
      <c r="I256" s="91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2.75" customHeight="1" spans="1:26">
      <c r="A257" s="85"/>
      <c r="B257" s="85"/>
      <c r="C257" s="85"/>
      <c r="D257" s="85"/>
      <c r="E257" s="85"/>
      <c r="F257" s="85"/>
      <c r="G257" s="85"/>
      <c r="H257" s="85"/>
      <c r="I257" s="91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2.75" customHeight="1" spans="1:26">
      <c r="A258" s="85"/>
      <c r="B258" s="85"/>
      <c r="C258" s="85"/>
      <c r="D258" s="85"/>
      <c r="E258" s="85"/>
      <c r="F258" s="85"/>
      <c r="G258" s="85"/>
      <c r="H258" s="85"/>
      <c r="I258" s="91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2.75" customHeight="1" spans="1:26">
      <c r="A259" s="85"/>
      <c r="B259" s="85"/>
      <c r="C259" s="85"/>
      <c r="D259" s="85"/>
      <c r="E259" s="85"/>
      <c r="F259" s="85"/>
      <c r="G259" s="85"/>
      <c r="H259" s="85"/>
      <c r="I259" s="91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2.75" customHeight="1" spans="1:26">
      <c r="A260" s="85"/>
      <c r="B260" s="85"/>
      <c r="C260" s="85"/>
      <c r="D260" s="85"/>
      <c r="E260" s="85"/>
      <c r="F260" s="85"/>
      <c r="G260" s="85"/>
      <c r="H260" s="85"/>
      <c r="I260" s="91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2.75" customHeight="1" spans="1:26">
      <c r="A261" s="85"/>
      <c r="B261" s="85"/>
      <c r="C261" s="85"/>
      <c r="D261" s="85"/>
      <c r="E261" s="85"/>
      <c r="F261" s="85"/>
      <c r="G261" s="85"/>
      <c r="H261" s="85"/>
      <c r="I261" s="91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2.75" customHeight="1" spans="1:26">
      <c r="A262" s="85"/>
      <c r="B262" s="85"/>
      <c r="C262" s="85"/>
      <c r="D262" s="85"/>
      <c r="E262" s="85"/>
      <c r="F262" s="85"/>
      <c r="G262" s="85"/>
      <c r="H262" s="85"/>
      <c r="I262" s="91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2.75" customHeight="1" spans="1:26">
      <c r="A263" s="85"/>
      <c r="B263" s="85"/>
      <c r="C263" s="85"/>
      <c r="D263" s="85"/>
      <c r="E263" s="85"/>
      <c r="F263" s="85"/>
      <c r="G263" s="85"/>
      <c r="H263" s="85"/>
      <c r="I263" s="91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2.75" customHeight="1" spans="1:26">
      <c r="A264" s="85"/>
      <c r="B264" s="85"/>
      <c r="C264" s="85"/>
      <c r="D264" s="85"/>
      <c r="E264" s="85"/>
      <c r="F264" s="85"/>
      <c r="G264" s="85"/>
      <c r="H264" s="85"/>
      <c r="I264" s="91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2.75" customHeight="1" spans="1:26">
      <c r="A265" s="85"/>
      <c r="B265" s="85"/>
      <c r="C265" s="85"/>
      <c r="D265" s="85"/>
      <c r="E265" s="85"/>
      <c r="F265" s="85"/>
      <c r="G265" s="85"/>
      <c r="H265" s="85"/>
      <c r="I265" s="91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2.75" customHeight="1" spans="1:26">
      <c r="A266" s="85"/>
      <c r="B266" s="85"/>
      <c r="C266" s="85"/>
      <c r="D266" s="85"/>
      <c r="E266" s="85"/>
      <c r="F266" s="85"/>
      <c r="G266" s="85"/>
      <c r="H266" s="85"/>
      <c r="I266" s="91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2.75" customHeight="1" spans="1:26">
      <c r="A267" s="85"/>
      <c r="B267" s="85"/>
      <c r="C267" s="85"/>
      <c r="D267" s="85"/>
      <c r="E267" s="85"/>
      <c r="F267" s="85"/>
      <c r="G267" s="85"/>
      <c r="H267" s="85"/>
      <c r="I267" s="91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2.75" customHeight="1" spans="1:26">
      <c r="A268" s="85"/>
      <c r="B268" s="85"/>
      <c r="C268" s="85"/>
      <c r="D268" s="85"/>
      <c r="E268" s="85"/>
      <c r="F268" s="85"/>
      <c r="G268" s="85"/>
      <c r="H268" s="85"/>
      <c r="I268" s="91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2.75" customHeight="1" spans="1:26">
      <c r="A269" s="85"/>
      <c r="B269" s="85"/>
      <c r="C269" s="85"/>
      <c r="D269" s="85"/>
      <c r="E269" s="85"/>
      <c r="F269" s="85"/>
      <c r="G269" s="85"/>
      <c r="H269" s="85"/>
      <c r="I269" s="91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2.75" customHeight="1" spans="1:26">
      <c r="A270" s="85"/>
      <c r="B270" s="85"/>
      <c r="C270" s="85"/>
      <c r="D270" s="85"/>
      <c r="E270" s="85"/>
      <c r="F270" s="85"/>
      <c r="G270" s="85"/>
      <c r="H270" s="85"/>
      <c r="I270" s="91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2.75" customHeight="1" spans="1:26">
      <c r="A271" s="85"/>
      <c r="B271" s="85"/>
      <c r="C271" s="85"/>
      <c r="D271" s="85"/>
      <c r="E271" s="85"/>
      <c r="F271" s="85"/>
      <c r="G271" s="85"/>
      <c r="H271" s="85"/>
      <c r="I271" s="91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2.75" customHeight="1" spans="1:26">
      <c r="A272" s="85"/>
      <c r="B272" s="85"/>
      <c r="C272" s="85"/>
      <c r="D272" s="85"/>
      <c r="E272" s="85"/>
      <c r="F272" s="85"/>
      <c r="G272" s="85"/>
      <c r="H272" s="85"/>
      <c r="I272" s="91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2.75" customHeight="1" spans="1:26">
      <c r="A273" s="85"/>
      <c r="B273" s="85"/>
      <c r="C273" s="85"/>
      <c r="D273" s="85"/>
      <c r="E273" s="85"/>
      <c r="F273" s="85"/>
      <c r="G273" s="85"/>
      <c r="H273" s="85"/>
      <c r="I273" s="91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2.75" customHeight="1" spans="1:26">
      <c r="A274" s="85"/>
      <c r="B274" s="85"/>
      <c r="C274" s="85"/>
      <c r="D274" s="85"/>
      <c r="E274" s="85"/>
      <c r="F274" s="85"/>
      <c r="G274" s="85"/>
      <c r="H274" s="85"/>
      <c r="I274" s="91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2.75" customHeight="1" spans="1:26">
      <c r="A275" s="85"/>
      <c r="B275" s="85"/>
      <c r="C275" s="85"/>
      <c r="D275" s="85"/>
      <c r="E275" s="85"/>
      <c r="F275" s="85"/>
      <c r="G275" s="85"/>
      <c r="H275" s="85"/>
      <c r="I275" s="91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2.75" customHeight="1" spans="1:26">
      <c r="A276" s="85"/>
      <c r="B276" s="85"/>
      <c r="C276" s="85"/>
      <c r="D276" s="85"/>
      <c r="E276" s="85"/>
      <c r="F276" s="85"/>
      <c r="G276" s="85"/>
      <c r="H276" s="85"/>
      <c r="I276" s="91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2.75" customHeight="1" spans="1:26">
      <c r="A277" s="85"/>
      <c r="B277" s="85"/>
      <c r="C277" s="85"/>
      <c r="D277" s="85"/>
      <c r="E277" s="85"/>
      <c r="F277" s="85"/>
      <c r="G277" s="85"/>
      <c r="H277" s="85"/>
      <c r="I277" s="91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2.75" customHeight="1" spans="1:26">
      <c r="A278" s="85"/>
      <c r="B278" s="85"/>
      <c r="C278" s="85"/>
      <c r="D278" s="85"/>
      <c r="E278" s="85"/>
      <c r="F278" s="85"/>
      <c r="G278" s="85"/>
      <c r="H278" s="85"/>
      <c r="I278" s="91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2.75" customHeight="1" spans="1:26">
      <c r="A279" s="85"/>
      <c r="B279" s="85"/>
      <c r="C279" s="85"/>
      <c r="D279" s="85"/>
      <c r="E279" s="85"/>
      <c r="F279" s="85"/>
      <c r="G279" s="85"/>
      <c r="H279" s="85"/>
      <c r="I279" s="91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2.75" customHeight="1" spans="1:26">
      <c r="A280" s="85"/>
      <c r="B280" s="85"/>
      <c r="C280" s="85"/>
      <c r="D280" s="85"/>
      <c r="E280" s="85"/>
      <c r="F280" s="85"/>
      <c r="G280" s="85"/>
      <c r="H280" s="85"/>
      <c r="I280" s="91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2.75" customHeight="1" spans="1:26">
      <c r="A281" s="85"/>
      <c r="B281" s="85"/>
      <c r="C281" s="85"/>
      <c r="D281" s="85"/>
      <c r="E281" s="85"/>
      <c r="F281" s="85"/>
      <c r="G281" s="85"/>
      <c r="H281" s="85"/>
      <c r="I281" s="91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2.75" customHeight="1" spans="1:26">
      <c r="A282" s="85"/>
      <c r="B282" s="85"/>
      <c r="C282" s="85"/>
      <c r="D282" s="85"/>
      <c r="E282" s="85"/>
      <c r="F282" s="85"/>
      <c r="G282" s="85"/>
      <c r="H282" s="85"/>
      <c r="I282" s="91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2.75" customHeight="1" spans="1:26">
      <c r="A283" s="85"/>
      <c r="B283" s="85"/>
      <c r="C283" s="85"/>
      <c r="D283" s="85"/>
      <c r="E283" s="85"/>
      <c r="F283" s="85"/>
      <c r="G283" s="85"/>
      <c r="H283" s="85"/>
      <c r="I283" s="91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2.75" customHeight="1" spans="1:26">
      <c r="A284" s="85"/>
      <c r="B284" s="85"/>
      <c r="C284" s="85"/>
      <c r="D284" s="85"/>
      <c r="E284" s="85"/>
      <c r="F284" s="85"/>
      <c r="G284" s="85"/>
      <c r="H284" s="85"/>
      <c r="I284" s="91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2.75" customHeight="1" spans="1:26">
      <c r="A285" s="85"/>
      <c r="B285" s="85"/>
      <c r="C285" s="85"/>
      <c r="D285" s="85"/>
      <c r="E285" s="85"/>
      <c r="F285" s="85"/>
      <c r="G285" s="85"/>
      <c r="H285" s="85"/>
      <c r="I285" s="91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2.75" customHeight="1" spans="1:26">
      <c r="A286" s="85"/>
      <c r="B286" s="85"/>
      <c r="C286" s="85"/>
      <c r="D286" s="85"/>
      <c r="E286" s="85"/>
      <c r="F286" s="85"/>
      <c r="G286" s="85"/>
      <c r="H286" s="85"/>
      <c r="I286" s="91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2.75" customHeight="1" spans="1:26">
      <c r="A287" s="85"/>
      <c r="B287" s="85"/>
      <c r="C287" s="85"/>
      <c r="D287" s="85"/>
      <c r="E287" s="85"/>
      <c r="F287" s="85"/>
      <c r="G287" s="85"/>
      <c r="H287" s="85"/>
      <c r="I287" s="91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2.75" customHeight="1" spans="1:26">
      <c r="A288" s="85"/>
      <c r="B288" s="85"/>
      <c r="C288" s="85"/>
      <c r="D288" s="85"/>
      <c r="E288" s="85"/>
      <c r="F288" s="85"/>
      <c r="G288" s="85"/>
      <c r="H288" s="85"/>
      <c r="I288" s="91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2.75" customHeight="1" spans="1:26">
      <c r="A289" s="85"/>
      <c r="B289" s="85"/>
      <c r="C289" s="85"/>
      <c r="D289" s="85"/>
      <c r="E289" s="85"/>
      <c r="F289" s="85"/>
      <c r="G289" s="85"/>
      <c r="H289" s="85"/>
      <c r="I289" s="91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2.75" customHeight="1" spans="1:26">
      <c r="A290" s="85"/>
      <c r="B290" s="85"/>
      <c r="C290" s="85"/>
      <c r="D290" s="85"/>
      <c r="E290" s="85"/>
      <c r="F290" s="85"/>
      <c r="G290" s="85"/>
      <c r="H290" s="85"/>
      <c r="I290" s="91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2.75" customHeight="1" spans="1:26">
      <c r="A291" s="85"/>
      <c r="B291" s="85"/>
      <c r="C291" s="85"/>
      <c r="D291" s="85"/>
      <c r="E291" s="85"/>
      <c r="F291" s="85"/>
      <c r="G291" s="85"/>
      <c r="H291" s="85"/>
      <c r="I291" s="91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2.75" customHeight="1" spans="1:26">
      <c r="A292" s="85"/>
      <c r="B292" s="85"/>
      <c r="C292" s="85"/>
      <c r="D292" s="85"/>
      <c r="E292" s="85"/>
      <c r="F292" s="85"/>
      <c r="G292" s="85"/>
      <c r="H292" s="85"/>
      <c r="I292" s="91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2.75" customHeight="1" spans="1:26">
      <c r="A293" s="85"/>
      <c r="B293" s="85"/>
      <c r="C293" s="85"/>
      <c r="D293" s="85"/>
      <c r="E293" s="85"/>
      <c r="F293" s="85"/>
      <c r="G293" s="85"/>
      <c r="H293" s="85"/>
      <c r="I293" s="91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2.75" customHeight="1" spans="1:26">
      <c r="A294" s="85"/>
      <c r="B294" s="85"/>
      <c r="C294" s="85"/>
      <c r="D294" s="85"/>
      <c r="E294" s="85"/>
      <c r="F294" s="85"/>
      <c r="G294" s="85"/>
      <c r="H294" s="85"/>
      <c r="I294" s="91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2.75" customHeight="1" spans="1:26">
      <c r="A295" s="85"/>
      <c r="B295" s="85"/>
      <c r="C295" s="85"/>
      <c r="D295" s="85"/>
      <c r="E295" s="85"/>
      <c r="F295" s="85"/>
      <c r="G295" s="85"/>
      <c r="H295" s="85"/>
      <c r="I295" s="91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2.75" customHeight="1" spans="1:26">
      <c r="A296" s="85"/>
      <c r="B296" s="85"/>
      <c r="C296" s="85"/>
      <c r="D296" s="85"/>
      <c r="E296" s="85"/>
      <c r="F296" s="85"/>
      <c r="G296" s="85"/>
      <c r="H296" s="85"/>
      <c r="I296" s="91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2.75" customHeight="1" spans="1:26">
      <c r="A297" s="85"/>
      <c r="B297" s="85"/>
      <c r="C297" s="85"/>
      <c r="D297" s="85"/>
      <c r="E297" s="85"/>
      <c r="F297" s="85"/>
      <c r="G297" s="85"/>
      <c r="H297" s="85"/>
      <c r="I297" s="91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2.75" customHeight="1" spans="1:26">
      <c r="A298" s="85"/>
      <c r="B298" s="85"/>
      <c r="C298" s="85"/>
      <c r="D298" s="85"/>
      <c r="E298" s="85"/>
      <c r="F298" s="85"/>
      <c r="G298" s="85"/>
      <c r="H298" s="85"/>
      <c r="I298" s="91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2.75" customHeight="1" spans="1:26">
      <c r="A299" s="85"/>
      <c r="B299" s="85"/>
      <c r="C299" s="85"/>
      <c r="D299" s="85"/>
      <c r="E299" s="85"/>
      <c r="F299" s="85"/>
      <c r="G299" s="85"/>
      <c r="H299" s="85"/>
      <c r="I299" s="91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2.75" customHeight="1" spans="1:26">
      <c r="A300" s="85"/>
      <c r="B300" s="85"/>
      <c r="C300" s="85"/>
      <c r="D300" s="85"/>
      <c r="E300" s="85"/>
      <c r="F300" s="85"/>
      <c r="G300" s="85"/>
      <c r="H300" s="85"/>
      <c r="I300" s="91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2.75" customHeight="1" spans="1:26">
      <c r="A301" s="85"/>
      <c r="B301" s="85"/>
      <c r="C301" s="85"/>
      <c r="D301" s="85"/>
      <c r="E301" s="85"/>
      <c r="F301" s="85"/>
      <c r="G301" s="85"/>
      <c r="H301" s="85"/>
      <c r="I301" s="91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2.75" customHeight="1" spans="1:26">
      <c r="A302" s="85"/>
      <c r="B302" s="85"/>
      <c r="C302" s="85"/>
      <c r="D302" s="85"/>
      <c r="E302" s="85"/>
      <c r="F302" s="85"/>
      <c r="G302" s="85"/>
      <c r="H302" s="85"/>
      <c r="I302" s="91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2.75" customHeight="1" spans="1:26">
      <c r="A303" s="85"/>
      <c r="B303" s="85"/>
      <c r="C303" s="85"/>
      <c r="D303" s="85"/>
      <c r="E303" s="85"/>
      <c r="F303" s="85"/>
      <c r="G303" s="85"/>
      <c r="H303" s="85"/>
      <c r="I303" s="91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2.75" customHeight="1" spans="1:26">
      <c r="A304" s="85"/>
      <c r="B304" s="85"/>
      <c r="C304" s="85"/>
      <c r="D304" s="85"/>
      <c r="E304" s="85"/>
      <c r="F304" s="85"/>
      <c r="G304" s="85"/>
      <c r="H304" s="85"/>
      <c r="I304" s="91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2.75" customHeight="1" spans="1:26">
      <c r="A305" s="85"/>
      <c r="B305" s="85"/>
      <c r="C305" s="85"/>
      <c r="D305" s="85"/>
      <c r="E305" s="85"/>
      <c r="F305" s="85"/>
      <c r="G305" s="85"/>
      <c r="H305" s="85"/>
      <c r="I305" s="91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2.75" customHeight="1" spans="1:26">
      <c r="A306" s="85"/>
      <c r="B306" s="85"/>
      <c r="C306" s="85"/>
      <c r="D306" s="85"/>
      <c r="E306" s="85"/>
      <c r="F306" s="85"/>
      <c r="G306" s="85"/>
      <c r="H306" s="85"/>
      <c r="I306" s="91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2.75" customHeight="1" spans="1:26">
      <c r="A307" s="85"/>
      <c r="B307" s="85"/>
      <c r="C307" s="85"/>
      <c r="D307" s="85"/>
      <c r="E307" s="85"/>
      <c r="F307" s="85"/>
      <c r="G307" s="85"/>
      <c r="H307" s="85"/>
      <c r="I307" s="91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2.75" customHeight="1" spans="1:26">
      <c r="A308" s="85"/>
      <c r="B308" s="85"/>
      <c r="C308" s="85"/>
      <c r="D308" s="85"/>
      <c r="E308" s="85"/>
      <c r="F308" s="85"/>
      <c r="G308" s="85"/>
      <c r="H308" s="85"/>
      <c r="I308" s="91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2.75" customHeight="1" spans="1:26">
      <c r="A309" s="85"/>
      <c r="B309" s="85"/>
      <c r="C309" s="85"/>
      <c r="D309" s="85"/>
      <c r="E309" s="85"/>
      <c r="F309" s="85"/>
      <c r="G309" s="85"/>
      <c r="H309" s="85"/>
      <c r="I309" s="91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2.75" customHeight="1" spans="1:26">
      <c r="A310" s="85"/>
      <c r="B310" s="85"/>
      <c r="C310" s="85"/>
      <c r="D310" s="85"/>
      <c r="E310" s="85"/>
      <c r="F310" s="85"/>
      <c r="G310" s="85"/>
      <c r="H310" s="85"/>
      <c r="I310" s="91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2.75" customHeight="1" spans="1:26">
      <c r="A311" s="85"/>
      <c r="B311" s="85"/>
      <c r="C311" s="85"/>
      <c r="D311" s="85"/>
      <c r="E311" s="85"/>
      <c r="F311" s="85"/>
      <c r="G311" s="85"/>
      <c r="H311" s="85"/>
      <c r="I311" s="91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2.75" customHeight="1" spans="1:26">
      <c r="A312" s="85"/>
      <c r="B312" s="85"/>
      <c r="C312" s="85"/>
      <c r="D312" s="85"/>
      <c r="E312" s="85"/>
      <c r="F312" s="85"/>
      <c r="G312" s="85"/>
      <c r="H312" s="85"/>
      <c r="I312" s="91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2.75" customHeight="1" spans="1:26">
      <c r="A313" s="85"/>
      <c r="B313" s="85"/>
      <c r="C313" s="85"/>
      <c r="D313" s="85"/>
      <c r="E313" s="85"/>
      <c r="F313" s="85"/>
      <c r="G313" s="85"/>
      <c r="H313" s="85"/>
      <c r="I313" s="91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2.75" customHeight="1" spans="1:26">
      <c r="A314" s="85"/>
      <c r="B314" s="85"/>
      <c r="C314" s="85"/>
      <c r="D314" s="85"/>
      <c r="E314" s="85"/>
      <c r="F314" s="85"/>
      <c r="G314" s="85"/>
      <c r="H314" s="85"/>
      <c r="I314" s="91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2.75" customHeight="1" spans="1:26">
      <c r="A315" s="85"/>
      <c r="B315" s="85"/>
      <c r="C315" s="85"/>
      <c r="D315" s="85"/>
      <c r="E315" s="85"/>
      <c r="F315" s="85"/>
      <c r="G315" s="85"/>
      <c r="H315" s="85"/>
      <c r="I315" s="91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2.75" customHeight="1" spans="1:26">
      <c r="A316" s="85"/>
      <c r="B316" s="85"/>
      <c r="C316" s="85"/>
      <c r="D316" s="85"/>
      <c r="E316" s="85"/>
      <c r="F316" s="85"/>
      <c r="G316" s="85"/>
      <c r="H316" s="85"/>
      <c r="I316" s="91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2.75" customHeight="1" spans="1:26">
      <c r="A317" s="85"/>
      <c r="B317" s="85"/>
      <c r="C317" s="85"/>
      <c r="D317" s="85"/>
      <c r="E317" s="85"/>
      <c r="F317" s="85"/>
      <c r="G317" s="85"/>
      <c r="H317" s="85"/>
      <c r="I317" s="91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2.75" customHeight="1" spans="1:26">
      <c r="A318" s="85"/>
      <c r="B318" s="85"/>
      <c r="C318" s="85"/>
      <c r="D318" s="85"/>
      <c r="E318" s="85"/>
      <c r="F318" s="85"/>
      <c r="G318" s="85"/>
      <c r="H318" s="85"/>
      <c r="I318" s="91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2.75" customHeight="1" spans="1:26">
      <c r="A319" s="85"/>
      <c r="B319" s="85"/>
      <c r="C319" s="85"/>
      <c r="D319" s="85"/>
      <c r="E319" s="85"/>
      <c r="F319" s="85"/>
      <c r="G319" s="85"/>
      <c r="H319" s="85"/>
      <c r="I319" s="91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2.75" customHeight="1" spans="1:26">
      <c r="A320" s="85"/>
      <c r="B320" s="85"/>
      <c r="C320" s="85"/>
      <c r="D320" s="85"/>
      <c r="E320" s="85"/>
      <c r="F320" s="85"/>
      <c r="G320" s="85"/>
      <c r="H320" s="85"/>
      <c r="I320" s="91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2.75" customHeight="1" spans="1:26">
      <c r="A321" s="85"/>
      <c r="B321" s="85"/>
      <c r="C321" s="85"/>
      <c r="D321" s="85"/>
      <c r="E321" s="85"/>
      <c r="F321" s="85"/>
      <c r="G321" s="85"/>
      <c r="H321" s="85"/>
      <c r="I321" s="91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2.75" customHeight="1" spans="1:26">
      <c r="A322" s="85"/>
      <c r="B322" s="85"/>
      <c r="C322" s="85"/>
      <c r="D322" s="85"/>
      <c r="E322" s="85"/>
      <c r="F322" s="85"/>
      <c r="G322" s="85"/>
      <c r="H322" s="85"/>
      <c r="I322" s="91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2.75" customHeight="1" spans="1:26">
      <c r="A323" s="85"/>
      <c r="B323" s="85"/>
      <c r="C323" s="85"/>
      <c r="D323" s="85"/>
      <c r="E323" s="85"/>
      <c r="F323" s="85"/>
      <c r="G323" s="85"/>
      <c r="H323" s="85"/>
      <c r="I323" s="91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2.75" customHeight="1" spans="1:26">
      <c r="A324" s="85"/>
      <c r="B324" s="85"/>
      <c r="C324" s="85"/>
      <c r="D324" s="85"/>
      <c r="E324" s="85"/>
      <c r="F324" s="85"/>
      <c r="G324" s="85"/>
      <c r="H324" s="85"/>
      <c r="I324" s="91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2.75" customHeight="1" spans="1:26">
      <c r="A325" s="85"/>
      <c r="B325" s="85"/>
      <c r="C325" s="85"/>
      <c r="D325" s="85"/>
      <c r="E325" s="85"/>
      <c r="F325" s="85"/>
      <c r="G325" s="85"/>
      <c r="H325" s="85"/>
      <c r="I325" s="91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2.75" customHeight="1" spans="1:26">
      <c r="A326" s="85"/>
      <c r="B326" s="85"/>
      <c r="C326" s="85"/>
      <c r="D326" s="85"/>
      <c r="E326" s="85"/>
      <c r="F326" s="85"/>
      <c r="G326" s="85"/>
      <c r="H326" s="85"/>
      <c r="I326" s="91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2.75" customHeight="1" spans="1:26">
      <c r="A327" s="85"/>
      <c r="B327" s="85"/>
      <c r="C327" s="85"/>
      <c r="D327" s="85"/>
      <c r="E327" s="85"/>
      <c r="F327" s="85"/>
      <c r="G327" s="85"/>
      <c r="H327" s="85"/>
      <c r="I327" s="91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2.75" customHeight="1" spans="1:26">
      <c r="A328" s="85"/>
      <c r="B328" s="85"/>
      <c r="C328" s="85"/>
      <c r="D328" s="85"/>
      <c r="E328" s="85"/>
      <c r="F328" s="85"/>
      <c r="G328" s="85"/>
      <c r="H328" s="85"/>
      <c r="I328" s="91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2.75" customHeight="1" spans="1:26">
      <c r="A329" s="85"/>
      <c r="B329" s="85"/>
      <c r="C329" s="85"/>
      <c r="D329" s="85"/>
      <c r="E329" s="85"/>
      <c r="F329" s="85"/>
      <c r="G329" s="85"/>
      <c r="H329" s="85"/>
      <c r="I329" s="91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2.75" customHeight="1" spans="1:26">
      <c r="A330" s="85"/>
      <c r="B330" s="85"/>
      <c r="C330" s="85"/>
      <c r="D330" s="85"/>
      <c r="E330" s="85"/>
      <c r="F330" s="85"/>
      <c r="G330" s="85"/>
      <c r="H330" s="85"/>
      <c r="I330" s="91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2.75" customHeight="1" spans="1:26">
      <c r="A331" s="85"/>
      <c r="B331" s="85"/>
      <c r="C331" s="85"/>
      <c r="D331" s="85"/>
      <c r="E331" s="85"/>
      <c r="F331" s="85"/>
      <c r="G331" s="85"/>
      <c r="H331" s="85"/>
      <c r="I331" s="91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2.75" customHeight="1" spans="1:26">
      <c r="A332" s="85"/>
      <c r="B332" s="85"/>
      <c r="C332" s="85"/>
      <c r="D332" s="85"/>
      <c r="E332" s="85"/>
      <c r="F332" s="85"/>
      <c r="G332" s="85"/>
      <c r="H332" s="85"/>
      <c r="I332" s="91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2.75" customHeight="1" spans="1:26">
      <c r="A333" s="85"/>
      <c r="B333" s="85"/>
      <c r="C333" s="85"/>
      <c r="D333" s="85"/>
      <c r="E333" s="85"/>
      <c r="F333" s="85"/>
      <c r="G333" s="85"/>
      <c r="H333" s="85"/>
      <c r="I333" s="91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2.75" customHeight="1" spans="1:26">
      <c r="A334" s="85"/>
      <c r="B334" s="85"/>
      <c r="C334" s="85"/>
      <c r="D334" s="85"/>
      <c r="E334" s="85"/>
      <c r="F334" s="85"/>
      <c r="G334" s="85"/>
      <c r="H334" s="85"/>
      <c r="I334" s="91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2.75" customHeight="1" spans="1:26">
      <c r="A335" s="85"/>
      <c r="B335" s="85"/>
      <c r="C335" s="85"/>
      <c r="D335" s="85"/>
      <c r="E335" s="85"/>
      <c r="F335" s="85"/>
      <c r="G335" s="85"/>
      <c r="H335" s="85"/>
      <c r="I335" s="91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2.75" customHeight="1" spans="1:26">
      <c r="A336" s="85"/>
      <c r="B336" s="85"/>
      <c r="C336" s="85"/>
      <c r="D336" s="85"/>
      <c r="E336" s="85"/>
      <c r="F336" s="85"/>
      <c r="G336" s="85"/>
      <c r="H336" s="85"/>
      <c r="I336" s="91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2.75" customHeight="1" spans="1:26">
      <c r="A337" s="85"/>
      <c r="B337" s="85"/>
      <c r="C337" s="85"/>
      <c r="D337" s="85"/>
      <c r="E337" s="85"/>
      <c r="F337" s="85"/>
      <c r="G337" s="85"/>
      <c r="H337" s="85"/>
      <c r="I337" s="91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2.75" customHeight="1" spans="1:26">
      <c r="A338" s="85"/>
      <c r="B338" s="85"/>
      <c r="C338" s="85"/>
      <c r="D338" s="85"/>
      <c r="E338" s="85"/>
      <c r="F338" s="85"/>
      <c r="G338" s="85"/>
      <c r="H338" s="85"/>
      <c r="I338" s="91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2.75" customHeight="1" spans="1:26">
      <c r="A339" s="85"/>
      <c r="B339" s="85"/>
      <c r="C339" s="85"/>
      <c r="D339" s="85"/>
      <c r="E339" s="85"/>
      <c r="F339" s="85"/>
      <c r="G339" s="85"/>
      <c r="H339" s="85"/>
      <c r="I339" s="91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2.75" customHeight="1" spans="1:26">
      <c r="A340" s="85"/>
      <c r="B340" s="85"/>
      <c r="C340" s="85"/>
      <c r="D340" s="85"/>
      <c r="E340" s="85"/>
      <c r="F340" s="85"/>
      <c r="G340" s="85"/>
      <c r="H340" s="85"/>
      <c r="I340" s="91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2.75" customHeight="1" spans="1:26">
      <c r="A341" s="85"/>
      <c r="B341" s="85"/>
      <c r="C341" s="85"/>
      <c r="D341" s="85"/>
      <c r="E341" s="85"/>
      <c r="F341" s="85"/>
      <c r="G341" s="85"/>
      <c r="H341" s="85"/>
      <c r="I341" s="91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2.75" customHeight="1" spans="1:26">
      <c r="A342" s="85"/>
      <c r="B342" s="85"/>
      <c r="C342" s="85"/>
      <c r="D342" s="85"/>
      <c r="E342" s="85"/>
      <c r="F342" s="85"/>
      <c r="G342" s="85"/>
      <c r="H342" s="85"/>
      <c r="I342" s="91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2.75" customHeight="1" spans="1:26">
      <c r="A343" s="85"/>
      <c r="B343" s="85"/>
      <c r="C343" s="85"/>
      <c r="D343" s="85"/>
      <c r="E343" s="85"/>
      <c r="F343" s="85"/>
      <c r="G343" s="85"/>
      <c r="H343" s="85"/>
      <c r="I343" s="91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2.75" customHeight="1" spans="1:26">
      <c r="A344" s="85"/>
      <c r="B344" s="85"/>
      <c r="C344" s="85"/>
      <c r="D344" s="85"/>
      <c r="E344" s="85"/>
      <c r="F344" s="85"/>
      <c r="G344" s="85"/>
      <c r="H344" s="85"/>
      <c r="I344" s="91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2.75" customHeight="1" spans="1:26">
      <c r="A345" s="85"/>
      <c r="B345" s="85"/>
      <c r="C345" s="85"/>
      <c r="D345" s="85"/>
      <c r="E345" s="85"/>
      <c r="F345" s="85"/>
      <c r="G345" s="85"/>
      <c r="H345" s="85"/>
      <c r="I345" s="91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2.75" customHeight="1" spans="1:26">
      <c r="A346" s="85"/>
      <c r="B346" s="85"/>
      <c r="C346" s="85"/>
      <c r="D346" s="85"/>
      <c r="E346" s="85"/>
      <c r="F346" s="85"/>
      <c r="G346" s="85"/>
      <c r="H346" s="85"/>
      <c r="I346" s="91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2.75" customHeight="1" spans="1:26">
      <c r="A347" s="85"/>
      <c r="B347" s="85"/>
      <c r="C347" s="85"/>
      <c r="D347" s="85"/>
      <c r="E347" s="85"/>
      <c r="F347" s="85"/>
      <c r="G347" s="85"/>
      <c r="H347" s="85"/>
      <c r="I347" s="91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2.75" customHeight="1" spans="1:26">
      <c r="A348" s="85"/>
      <c r="B348" s="85"/>
      <c r="C348" s="85"/>
      <c r="D348" s="85"/>
      <c r="E348" s="85"/>
      <c r="F348" s="85"/>
      <c r="G348" s="85"/>
      <c r="H348" s="85"/>
      <c r="I348" s="91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2.75" customHeight="1" spans="1:26">
      <c r="A349" s="85"/>
      <c r="B349" s="85"/>
      <c r="C349" s="85"/>
      <c r="D349" s="85"/>
      <c r="E349" s="85"/>
      <c r="F349" s="85"/>
      <c r="G349" s="85"/>
      <c r="H349" s="85"/>
      <c r="I349" s="91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2.75" customHeight="1" spans="1:26">
      <c r="A350" s="85"/>
      <c r="B350" s="85"/>
      <c r="C350" s="85"/>
      <c r="D350" s="85"/>
      <c r="E350" s="85"/>
      <c r="F350" s="85"/>
      <c r="G350" s="85"/>
      <c r="H350" s="85"/>
      <c r="I350" s="91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2.75" customHeight="1" spans="1:26">
      <c r="A351" s="85"/>
      <c r="B351" s="85"/>
      <c r="C351" s="85"/>
      <c r="D351" s="85"/>
      <c r="E351" s="85"/>
      <c r="F351" s="85"/>
      <c r="G351" s="85"/>
      <c r="H351" s="85"/>
      <c r="I351" s="91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2.75" customHeight="1" spans="1:26">
      <c r="A352" s="85"/>
      <c r="B352" s="85"/>
      <c r="C352" s="85"/>
      <c r="D352" s="85"/>
      <c r="E352" s="85"/>
      <c r="F352" s="85"/>
      <c r="G352" s="85"/>
      <c r="H352" s="85"/>
      <c r="I352" s="91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2.75" customHeight="1" spans="1:26">
      <c r="A353" s="85"/>
      <c r="B353" s="85"/>
      <c r="C353" s="85"/>
      <c r="D353" s="85"/>
      <c r="E353" s="85"/>
      <c r="F353" s="85"/>
      <c r="G353" s="85"/>
      <c r="H353" s="85"/>
      <c r="I353" s="91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2.75" customHeight="1" spans="1:26">
      <c r="A354" s="85"/>
      <c r="B354" s="85"/>
      <c r="C354" s="85"/>
      <c r="D354" s="85"/>
      <c r="E354" s="85"/>
      <c r="F354" s="85"/>
      <c r="G354" s="85"/>
      <c r="H354" s="85"/>
      <c r="I354" s="91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2.75" customHeight="1" spans="1:26">
      <c r="A355" s="85"/>
      <c r="B355" s="85"/>
      <c r="C355" s="85"/>
      <c r="D355" s="85"/>
      <c r="E355" s="85"/>
      <c r="F355" s="85"/>
      <c r="G355" s="85"/>
      <c r="H355" s="85"/>
      <c r="I355" s="91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2.75" customHeight="1" spans="1:26">
      <c r="A356" s="85"/>
      <c r="B356" s="85"/>
      <c r="C356" s="85"/>
      <c r="D356" s="85"/>
      <c r="E356" s="85"/>
      <c r="F356" s="85"/>
      <c r="G356" s="85"/>
      <c r="H356" s="85"/>
      <c r="I356" s="91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2.75" customHeight="1" spans="1:26">
      <c r="A357" s="85"/>
      <c r="B357" s="85"/>
      <c r="C357" s="85"/>
      <c r="D357" s="85"/>
      <c r="E357" s="85"/>
      <c r="F357" s="85"/>
      <c r="G357" s="85"/>
      <c r="H357" s="85"/>
      <c r="I357" s="91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2.75" customHeight="1" spans="1:26">
      <c r="A358" s="85"/>
      <c r="B358" s="85"/>
      <c r="C358" s="85"/>
      <c r="D358" s="85"/>
      <c r="E358" s="85"/>
      <c r="F358" s="85"/>
      <c r="G358" s="85"/>
      <c r="H358" s="85"/>
      <c r="I358" s="91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2.75" customHeight="1" spans="1:26">
      <c r="A359" s="85"/>
      <c r="B359" s="85"/>
      <c r="C359" s="85"/>
      <c r="D359" s="85"/>
      <c r="E359" s="85"/>
      <c r="F359" s="85"/>
      <c r="G359" s="85"/>
      <c r="H359" s="85"/>
      <c r="I359" s="91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2.75" customHeight="1" spans="1:26">
      <c r="A360" s="85"/>
      <c r="B360" s="85"/>
      <c r="C360" s="85"/>
      <c r="D360" s="85"/>
      <c r="E360" s="85"/>
      <c r="F360" s="85"/>
      <c r="G360" s="85"/>
      <c r="H360" s="85"/>
      <c r="I360" s="91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2.75" customHeight="1" spans="1:26">
      <c r="A361" s="85"/>
      <c r="B361" s="85"/>
      <c r="C361" s="85"/>
      <c r="D361" s="85"/>
      <c r="E361" s="85"/>
      <c r="F361" s="85"/>
      <c r="G361" s="85"/>
      <c r="H361" s="85"/>
      <c r="I361" s="91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2.75" customHeight="1" spans="1:26">
      <c r="A362" s="85"/>
      <c r="B362" s="85"/>
      <c r="C362" s="85"/>
      <c r="D362" s="85"/>
      <c r="E362" s="85"/>
      <c r="F362" s="85"/>
      <c r="G362" s="85"/>
      <c r="H362" s="85"/>
      <c r="I362" s="91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2.75" customHeight="1" spans="1:26">
      <c r="A363" s="85"/>
      <c r="B363" s="85"/>
      <c r="C363" s="85"/>
      <c r="D363" s="85"/>
      <c r="E363" s="85"/>
      <c r="F363" s="85"/>
      <c r="G363" s="85"/>
      <c r="H363" s="85"/>
      <c r="I363" s="91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2.75" customHeight="1" spans="1:26">
      <c r="A364" s="85"/>
      <c r="B364" s="85"/>
      <c r="C364" s="85"/>
      <c r="D364" s="85"/>
      <c r="E364" s="85"/>
      <c r="F364" s="85"/>
      <c r="G364" s="85"/>
      <c r="H364" s="85"/>
      <c r="I364" s="91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2.75" customHeight="1" spans="1:26">
      <c r="A365" s="85"/>
      <c r="B365" s="85"/>
      <c r="C365" s="85"/>
      <c r="D365" s="85"/>
      <c r="E365" s="85"/>
      <c r="F365" s="85"/>
      <c r="G365" s="85"/>
      <c r="H365" s="85"/>
      <c r="I365" s="91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2.75" customHeight="1" spans="1:26">
      <c r="A366" s="85"/>
      <c r="B366" s="85"/>
      <c r="C366" s="85"/>
      <c r="D366" s="85"/>
      <c r="E366" s="85"/>
      <c r="F366" s="85"/>
      <c r="G366" s="85"/>
      <c r="H366" s="85"/>
      <c r="I366" s="91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2.75" customHeight="1" spans="1:26">
      <c r="A367" s="85"/>
      <c r="B367" s="85"/>
      <c r="C367" s="85"/>
      <c r="D367" s="85"/>
      <c r="E367" s="85"/>
      <c r="F367" s="85"/>
      <c r="G367" s="85"/>
      <c r="H367" s="85"/>
      <c r="I367" s="91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2.75" customHeight="1" spans="1:26">
      <c r="A368" s="85"/>
      <c r="B368" s="85"/>
      <c r="C368" s="85"/>
      <c r="D368" s="85"/>
      <c r="E368" s="85"/>
      <c r="F368" s="85"/>
      <c r="G368" s="85"/>
      <c r="H368" s="85"/>
      <c r="I368" s="91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2.75" customHeight="1" spans="1:26">
      <c r="A369" s="85"/>
      <c r="B369" s="85"/>
      <c r="C369" s="85"/>
      <c r="D369" s="85"/>
      <c r="E369" s="85"/>
      <c r="F369" s="85"/>
      <c r="G369" s="85"/>
      <c r="H369" s="85"/>
      <c r="I369" s="91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2.75" customHeight="1" spans="1:26">
      <c r="A370" s="85"/>
      <c r="B370" s="85"/>
      <c r="C370" s="85"/>
      <c r="D370" s="85"/>
      <c r="E370" s="85"/>
      <c r="F370" s="85"/>
      <c r="G370" s="85"/>
      <c r="H370" s="85"/>
      <c r="I370" s="91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2.75" customHeight="1" spans="1:26">
      <c r="A371" s="85"/>
      <c r="B371" s="85"/>
      <c r="C371" s="85"/>
      <c r="D371" s="85"/>
      <c r="E371" s="85"/>
      <c r="F371" s="85"/>
      <c r="G371" s="85"/>
      <c r="H371" s="85"/>
      <c r="I371" s="91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2.75" customHeight="1" spans="1:26">
      <c r="A372" s="85"/>
      <c r="B372" s="85"/>
      <c r="C372" s="85"/>
      <c r="D372" s="85"/>
      <c r="E372" s="85"/>
      <c r="F372" s="85"/>
      <c r="G372" s="85"/>
      <c r="H372" s="85"/>
      <c r="I372" s="91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2.75" customHeight="1" spans="1:26">
      <c r="A373" s="85"/>
      <c r="B373" s="85"/>
      <c r="C373" s="85"/>
      <c r="D373" s="85"/>
      <c r="E373" s="85"/>
      <c r="F373" s="85"/>
      <c r="G373" s="85"/>
      <c r="H373" s="85"/>
      <c r="I373" s="91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2.75" customHeight="1" spans="1:26">
      <c r="A374" s="85"/>
      <c r="B374" s="85"/>
      <c r="C374" s="85"/>
      <c r="D374" s="85"/>
      <c r="E374" s="85"/>
      <c r="F374" s="85"/>
      <c r="G374" s="85"/>
      <c r="H374" s="85"/>
      <c r="I374" s="91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2.75" customHeight="1" spans="1:26">
      <c r="A375" s="85"/>
      <c r="B375" s="85"/>
      <c r="C375" s="85"/>
      <c r="D375" s="85"/>
      <c r="E375" s="85"/>
      <c r="F375" s="85"/>
      <c r="G375" s="85"/>
      <c r="H375" s="85"/>
      <c r="I375" s="91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2.75" customHeight="1" spans="1:26">
      <c r="A376" s="85"/>
      <c r="B376" s="85"/>
      <c r="C376" s="85"/>
      <c r="D376" s="85"/>
      <c r="E376" s="85"/>
      <c r="F376" s="85"/>
      <c r="G376" s="85"/>
      <c r="H376" s="85"/>
      <c r="I376" s="91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2.75" customHeight="1" spans="1:26">
      <c r="A377" s="85"/>
      <c r="B377" s="85"/>
      <c r="C377" s="85"/>
      <c r="D377" s="85"/>
      <c r="E377" s="85"/>
      <c r="F377" s="85"/>
      <c r="G377" s="85"/>
      <c r="H377" s="85"/>
      <c r="I377" s="91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2.75" customHeight="1" spans="1:26">
      <c r="A378" s="85"/>
      <c r="B378" s="85"/>
      <c r="C378" s="85"/>
      <c r="D378" s="85"/>
      <c r="E378" s="85"/>
      <c r="F378" s="85"/>
      <c r="G378" s="85"/>
      <c r="H378" s="85"/>
      <c r="I378" s="91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2.75" customHeight="1" spans="1:26">
      <c r="A379" s="85"/>
      <c r="B379" s="85"/>
      <c r="C379" s="85"/>
      <c r="D379" s="85"/>
      <c r="E379" s="85"/>
      <c r="F379" s="85"/>
      <c r="G379" s="85"/>
      <c r="H379" s="85"/>
      <c r="I379" s="91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2.75" customHeight="1" spans="1:26">
      <c r="A380" s="85"/>
      <c r="B380" s="85"/>
      <c r="C380" s="85"/>
      <c r="D380" s="85"/>
      <c r="E380" s="85"/>
      <c r="F380" s="85"/>
      <c r="G380" s="85"/>
      <c r="H380" s="85"/>
      <c r="I380" s="91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2.75" customHeight="1" spans="1:26">
      <c r="A381" s="85"/>
      <c r="B381" s="85"/>
      <c r="C381" s="85"/>
      <c r="D381" s="85"/>
      <c r="E381" s="85"/>
      <c r="F381" s="85"/>
      <c r="G381" s="85"/>
      <c r="H381" s="85"/>
      <c r="I381" s="91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2.75" customHeight="1" spans="1:26">
      <c r="A382" s="85"/>
      <c r="B382" s="85"/>
      <c r="C382" s="85"/>
      <c r="D382" s="85"/>
      <c r="E382" s="85"/>
      <c r="F382" s="85"/>
      <c r="G382" s="85"/>
      <c r="H382" s="85"/>
      <c r="I382" s="91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2.75" customHeight="1" spans="1:26">
      <c r="A383" s="85"/>
      <c r="B383" s="85"/>
      <c r="C383" s="85"/>
      <c r="D383" s="85"/>
      <c r="E383" s="85"/>
      <c r="F383" s="85"/>
      <c r="G383" s="85"/>
      <c r="H383" s="85"/>
      <c r="I383" s="91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2.75" customHeight="1" spans="1:26">
      <c r="A384" s="85"/>
      <c r="B384" s="85"/>
      <c r="C384" s="85"/>
      <c r="D384" s="85"/>
      <c r="E384" s="85"/>
      <c r="F384" s="85"/>
      <c r="G384" s="85"/>
      <c r="H384" s="85"/>
      <c r="I384" s="91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2.75" customHeight="1" spans="1:26">
      <c r="A385" s="85"/>
      <c r="B385" s="85"/>
      <c r="C385" s="85"/>
      <c r="D385" s="85"/>
      <c r="E385" s="85"/>
      <c r="F385" s="85"/>
      <c r="G385" s="85"/>
      <c r="H385" s="85"/>
      <c r="I385" s="91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2.75" customHeight="1" spans="1:26">
      <c r="A386" s="85"/>
      <c r="B386" s="85"/>
      <c r="C386" s="85"/>
      <c r="D386" s="85"/>
      <c r="E386" s="85"/>
      <c r="F386" s="85"/>
      <c r="G386" s="85"/>
      <c r="H386" s="85"/>
      <c r="I386" s="91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2.75" customHeight="1" spans="1:26">
      <c r="A387" s="85"/>
      <c r="B387" s="85"/>
      <c r="C387" s="85"/>
      <c r="D387" s="85"/>
      <c r="E387" s="85"/>
      <c r="F387" s="85"/>
      <c r="G387" s="85"/>
      <c r="H387" s="85"/>
      <c r="I387" s="91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2.75" customHeight="1" spans="1:26">
      <c r="A388" s="85"/>
      <c r="B388" s="85"/>
      <c r="C388" s="85"/>
      <c r="D388" s="85"/>
      <c r="E388" s="85"/>
      <c r="F388" s="85"/>
      <c r="G388" s="85"/>
      <c r="H388" s="85"/>
      <c r="I388" s="91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2.75" customHeight="1" spans="1:26">
      <c r="A389" s="85"/>
      <c r="B389" s="85"/>
      <c r="C389" s="85"/>
      <c r="D389" s="85"/>
      <c r="E389" s="85"/>
      <c r="F389" s="85"/>
      <c r="G389" s="85"/>
      <c r="H389" s="85"/>
      <c r="I389" s="91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2.75" customHeight="1" spans="1:26">
      <c r="A390" s="85"/>
      <c r="B390" s="85"/>
      <c r="C390" s="85"/>
      <c r="D390" s="85"/>
      <c r="E390" s="85"/>
      <c r="F390" s="85"/>
      <c r="G390" s="85"/>
      <c r="H390" s="85"/>
      <c r="I390" s="91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2.75" customHeight="1" spans="1:26">
      <c r="A391" s="85"/>
      <c r="B391" s="85"/>
      <c r="C391" s="85"/>
      <c r="D391" s="85"/>
      <c r="E391" s="85"/>
      <c r="F391" s="85"/>
      <c r="G391" s="85"/>
      <c r="H391" s="85"/>
      <c r="I391" s="91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2.75" customHeight="1" spans="1:26">
      <c r="A392" s="85"/>
      <c r="B392" s="85"/>
      <c r="C392" s="85"/>
      <c r="D392" s="85"/>
      <c r="E392" s="85"/>
      <c r="F392" s="85"/>
      <c r="G392" s="85"/>
      <c r="H392" s="85"/>
      <c r="I392" s="91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2.75" customHeight="1" spans="1:26">
      <c r="A393" s="85"/>
      <c r="B393" s="85"/>
      <c r="C393" s="85"/>
      <c r="D393" s="85"/>
      <c r="E393" s="85"/>
      <c r="F393" s="85"/>
      <c r="G393" s="85"/>
      <c r="H393" s="85"/>
      <c r="I393" s="91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2.75" customHeight="1" spans="1:26">
      <c r="A394" s="85"/>
      <c r="B394" s="85"/>
      <c r="C394" s="85"/>
      <c r="D394" s="85"/>
      <c r="E394" s="85"/>
      <c r="F394" s="85"/>
      <c r="G394" s="85"/>
      <c r="H394" s="85"/>
      <c r="I394" s="91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2.75" customHeight="1" spans="1:26">
      <c r="A395" s="85"/>
      <c r="B395" s="85"/>
      <c r="C395" s="85"/>
      <c r="D395" s="85"/>
      <c r="E395" s="85"/>
      <c r="F395" s="85"/>
      <c r="G395" s="85"/>
      <c r="H395" s="85"/>
      <c r="I395" s="91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2.75" customHeight="1" spans="1:26">
      <c r="A396" s="85"/>
      <c r="B396" s="85"/>
      <c r="C396" s="85"/>
      <c r="D396" s="85"/>
      <c r="E396" s="85"/>
      <c r="F396" s="85"/>
      <c r="G396" s="85"/>
      <c r="H396" s="85"/>
      <c r="I396" s="91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2.75" customHeight="1" spans="1:26">
      <c r="A397" s="85"/>
      <c r="B397" s="85"/>
      <c r="C397" s="85"/>
      <c r="D397" s="85"/>
      <c r="E397" s="85"/>
      <c r="F397" s="85"/>
      <c r="G397" s="85"/>
      <c r="H397" s="85"/>
      <c r="I397" s="91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2.75" customHeight="1" spans="1:26">
      <c r="A398" s="85"/>
      <c r="B398" s="85"/>
      <c r="C398" s="85"/>
      <c r="D398" s="85"/>
      <c r="E398" s="85"/>
      <c r="F398" s="85"/>
      <c r="G398" s="85"/>
      <c r="H398" s="85"/>
      <c r="I398" s="91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2.75" customHeight="1" spans="1:26">
      <c r="A399" s="85"/>
      <c r="B399" s="85"/>
      <c r="C399" s="85"/>
      <c r="D399" s="85"/>
      <c r="E399" s="85"/>
      <c r="F399" s="85"/>
      <c r="G399" s="85"/>
      <c r="H399" s="85"/>
      <c r="I399" s="91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2.75" customHeight="1" spans="1:26">
      <c r="A400" s="85"/>
      <c r="B400" s="85"/>
      <c r="C400" s="85"/>
      <c r="D400" s="85"/>
      <c r="E400" s="85"/>
      <c r="F400" s="85"/>
      <c r="G400" s="85"/>
      <c r="H400" s="85"/>
      <c r="I400" s="91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2.75" customHeight="1" spans="1:26">
      <c r="A401" s="85"/>
      <c r="B401" s="85"/>
      <c r="C401" s="85"/>
      <c r="D401" s="85"/>
      <c r="E401" s="85"/>
      <c r="F401" s="85"/>
      <c r="G401" s="85"/>
      <c r="H401" s="85"/>
      <c r="I401" s="91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2.75" customHeight="1" spans="1:26">
      <c r="A402" s="85"/>
      <c r="B402" s="85"/>
      <c r="C402" s="85"/>
      <c r="D402" s="85"/>
      <c r="E402" s="85"/>
      <c r="F402" s="85"/>
      <c r="G402" s="85"/>
      <c r="H402" s="85"/>
      <c r="I402" s="91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2.75" customHeight="1" spans="1:26">
      <c r="A403" s="85"/>
      <c r="B403" s="85"/>
      <c r="C403" s="85"/>
      <c r="D403" s="85"/>
      <c r="E403" s="85"/>
      <c r="F403" s="85"/>
      <c r="G403" s="85"/>
      <c r="H403" s="85"/>
      <c r="I403" s="91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2.75" customHeight="1" spans="1:26">
      <c r="A404" s="85"/>
      <c r="B404" s="85"/>
      <c r="C404" s="85"/>
      <c r="D404" s="85"/>
      <c r="E404" s="85"/>
      <c r="F404" s="85"/>
      <c r="G404" s="85"/>
      <c r="H404" s="85"/>
      <c r="I404" s="91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2.75" customHeight="1" spans="1:26">
      <c r="A405" s="85"/>
      <c r="B405" s="85"/>
      <c r="C405" s="85"/>
      <c r="D405" s="85"/>
      <c r="E405" s="85"/>
      <c r="F405" s="85"/>
      <c r="G405" s="85"/>
      <c r="H405" s="85"/>
      <c r="I405" s="91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2.75" customHeight="1" spans="1:26">
      <c r="A406" s="85"/>
      <c r="B406" s="85"/>
      <c r="C406" s="85"/>
      <c r="D406" s="85"/>
      <c r="E406" s="85"/>
      <c r="F406" s="85"/>
      <c r="G406" s="85"/>
      <c r="H406" s="85"/>
      <c r="I406" s="91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2.75" customHeight="1" spans="1:26">
      <c r="A407" s="85"/>
      <c r="B407" s="85"/>
      <c r="C407" s="85"/>
      <c r="D407" s="85"/>
      <c r="E407" s="85"/>
      <c r="F407" s="85"/>
      <c r="G407" s="85"/>
      <c r="H407" s="85"/>
      <c r="I407" s="91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2.75" customHeight="1" spans="1:26">
      <c r="A408" s="85"/>
      <c r="B408" s="85"/>
      <c r="C408" s="85"/>
      <c r="D408" s="85"/>
      <c r="E408" s="85"/>
      <c r="F408" s="85"/>
      <c r="G408" s="85"/>
      <c r="H408" s="85"/>
      <c r="I408" s="91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2.75" customHeight="1" spans="1:26">
      <c r="A409" s="85"/>
      <c r="B409" s="85"/>
      <c r="C409" s="85"/>
      <c r="D409" s="85"/>
      <c r="E409" s="85"/>
      <c r="F409" s="85"/>
      <c r="G409" s="85"/>
      <c r="H409" s="85"/>
      <c r="I409" s="91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2.75" customHeight="1" spans="1:26">
      <c r="A410" s="85"/>
      <c r="B410" s="85"/>
      <c r="C410" s="85"/>
      <c r="D410" s="85"/>
      <c r="E410" s="85"/>
      <c r="F410" s="85"/>
      <c r="G410" s="85"/>
      <c r="H410" s="85"/>
      <c r="I410" s="91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2.75" customHeight="1" spans="1:26">
      <c r="A411" s="85"/>
      <c r="B411" s="85"/>
      <c r="C411" s="85"/>
      <c r="D411" s="85"/>
      <c r="E411" s="85"/>
      <c r="F411" s="85"/>
      <c r="G411" s="85"/>
      <c r="H411" s="85"/>
      <c r="I411" s="91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2.75" customHeight="1" spans="1:26">
      <c r="A412" s="85"/>
      <c r="B412" s="85"/>
      <c r="C412" s="85"/>
      <c r="D412" s="85"/>
      <c r="E412" s="85"/>
      <c r="F412" s="85"/>
      <c r="G412" s="85"/>
      <c r="H412" s="85"/>
      <c r="I412" s="91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2.75" customHeight="1" spans="1:26">
      <c r="A413" s="85"/>
      <c r="B413" s="85"/>
      <c r="C413" s="85"/>
      <c r="D413" s="85"/>
      <c r="E413" s="85"/>
      <c r="F413" s="85"/>
      <c r="G413" s="85"/>
      <c r="H413" s="85"/>
      <c r="I413" s="91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2.75" customHeight="1" spans="1:26">
      <c r="A414" s="85"/>
      <c r="B414" s="85"/>
      <c r="C414" s="85"/>
      <c r="D414" s="85"/>
      <c r="E414" s="85"/>
      <c r="F414" s="85"/>
      <c r="G414" s="85"/>
      <c r="H414" s="85"/>
      <c r="I414" s="91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2.75" customHeight="1" spans="1:26">
      <c r="A415" s="85"/>
      <c r="B415" s="85"/>
      <c r="C415" s="85"/>
      <c r="D415" s="85"/>
      <c r="E415" s="85"/>
      <c r="F415" s="85"/>
      <c r="G415" s="85"/>
      <c r="H415" s="85"/>
      <c r="I415" s="91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2.75" customHeight="1" spans="1:26">
      <c r="A416" s="85"/>
      <c r="B416" s="85"/>
      <c r="C416" s="85"/>
      <c r="D416" s="85"/>
      <c r="E416" s="85"/>
      <c r="F416" s="85"/>
      <c r="G416" s="85"/>
      <c r="H416" s="85"/>
      <c r="I416" s="91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2.75" customHeight="1" spans="1:26">
      <c r="A417" s="85"/>
      <c r="B417" s="85"/>
      <c r="C417" s="85"/>
      <c r="D417" s="85"/>
      <c r="E417" s="85"/>
      <c r="F417" s="85"/>
      <c r="G417" s="85"/>
      <c r="H417" s="85"/>
      <c r="I417" s="91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2.75" customHeight="1" spans="1:26">
      <c r="A418" s="85"/>
      <c r="B418" s="85"/>
      <c r="C418" s="85"/>
      <c r="D418" s="85"/>
      <c r="E418" s="85"/>
      <c r="F418" s="85"/>
      <c r="G418" s="85"/>
      <c r="H418" s="85"/>
      <c r="I418" s="91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2.75" customHeight="1" spans="1:26">
      <c r="A419" s="85"/>
      <c r="B419" s="85"/>
      <c r="C419" s="85"/>
      <c r="D419" s="85"/>
      <c r="E419" s="85"/>
      <c r="F419" s="85"/>
      <c r="G419" s="85"/>
      <c r="H419" s="85"/>
      <c r="I419" s="91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2.75" customHeight="1" spans="1:26">
      <c r="A420" s="85"/>
      <c r="B420" s="85"/>
      <c r="C420" s="85"/>
      <c r="D420" s="85"/>
      <c r="E420" s="85"/>
      <c r="F420" s="85"/>
      <c r="G420" s="85"/>
      <c r="H420" s="85"/>
      <c r="I420" s="91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2.75" customHeight="1" spans="1:26">
      <c r="A421" s="85"/>
      <c r="B421" s="85"/>
      <c r="C421" s="85"/>
      <c r="D421" s="85"/>
      <c r="E421" s="85"/>
      <c r="F421" s="85"/>
      <c r="G421" s="85"/>
      <c r="H421" s="85"/>
      <c r="I421" s="91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2.75" customHeight="1" spans="1:26">
      <c r="A422" s="85"/>
      <c r="B422" s="85"/>
      <c r="C422" s="85"/>
      <c r="D422" s="85"/>
      <c r="E422" s="85"/>
      <c r="F422" s="85"/>
      <c r="G422" s="85"/>
      <c r="H422" s="85"/>
      <c r="I422" s="91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2.75" customHeight="1" spans="1:26">
      <c r="A423" s="85"/>
      <c r="B423" s="85"/>
      <c r="C423" s="85"/>
      <c r="D423" s="85"/>
      <c r="E423" s="85"/>
      <c r="F423" s="85"/>
      <c r="G423" s="85"/>
      <c r="H423" s="85"/>
      <c r="I423" s="91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2.75" customHeight="1" spans="1:26">
      <c r="A424" s="85"/>
      <c r="B424" s="85"/>
      <c r="C424" s="85"/>
      <c r="D424" s="85"/>
      <c r="E424" s="85"/>
      <c r="F424" s="85"/>
      <c r="G424" s="85"/>
      <c r="H424" s="85"/>
      <c r="I424" s="91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2.75" customHeight="1" spans="1:26">
      <c r="A425" s="85"/>
      <c r="B425" s="85"/>
      <c r="C425" s="85"/>
      <c r="D425" s="85"/>
      <c r="E425" s="85"/>
      <c r="F425" s="85"/>
      <c r="G425" s="85"/>
      <c r="H425" s="85"/>
      <c r="I425" s="91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2.75" customHeight="1" spans="1:26">
      <c r="A426" s="85"/>
      <c r="B426" s="85"/>
      <c r="C426" s="85"/>
      <c r="D426" s="85"/>
      <c r="E426" s="85"/>
      <c r="F426" s="85"/>
      <c r="G426" s="85"/>
      <c r="H426" s="85"/>
      <c r="I426" s="91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2.75" customHeight="1" spans="1:26">
      <c r="A427" s="85"/>
      <c r="B427" s="85"/>
      <c r="C427" s="85"/>
      <c r="D427" s="85"/>
      <c r="E427" s="85"/>
      <c r="F427" s="85"/>
      <c r="G427" s="85"/>
      <c r="H427" s="85"/>
      <c r="I427" s="91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2.75" customHeight="1" spans="1:26">
      <c r="A428" s="85"/>
      <c r="B428" s="85"/>
      <c r="C428" s="85"/>
      <c r="D428" s="85"/>
      <c r="E428" s="85"/>
      <c r="F428" s="85"/>
      <c r="G428" s="85"/>
      <c r="H428" s="85"/>
      <c r="I428" s="91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2.75" customHeight="1" spans="1:26">
      <c r="A429" s="85"/>
      <c r="B429" s="85"/>
      <c r="C429" s="85"/>
      <c r="D429" s="85"/>
      <c r="E429" s="85"/>
      <c r="F429" s="85"/>
      <c r="G429" s="85"/>
      <c r="H429" s="85"/>
      <c r="I429" s="91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2.75" customHeight="1" spans="1:26">
      <c r="A430" s="85"/>
      <c r="B430" s="85"/>
      <c r="C430" s="85"/>
      <c r="D430" s="85"/>
      <c r="E430" s="85"/>
      <c r="F430" s="85"/>
      <c r="G430" s="85"/>
      <c r="H430" s="85"/>
      <c r="I430" s="91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2.75" customHeight="1" spans="1:26">
      <c r="A431" s="85"/>
      <c r="B431" s="85"/>
      <c r="C431" s="85"/>
      <c r="D431" s="85"/>
      <c r="E431" s="85"/>
      <c r="F431" s="85"/>
      <c r="G431" s="85"/>
      <c r="H431" s="85"/>
      <c r="I431" s="91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2.75" customHeight="1" spans="1:26">
      <c r="A432" s="85"/>
      <c r="B432" s="85"/>
      <c r="C432" s="85"/>
      <c r="D432" s="85"/>
      <c r="E432" s="85"/>
      <c r="F432" s="85"/>
      <c r="G432" s="85"/>
      <c r="H432" s="85"/>
      <c r="I432" s="91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2.75" customHeight="1" spans="1:26">
      <c r="A433" s="85"/>
      <c r="B433" s="85"/>
      <c r="C433" s="85"/>
      <c r="D433" s="85"/>
      <c r="E433" s="85"/>
      <c r="F433" s="85"/>
      <c r="G433" s="85"/>
      <c r="H433" s="85"/>
      <c r="I433" s="91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2.75" customHeight="1" spans="1:26">
      <c r="A434" s="85"/>
      <c r="B434" s="85"/>
      <c r="C434" s="85"/>
      <c r="D434" s="85"/>
      <c r="E434" s="85"/>
      <c r="F434" s="85"/>
      <c r="G434" s="85"/>
      <c r="H434" s="85"/>
      <c r="I434" s="91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2.75" customHeight="1" spans="1:26">
      <c r="A435" s="85"/>
      <c r="B435" s="85"/>
      <c r="C435" s="85"/>
      <c r="D435" s="85"/>
      <c r="E435" s="85"/>
      <c r="F435" s="85"/>
      <c r="G435" s="85"/>
      <c r="H435" s="85"/>
      <c r="I435" s="91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2.75" customHeight="1" spans="1:26">
      <c r="A436" s="85"/>
      <c r="B436" s="85"/>
      <c r="C436" s="85"/>
      <c r="D436" s="85"/>
      <c r="E436" s="85"/>
      <c r="F436" s="85"/>
      <c r="G436" s="85"/>
      <c r="H436" s="85"/>
      <c r="I436" s="91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2.75" customHeight="1" spans="1:26">
      <c r="A437" s="85"/>
      <c r="B437" s="85"/>
      <c r="C437" s="85"/>
      <c r="D437" s="85"/>
      <c r="E437" s="85"/>
      <c r="F437" s="85"/>
      <c r="G437" s="85"/>
      <c r="H437" s="85"/>
      <c r="I437" s="91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2.75" customHeight="1" spans="1:26">
      <c r="A438" s="85"/>
      <c r="B438" s="85"/>
      <c r="C438" s="85"/>
      <c r="D438" s="85"/>
      <c r="E438" s="85"/>
      <c r="F438" s="85"/>
      <c r="G438" s="85"/>
      <c r="H438" s="85"/>
      <c r="I438" s="91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2.75" customHeight="1" spans="1:26">
      <c r="A439" s="85"/>
      <c r="B439" s="85"/>
      <c r="C439" s="85"/>
      <c r="D439" s="85"/>
      <c r="E439" s="85"/>
      <c r="F439" s="85"/>
      <c r="G439" s="85"/>
      <c r="H439" s="85"/>
      <c r="I439" s="91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2.75" customHeight="1" spans="1:26">
      <c r="A440" s="85"/>
      <c r="B440" s="85"/>
      <c r="C440" s="85"/>
      <c r="D440" s="85"/>
      <c r="E440" s="85"/>
      <c r="F440" s="85"/>
      <c r="G440" s="85"/>
      <c r="H440" s="85"/>
      <c r="I440" s="91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2.75" customHeight="1" spans="1:26">
      <c r="A441" s="85"/>
      <c r="B441" s="85"/>
      <c r="C441" s="85"/>
      <c r="D441" s="85"/>
      <c r="E441" s="85"/>
      <c r="F441" s="85"/>
      <c r="G441" s="85"/>
      <c r="H441" s="85"/>
      <c r="I441" s="91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2.75" customHeight="1" spans="1:26">
      <c r="A442" s="85"/>
      <c r="B442" s="85"/>
      <c r="C442" s="85"/>
      <c r="D442" s="85"/>
      <c r="E442" s="85"/>
      <c r="F442" s="85"/>
      <c r="G442" s="85"/>
      <c r="H442" s="85"/>
      <c r="I442" s="91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2.75" customHeight="1" spans="1:26">
      <c r="A443" s="85"/>
      <c r="B443" s="85"/>
      <c r="C443" s="85"/>
      <c r="D443" s="85"/>
      <c r="E443" s="85"/>
      <c r="F443" s="85"/>
      <c r="G443" s="85"/>
      <c r="H443" s="85"/>
      <c r="I443" s="91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2.75" customHeight="1" spans="1:26">
      <c r="A444" s="85"/>
      <c r="B444" s="85"/>
      <c r="C444" s="85"/>
      <c r="D444" s="85"/>
      <c r="E444" s="85"/>
      <c r="F444" s="85"/>
      <c r="G444" s="85"/>
      <c r="H444" s="85"/>
      <c r="I444" s="91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2.75" customHeight="1" spans="1:26">
      <c r="A445" s="85"/>
      <c r="B445" s="85"/>
      <c r="C445" s="85"/>
      <c r="D445" s="85"/>
      <c r="E445" s="85"/>
      <c r="F445" s="85"/>
      <c r="G445" s="85"/>
      <c r="H445" s="85"/>
      <c r="I445" s="91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2.75" customHeight="1" spans="1:26">
      <c r="A446" s="85"/>
      <c r="B446" s="85"/>
      <c r="C446" s="85"/>
      <c r="D446" s="85"/>
      <c r="E446" s="85"/>
      <c r="F446" s="85"/>
      <c r="G446" s="85"/>
      <c r="H446" s="85"/>
      <c r="I446" s="91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2.75" customHeight="1" spans="1:26">
      <c r="A447" s="85"/>
      <c r="B447" s="85"/>
      <c r="C447" s="85"/>
      <c r="D447" s="85"/>
      <c r="E447" s="85"/>
      <c r="F447" s="85"/>
      <c r="G447" s="85"/>
      <c r="H447" s="85"/>
      <c r="I447" s="91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2.75" customHeight="1" spans="1:26">
      <c r="A448" s="85"/>
      <c r="B448" s="85"/>
      <c r="C448" s="85"/>
      <c r="D448" s="85"/>
      <c r="E448" s="85"/>
      <c r="F448" s="85"/>
      <c r="G448" s="85"/>
      <c r="H448" s="85"/>
      <c r="I448" s="91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2.75" customHeight="1" spans="1:26">
      <c r="A449" s="85"/>
      <c r="B449" s="85"/>
      <c r="C449" s="85"/>
      <c r="D449" s="85"/>
      <c r="E449" s="85"/>
      <c r="F449" s="85"/>
      <c r="G449" s="85"/>
      <c r="H449" s="85"/>
      <c r="I449" s="91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2.75" customHeight="1" spans="1:26">
      <c r="A450" s="85"/>
      <c r="B450" s="85"/>
      <c r="C450" s="85"/>
      <c r="D450" s="85"/>
      <c r="E450" s="85"/>
      <c r="F450" s="85"/>
      <c r="G450" s="85"/>
      <c r="H450" s="85"/>
      <c r="I450" s="91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2.75" customHeight="1" spans="1:26">
      <c r="A451" s="85"/>
      <c r="B451" s="85"/>
      <c r="C451" s="85"/>
      <c r="D451" s="85"/>
      <c r="E451" s="85"/>
      <c r="F451" s="85"/>
      <c r="G451" s="85"/>
      <c r="H451" s="85"/>
      <c r="I451" s="91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2.75" customHeight="1" spans="1:26">
      <c r="A452" s="85"/>
      <c r="B452" s="85"/>
      <c r="C452" s="85"/>
      <c r="D452" s="85"/>
      <c r="E452" s="85"/>
      <c r="F452" s="85"/>
      <c r="G452" s="85"/>
      <c r="H452" s="85"/>
      <c r="I452" s="91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2.75" customHeight="1" spans="1:26">
      <c r="A453" s="85"/>
      <c r="B453" s="85"/>
      <c r="C453" s="85"/>
      <c r="D453" s="85"/>
      <c r="E453" s="85"/>
      <c r="F453" s="85"/>
      <c r="G453" s="85"/>
      <c r="H453" s="85"/>
      <c r="I453" s="91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2.75" customHeight="1" spans="1:26">
      <c r="A454" s="85"/>
      <c r="B454" s="85"/>
      <c r="C454" s="85"/>
      <c r="D454" s="85"/>
      <c r="E454" s="85"/>
      <c r="F454" s="85"/>
      <c r="G454" s="85"/>
      <c r="H454" s="85"/>
      <c r="I454" s="91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2.75" customHeight="1" spans="1:26">
      <c r="A455" s="85"/>
      <c r="B455" s="85"/>
      <c r="C455" s="85"/>
      <c r="D455" s="85"/>
      <c r="E455" s="85"/>
      <c r="F455" s="85"/>
      <c r="G455" s="85"/>
      <c r="H455" s="85"/>
      <c r="I455" s="91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2.75" customHeight="1" spans="1:26">
      <c r="A456" s="85"/>
      <c r="B456" s="85"/>
      <c r="C456" s="85"/>
      <c r="D456" s="85"/>
      <c r="E456" s="85"/>
      <c r="F456" s="85"/>
      <c r="G456" s="85"/>
      <c r="H456" s="85"/>
      <c r="I456" s="91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2.75" customHeight="1" spans="1:26">
      <c r="A457" s="85"/>
      <c r="B457" s="85"/>
      <c r="C457" s="85"/>
      <c r="D457" s="85"/>
      <c r="E457" s="85"/>
      <c r="F457" s="85"/>
      <c r="G457" s="85"/>
      <c r="H457" s="85"/>
      <c r="I457" s="91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2.75" customHeight="1" spans="1:26">
      <c r="A458" s="85"/>
      <c r="B458" s="85"/>
      <c r="C458" s="85"/>
      <c r="D458" s="85"/>
      <c r="E458" s="85"/>
      <c r="F458" s="85"/>
      <c r="G458" s="85"/>
      <c r="H458" s="85"/>
      <c r="I458" s="91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2.75" customHeight="1" spans="1:26">
      <c r="A459" s="85"/>
      <c r="B459" s="85"/>
      <c r="C459" s="85"/>
      <c r="D459" s="85"/>
      <c r="E459" s="85"/>
      <c r="F459" s="85"/>
      <c r="G459" s="85"/>
      <c r="H459" s="85"/>
      <c r="I459" s="91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2.75" customHeight="1" spans="1:26">
      <c r="A460" s="85"/>
      <c r="B460" s="85"/>
      <c r="C460" s="85"/>
      <c r="D460" s="85"/>
      <c r="E460" s="85"/>
      <c r="F460" s="85"/>
      <c r="G460" s="85"/>
      <c r="H460" s="85"/>
      <c r="I460" s="91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2.75" customHeight="1" spans="1:26">
      <c r="A461" s="85"/>
      <c r="B461" s="85"/>
      <c r="C461" s="85"/>
      <c r="D461" s="85"/>
      <c r="E461" s="85"/>
      <c r="F461" s="85"/>
      <c r="G461" s="85"/>
      <c r="H461" s="85"/>
      <c r="I461" s="91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2.75" customHeight="1" spans="1:26">
      <c r="A462" s="85"/>
      <c r="B462" s="85"/>
      <c r="C462" s="85"/>
      <c r="D462" s="85"/>
      <c r="E462" s="85"/>
      <c r="F462" s="85"/>
      <c r="G462" s="85"/>
      <c r="H462" s="85"/>
      <c r="I462" s="91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2.75" customHeight="1" spans="1:26">
      <c r="A463" s="85"/>
      <c r="B463" s="85"/>
      <c r="C463" s="85"/>
      <c r="D463" s="85"/>
      <c r="E463" s="85"/>
      <c r="F463" s="85"/>
      <c r="G463" s="85"/>
      <c r="H463" s="85"/>
      <c r="I463" s="91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2.75" customHeight="1" spans="1:26">
      <c r="A464" s="85"/>
      <c r="B464" s="85"/>
      <c r="C464" s="85"/>
      <c r="D464" s="85"/>
      <c r="E464" s="85"/>
      <c r="F464" s="85"/>
      <c r="G464" s="85"/>
      <c r="H464" s="85"/>
      <c r="I464" s="91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2.75" customHeight="1" spans="1:26">
      <c r="A465" s="85"/>
      <c r="B465" s="85"/>
      <c r="C465" s="85"/>
      <c r="D465" s="85"/>
      <c r="E465" s="85"/>
      <c r="F465" s="85"/>
      <c r="G465" s="85"/>
      <c r="H465" s="85"/>
      <c r="I465" s="91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2.75" customHeight="1" spans="1:26">
      <c r="A466" s="85"/>
      <c r="B466" s="85"/>
      <c r="C466" s="85"/>
      <c r="D466" s="85"/>
      <c r="E466" s="85"/>
      <c r="F466" s="85"/>
      <c r="G466" s="85"/>
      <c r="H466" s="85"/>
      <c r="I466" s="91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2.75" customHeight="1" spans="1:26">
      <c r="A467" s="85"/>
      <c r="B467" s="85"/>
      <c r="C467" s="85"/>
      <c r="D467" s="85"/>
      <c r="E467" s="85"/>
      <c r="F467" s="85"/>
      <c r="G467" s="85"/>
      <c r="H467" s="85"/>
      <c r="I467" s="91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2.75" customHeight="1" spans="1:26">
      <c r="A468" s="85"/>
      <c r="B468" s="85"/>
      <c r="C468" s="85"/>
      <c r="D468" s="85"/>
      <c r="E468" s="85"/>
      <c r="F468" s="85"/>
      <c r="G468" s="85"/>
      <c r="H468" s="85"/>
      <c r="I468" s="91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2.75" customHeight="1" spans="1:26">
      <c r="A469" s="85"/>
      <c r="B469" s="85"/>
      <c r="C469" s="85"/>
      <c r="D469" s="85"/>
      <c r="E469" s="85"/>
      <c r="F469" s="85"/>
      <c r="G469" s="85"/>
      <c r="H469" s="85"/>
      <c r="I469" s="91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2.75" customHeight="1" spans="1:26">
      <c r="A470" s="85"/>
      <c r="B470" s="85"/>
      <c r="C470" s="85"/>
      <c r="D470" s="85"/>
      <c r="E470" s="85"/>
      <c r="F470" s="85"/>
      <c r="G470" s="85"/>
      <c r="H470" s="85"/>
      <c r="I470" s="91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2.75" customHeight="1" spans="1:26">
      <c r="A471" s="85"/>
      <c r="B471" s="85"/>
      <c r="C471" s="85"/>
      <c r="D471" s="85"/>
      <c r="E471" s="85"/>
      <c r="F471" s="85"/>
      <c r="G471" s="85"/>
      <c r="H471" s="85"/>
      <c r="I471" s="91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2.75" customHeight="1" spans="1:26">
      <c r="A472" s="85"/>
      <c r="B472" s="85"/>
      <c r="C472" s="85"/>
      <c r="D472" s="85"/>
      <c r="E472" s="85"/>
      <c r="F472" s="85"/>
      <c r="G472" s="85"/>
      <c r="H472" s="85"/>
      <c r="I472" s="91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2.75" customHeight="1" spans="1:26">
      <c r="A473" s="85"/>
      <c r="B473" s="85"/>
      <c r="C473" s="85"/>
      <c r="D473" s="85"/>
      <c r="E473" s="85"/>
      <c r="F473" s="85"/>
      <c r="G473" s="85"/>
      <c r="H473" s="85"/>
      <c r="I473" s="91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2.75" customHeight="1" spans="1:26">
      <c r="A474" s="85"/>
      <c r="B474" s="85"/>
      <c r="C474" s="85"/>
      <c r="D474" s="85"/>
      <c r="E474" s="85"/>
      <c r="F474" s="85"/>
      <c r="G474" s="85"/>
      <c r="H474" s="85"/>
      <c r="I474" s="91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2.75" customHeight="1" spans="1:26">
      <c r="A475" s="85"/>
      <c r="B475" s="85"/>
      <c r="C475" s="85"/>
      <c r="D475" s="85"/>
      <c r="E475" s="85"/>
      <c r="F475" s="85"/>
      <c r="G475" s="85"/>
      <c r="H475" s="85"/>
      <c r="I475" s="91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2.75" customHeight="1" spans="1:26">
      <c r="A476" s="85"/>
      <c r="B476" s="85"/>
      <c r="C476" s="85"/>
      <c r="D476" s="85"/>
      <c r="E476" s="85"/>
      <c r="F476" s="85"/>
      <c r="G476" s="85"/>
      <c r="H476" s="85"/>
      <c r="I476" s="91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2.75" customHeight="1" spans="1:26">
      <c r="A477" s="85"/>
      <c r="B477" s="85"/>
      <c r="C477" s="85"/>
      <c r="D477" s="85"/>
      <c r="E477" s="85"/>
      <c r="F477" s="85"/>
      <c r="G477" s="85"/>
      <c r="H477" s="85"/>
      <c r="I477" s="91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2.75" customHeight="1" spans="1:26">
      <c r="A478" s="85"/>
      <c r="B478" s="85"/>
      <c r="C478" s="85"/>
      <c r="D478" s="85"/>
      <c r="E478" s="85"/>
      <c r="F478" s="85"/>
      <c r="G478" s="85"/>
      <c r="H478" s="85"/>
      <c r="I478" s="91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2.75" customHeight="1" spans="1:26">
      <c r="A479" s="85"/>
      <c r="B479" s="85"/>
      <c r="C479" s="85"/>
      <c r="D479" s="85"/>
      <c r="E479" s="85"/>
      <c r="F479" s="85"/>
      <c r="G479" s="85"/>
      <c r="H479" s="85"/>
      <c r="I479" s="91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2.75" customHeight="1" spans="1:26">
      <c r="A480" s="85"/>
      <c r="B480" s="85"/>
      <c r="C480" s="85"/>
      <c r="D480" s="85"/>
      <c r="E480" s="85"/>
      <c r="F480" s="85"/>
      <c r="G480" s="85"/>
      <c r="H480" s="85"/>
      <c r="I480" s="91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2.75" customHeight="1" spans="1:26">
      <c r="A481" s="85"/>
      <c r="B481" s="85"/>
      <c r="C481" s="85"/>
      <c r="D481" s="85"/>
      <c r="E481" s="85"/>
      <c r="F481" s="85"/>
      <c r="G481" s="85"/>
      <c r="H481" s="85"/>
      <c r="I481" s="91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2.75" customHeight="1" spans="1:26">
      <c r="A482" s="85"/>
      <c r="B482" s="85"/>
      <c r="C482" s="85"/>
      <c r="D482" s="85"/>
      <c r="E482" s="85"/>
      <c r="F482" s="85"/>
      <c r="G482" s="85"/>
      <c r="H482" s="85"/>
      <c r="I482" s="91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2.75" customHeight="1" spans="1:26">
      <c r="A483" s="85"/>
      <c r="B483" s="85"/>
      <c r="C483" s="85"/>
      <c r="D483" s="85"/>
      <c r="E483" s="85"/>
      <c r="F483" s="85"/>
      <c r="G483" s="85"/>
      <c r="H483" s="85"/>
      <c r="I483" s="91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2.75" customHeight="1" spans="1:26">
      <c r="A484" s="85"/>
      <c r="B484" s="85"/>
      <c r="C484" s="85"/>
      <c r="D484" s="85"/>
      <c r="E484" s="85"/>
      <c r="F484" s="85"/>
      <c r="G484" s="85"/>
      <c r="H484" s="85"/>
      <c r="I484" s="91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2.75" customHeight="1" spans="1:26">
      <c r="A485" s="85"/>
      <c r="B485" s="85"/>
      <c r="C485" s="85"/>
      <c r="D485" s="85"/>
      <c r="E485" s="85"/>
      <c r="F485" s="85"/>
      <c r="G485" s="85"/>
      <c r="H485" s="85"/>
      <c r="I485" s="91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2.75" customHeight="1" spans="1:26">
      <c r="A486" s="85"/>
      <c r="B486" s="85"/>
      <c r="C486" s="85"/>
      <c r="D486" s="85"/>
      <c r="E486" s="85"/>
      <c r="F486" s="85"/>
      <c r="G486" s="85"/>
      <c r="H486" s="85"/>
      <c r="I486" s="91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2.75" customHeight="1" spans="1:26">
      <c r="A487" s="85"/>
      <c r="B487" s="85"/>
      <c r="C487" s="85"/>
      <c r="D487" s="85"/>
      <c r="E487" s="85"/>
      <c r="F487" s="85"/>
      <c r="G487" s="85"/>
      <c r="H487" s="85"/>
      <c r="I487" s="91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2.75" customHeight="1" spans="1:26">
      <c r="A488" s="85"/>
      <c r="B488" s="85"/>
      <c r="C488" s="85"/>
      <c r="D488" s="85"/>
      <c r="E488" s="85"/>
      <c r="F488" s="85"/>
      <c r="G488" s="85"/>
      <c r="H488" s="85"/>
      <c r="I488" s="91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2.75" customHeight="1" spans="1:26">
      <c r="A489" s="85"/>
      <c r="B489" s="85"/>
      <c r="C489" s="85"/>
      <c r="D489" s="85"/>
      <c r="E489" s="85"/>
      <c r="F489" s="85"/>
      <c r="G489" s="85"/>
      <c r="H489" s="85"/>
      <c r="I489" s="91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2.75" customHeight="1" spans="1:26">
      <c r="A490" s="85"/>
      <c r="B490" s="85"/>
      <c r="C490" s="85"/>
      <c r="D490" s="85"/>
      <c r="E490" s="85"/>
      <c r="F490" s="85"/>
      <c r="G490" s="85"/>
      <c r="H490" s="85"/>
      <c r="I490" s="91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2.75" customHeight="1" spans="1:26">
      <c r="A491" s="85"/>
      <c r="B491" s="85"/>
      <c r="C491" s="85"/>
      <c r="D491" s="85"/>
      <c r="E491" s="85"/>
      <c r="F491" s="85"/>
      <c r="G491" s="85"/>
      <c r="H491" s="85"/>
      <c r="I491" s="91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2.75" customHeight="1" spans="1:26">
      <c r="A492" s="85"/>
      <c r="B492" s="85"/>
      <c r="C492" s="85"/>
      <c r="D492" s="85"/>
      <c r="E492" s="85"/>
      <c r="F492" s="85"/>
      <c r="G492" s="85"/>
      <c r="H492" s="85"/>
      <c r="I492" s="91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2.75" customHeight="1" spans="1:26">
      <c r="A493" s="85"/>
      <c r="B493" s="85"/>
      <c r="C493" s="85"/>
      <c r="D493" s="85"/>
      <c r="E493" s="85"/>
      <c r="F493" s="85"/>
      <c r="G493" s="85"/>
      <c r="H493" s="85"/>
      <c r="I493" s="91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2.75" customHeight="1" spans="1:26">
      <c r="A494" s="85"/>
      <c r="B494" s="85"/>
      <c r="C494" s="85"/>
      <c r="D494" s="85"/>
      <c r="E494" s="85"/>
      <c r="F494" s="85"/>
      <c r="G494" s="85"/>
      <c r="H494" s="85"/>
      <c r="I494" s="91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2.75" customHeight="1" spans="1:26">
      <c r="A495" s="85"/>
      <c r="B495" s="85"/>
      <c r="C495" s="85"/>
      <c r="D495" s="85"/>
      <c r="E495" s="85"/>
      <c r="F495" s="85"/>
      <c r="G495" s="85"/>
      <c r="H495" s="85"/>
      <c r="I495" s="91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2.75" customHeight="1" spans="1:26">
      <c r="A496" s="85"/>
      <c r="B496" s="85"/>
      <c r="C496" s="85"/>
      <c r="D496" s="85"/>
      <c r="E496" s="85"/>
      <c r="F496" s="85"/>
      <c r="G496" s="85"/>
      <c r="H496" s="85"/>
      <c r="I496" s="91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2.75" customHeight="1" spans="1:26">
      <c r="A497" s="85"/>
      <c r="B497" s="85"/>
      <c r="C497" s="85"/>
      <c r="D497" s="85"/>
      <c r="E497" s="85"/>
      <c r="F497" s="85"/>
      <c r="G497" s="85"/>
      <c r="H497" s="85"/>
      <c r="I497" s="91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2.75" customHeight="1" spans="1:26">
      <c r="A498" s="85"/>
      <c r="B498" s="85"/>
      <c r="C498" s="85"/>
      <c r="D498" s="85"/>
      <c r="E498" s="85"/>
      <c r="F498" s="85"/>
      <c r="G498" s="85"/>
      <c r="H498" s="85"/>
      <c r="I498" s="91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2.75" customHeight="1" spans="1:26">
      <c r="A499" s="85"/>
      <c r="B499" s="85"/>
      <c r="C499" s="85"/>
      <c r="D499" s="85"/>
      <c r="E499" s="85"/>
      <c r="F499" s="85"/>
      <c r="G499" s="85"/>
      <c r="H499" s="85"/>
      <c r="I499" s="91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2.75" customHeight="1" spans="1:26">
      <c r="A500" s="85"/>
      <c r="B500" s="85"/>
      <c r="C500" s="85"/>
      <c r="D500" s="85"/>
      <c r="E500" s="85"/>
      <c r="F500" s="85"/>
      <c r="G500" s="85"/>
      <c r="H500" s="85"/>
      <c r="I500" s="91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2.75" customHeight="1" spans="1:26">
      <c r="A501" s="85"/>
      <c r="B501" s="85"/>
      <c r="C501" s="85"/>
      <c r="D501" s="85"/>
      <c r="E501" s="85"/>
      <c r="F501" s="85"/>
      <c r="G501" s="85"/>
      <c r="H501" s="85"/>
      <c r="I501" s="91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2.75" customHeight="1" spans="1:26">
      <c r="A502" s="85"/>
      <c r="B502" s="85"/>
      <c r="C502" s="85"/>
      <c r="D502" s="85"/>
      <c r="E502" s="85"/>
      <c r="F502" s="85"/>
      <c r="G502" s="85"/>
      <c r="H502" s="85"/>
      <c r="I502" s="91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2.75" customHeight="1" spans="1:26">
      <c r="A503" s="85"/>
      <c r="B503" s="85"/>
      <c r="C503" s="85"/>
      <c r="D503" s="85"/>
      <c r="E503" s="85"/>
      <c r="F503" s="85"/>
      <c r="G503" s="85"/>
      <c r="H503" s="85"/>
      <c r="I503" s="91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2.75" customHeight="1" spans="1:26">
      <c r="A504" s="85"/>
      <c r="B504" s="85"/>
      <c r="C504" s="85"/>
      <c r="D504" s="85"/>
      <c r="E504" s="85"/>
      <c r="F504" s="85"/>
      <c r="G504" s="85"/>
      <c r="H504" s="85"/>
      <c r="I504" s="91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2.75" customHeight="1" spans="1:26">
      <c r="A505" s="85"/>
      <c r="B505" s="85"/>
      <c r="C505" s="85"/>
      <c r="D505" s="85"/>
      <c r="E505" s="85"/>
      <c r="F505" s="85"/>
      <c r="G505" s="85"/>
      <c r="H505" s="85"/>
      <c r="I505" s="91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2.75" customHeight="1" spans="1:26">
      <c r="A506" s="85"/>
      <c r="B506" s="85"/>
      <c r="C506" s="85"/>
      <c r="D506" s="85"/>
      <c r="E506" s="85"/>
      <c r="F506" s="85"/>
      <c r="G506" s="85"/>
      <c r="H506" s="85"/>
      <c r="I506" s="91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2.75" customHeight="1" spans="1:26">
      <c r="A507" s="85"/>
      <c r="B507" s="85"/>
      <c r="C507" s="85"/>
      <c r="D507" s="85"/>
      <c r="E507" s="85"/>
      <c r="F507" s="85"/>
      <c r="G507" s="85"/>
      <c r="H507" s="85"/>
      <c r="I507" s="91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2.75" customHeight="1" spans="1:26">
      <c r="A508" s="85"/>
      <c r="B508" s="85"/>
      <c r="C508" s="85"/>
      <c r="D508" s="85"/>
      <c r="E508" s="85"/>
      <c r="F508" s="85"/>
      <c r="G508" s="85"/>
      <c r="H508" s="85"/>
      <c r="I508" s="91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2.75" customHeight="1" spans="1:26">
      <c r="A509" s="85"/>
      <c r="B509" s="85"/>
      <c r="C509" s="85"/>
      <c r="D509" s="85"/>
      <c r="E509" s="85"/>
      <c r="F509" s="85"/>
      <c r="G509" s="85"/>
      <c r="H509" s="85"/>
      <c r="I509" s="91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2.75" customHeight="1" spans="1:26">
      <c r="A510" s="85"/>
      <c r="B510" s="85"/>
      <c r="C510" s="85"/>
      <c r="D510" s="85"/>
      <c r="E510" s="85"/>
      <c r="F510" s="85"/>
      <c r="G510" s="85"/>
      <c r="H510" s="85"/>
      <c r="I510" s="91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2.75" customHeight="1" spans="1:26">
      <c r="A511" s="85"/>
      <c r="B511" s="85"/>
      <c r="C511" s="85"/>
      <c r="D511" s="85"/>
      <c r="E511" s="85"/>
      <c r="F511" s="85"/>
      <c r="G511" s="85"/>
      <c r="H511" s="85"/>
      <c r="I511" s="91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2.75" customHeight="1" spans="1:26">
      <c r="A512" s="85"/>
      <c r="B512" s="85"/>
      <c r="C512" s="85"/>
      <c r="D512" s="85"/>
      <c r="E512" s="85"/>
      <c r="F512" s="85"/>
      <c r="G512" s="85"/>
      <c r="H512" s="85"/>
      <c r="I512" s="91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2.75" customHeight="1" spans="1:26">
      <c r="A513" s="85"/>
      <c r="B513" s="85"/>
      <c r="C513" s="85"/>
      <c r="D513" s="85"/>
      <c r="E513" s="85"/>
      <c r="F513" s="85"/>
      <c r="G513" s="85"/>
      <c r="H513" s="85"/>
      <c r="I513" s="91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2.75" customHeight="1" spans="1:26">
      <c r="A514" s="85"/>
      <c r="B514" s="85"/>
      <c r="C514" s="85"/>
      <c r="D514" s="85"/>
      <c r="E514" s="85"/>
      <c r="F514" s="85"/>
      <c r="G514" s="85"/>
      <c r="H514" s="85"/>
      <c r="I514" s="91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2.75" customHeight="1" spans="1:26">
      <c r="A515" s="85"/>
      <c r="B515" s="85"/>
      <c r="C515" s="85"/>
      <c r="D515" s="85"/>
      <c r="E515" s="85"/>
      <c r="F515" s="85"/>
      <c r="G515" s="85"/>
      <c r="H515" s="85"/>
      <c r="I515" s="91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2.75" customHeight="1" spans="1:26">
      <c r="A516" s="85"/>
      <c r="B516" s="85"/>
      <c r="C516" s="85"/>
      <c r="D516" s="85"/>
      <c r="E516" s="85"/>
      <c r="F516" s="85"/>
      <c r="G516" s="85"/>
      <c r="H516" s="85"/>
      <c r="I516" s="91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2.75" customHeight="1" spans="1:26">
      <c r="A517" s="85"/>
      <c r="B517" s="85"/>
      <c r="C517" s="85"/>
      <c r="D517" s="85"/>
      <c r="E517" s="85"/>
      <c r="F517" s="85"/>
      <c r="G517" s="85"/>
      <c r="H517" s="85"/>
      <c r="I517" s="91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2.75" customHeight="1" spans="1:26">
      <c r="A518" s="85"/>
      <c r="B518" s="85"/>
      <c r="C518" s="85"/>
      <c r="D518" s="85"/>
      <c r="E518" s="85"/>
      <c r="F518" s="85"/>
      <c r="G518" s="85"/>
      <c r="H518" s="85"/>
      <c r="I518" s="91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2.75" customHeight="1" spans="1:26">
      <c r="A519" s="85"/>
      <c r="B519" s="85"/>
      <c r="C519" s="85"/>
      <c r="D519" s="85"/>
      <c r="E519" s="85"/>
      <c r="F519" s="85"/>
      <c r="G519" s="85"/>
      <c r="H519" s="85"/>
      <c r="I519" s="91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2.75" customHeight="1" spans="1:26">
      <c r="A520" s="85"/>
      <c r="B520" s="85"/>
      <c r="C520" s="85"/>
      <c r="D520" s="85"/>
      <c r="E520" s="85"/>
      <c r="F520" s="85"/>
      <c r="G520" s="85"/>
      <c r="H520" s="85"/>
      <c r="I520" s="91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2.75" customHeight="1" spans="1:26">
      <c r="A521" s="85"/>
      <c r="B521" s="85"/>
      <c r="C521" s="85"/>
      <c r="D521" s="85"/>
      <c r="E521" s="85"/>
      <c r="F521" s="85"/>
      <c r="G521" s="85"/>
      <c r="H521" s="85"/>
      <c r="I521" s="91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2.75" customHeight="1" spans="1:26">
      <c r="A522" s="85"/>
      <c r="B522" s="85"/>
      <c r="C522" s="85"/>
      <c r="D522" s="85"/>
      <c r="E522" s="85"/>
      <c r="F522" s="85"/>
      <c r="G522" s="85"/>
      <c r="H522" s="85"/>
      <c r="I522" s="91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2.75" customHeight="1" spans="1:26">
      <c r="A523" s="85"/>
      <c r="B523" s="85"/>
      <c r="C523" s="85"/>
      <c r="D523" s="85"/>
      <c r="E523" s="85"/>
      <c r="F523" s="85"/>
      <c r="G523" s="85"/>
      <c r="H523" s="85"/>
      <c r="I523" s="91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2.75" customHeight="1" spans="1:26">
      <c r="A524" s="85"/>
      <c r="B524" s="85"/>
      <c r="C524" s="85"/>
      <c r="D524" s="85"/>
      <c r="E524" s="85"/>
      <c r="F524" s="85"/>
      <c r="G524" s="85"/>
      <c r="H524" s="85"/>
      <c r="I524" s="91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2.75" customHeight="1" spans="1:26">
      <c r="A525" s="85"/>
      <c r="B525" s="85"/>
      <c r="C525" s="85"/>
      <c r="D525" s="85"/>
      <c r="E525" s="85"/>
      <c r="F525" s="85"/>
      <c r="G525" s="85"/>
      <c r="H525" s="85"/>
      <c r="I525" s="91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2.75" customHeight="1" spans="1:26">
      <c r="A526" s="85"/>
      <c r="B526" s="85"/>
      <c r="C526" s="85"/>
      <c r="D526" s="85"/>
      <c r="E526" s="85"/>
      <c r="F526" s="85"/>
      <c r="G526" s="85"/>
      <c r="H526" s="85"/>
      <c r="I526" s="91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2.75" customHeight="1" spans="1:26">
      <c r="A527" s="85"/>
      <c r="B527" s="85"/>
      <c r="C527" s="85"/>
      <c r="D527" s="85"/>
      <c r="E527" s="85"/>
      <c r="F527" s="85"/>
      <c r="G527" s="85"/>
      <c r="H527" s="85"/>
      <c r="I527" s="91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2.75" customHeight="1" spans="1:26">
      <c r="A528" s="85"/>
      <c r="B528" s="85"/>
      <c r="C528" s="85"/>
      <c r="D528" s="85"/>
      <c r="E528" s="85"/>
      <c r="F528" s="85"/>
      <c r="G528" s="85"/>
      <c r="H528" s="85"/>
      <c r="I528" s="91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2.75" customHeight="1" spans="1:26">
      <c r="A529" s="85"/>
      <c r="B529" s="85"/>
      <c r="C529" s="85"/>
      <c r="D529" s="85"/>
      <c r="E529" s="85"/>
      <c r="F529" s="85"/>
      <c r="G529" s="85"/>
      <c r="H529" s="85"/>
      <c r="I529" s="91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2.75" customHeight="1" spans="1:26">
      <c r="A530" s="85"/>
      <c r="B530" s="85"/>
      <c r="C530" s="85"/>
      <c r="D530" s="85"/>
      <c r="E530" s="85"/>
      <c r="F530" s="85"/>
      <c r="G530" s="85"/>
      <c r="H530" s="85"/>
      <c r="I530" s="91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2.75" customHeight="1" spans="1:26">
      <c r="A531" s="85"/>
      <c r="B531" s="85"/>
      <c r="C531" s="85"/>
      <c r="D531" s="85"/>
      <c r="E531" s="85"/>
      <c r="F531" s="85"/>
      <c r="G531" s="85"/>
      <c r="H531" s="85"/>
      <c r="I531" s="91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2.75" customHeight="1" spans="1:26">
      <c r="A532" s="85"/>
      <c r="B532" s="85"/>
      <c r="C532" s="85"/>
      <c r="D532" s="85"/>
      <c r="E532" s="85"/>
      <c r="F532" s="85"/>
      <c r="G532" s="85"/>
      <c r="H532" s="85"/>
      <c r="I532" s="91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2.75" customHeight="1" spans="1:26">
      <c r="A533" s="85"/>
      <c r="B533" s="85"/>
      <c r="C533" s="85"/>
      <c r="D533" s="85"/>
      <c r="E533" s="85"/>
      <c r="F533" s="85"/>
      <c r="G533" s="85"/>
      <c r="H533" s="85"/>
      <c r="I533" s="91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2.75" customHeight="1" spans="1:26">
      <c r="A534" s="85"/>
      <c r="B534" s="85"/>
      <c r="C534" s="85"/>
      <c r="D534" s="85"/>
      <c r="E534" s="85"/>
      <c r="F534" s="85"/>
      <c r="G534" s="85"/>
      <c r="H534" s="85"/>
      <c r="I534" s="91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2.75" customHeight="1" spans="1:26">
      <c r="A535" s="85"/>
      <c r="B535" s="85"/>
      <c r="C535" s="85"/>
      <c r="D535" s="85"/>
      <c r="E535" s="85"/>
      <c r="F535" s="85"/>
      <c r="G535" s="85"/>
      <c r="H535" s="85"/>
      <c r="I535" s="91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2.75" customHeight="1" spans="1:26">
      <c r="A536" s="85"/>
      <c r="B536" s="85"/>
      <c r="C536" s="85"/>
      <c r="D536" s="85"/>
      <c r="E536" s="85"/>
      <c r="F536" s="85"/>
      <c r="G536" s="85"/>
      <c r="H536" s="85"/>
      <c r="I536" s="91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2.75" customHeight="1" spans="1:26">
      <c r="A537" s="85"/>
      <c r="B537" s="85"/>
      <c r="C537" s="85"/>
      <c r="D537" s="85"/>
      <c r="E537" s="85"/>
      <c r="F537" s="85"/>
      <c r="G537" s="85"/>
      <c r="H537" s="85"/>
      <c r="I537" s="91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2.75" customHeight="1" spans="1:26">
      <c r="A538" s="85"/>
      <c r="B538" s="85"/>
      <c r="C538" s="85"/>
      <c r="D538" s="85"/>
      <c r="E538" s="85"/>
      <c r="F538" s="85"/>
      <c r="G538" s="85"/>
      <c r="H538" s="85"/>
      <c r="I538" s="91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2.75" customHeight="1" spans="1:26">
      <c r="A539" s="85"/>
      <c r="B539" s="85"/>
      <c r="C539" s="85"/>
      <c r="D539" s="85"/>
      <c r="E539" s="85"/>
      <c r="F539" s="85"/>
      <c r="G539" s="85"/>
      <c r="H539" s="85"/>
      <c r="I539" s="91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2.75" customHeight="1" spans="1:26">
      <c r="A540" s="85"/>
      <c r="B540" s="85"/>
      <c r="C540" s="85"/>
      <c r="D540" s="85"/>
      <c r="E540" s="85"/>
      <c r="F540" s="85"/>
      <c r="G540" s="85"/>
      <c r="H540" s="85"/>
      <c r="I540" s="91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2.75" customHeight="1" spans="1:26">
      <c r="A541" s="85"/>
      <c r="B541" s="85"/>
      <c r="C541" s="85"/>
      <c r="D541" s="85"/>
      <c r="E541" s="85"/>
      <c r="F541" s="85"/>
      <c r="G541" s="85"/>
      <c r="H541" s="85"/>
      <c r="I541" s="91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2.75" customHeight="1" spans="1:26">
      <c r="A542" s="85"/>
      <c r="B542" s="85"/>
      <c r="C542" s="85"/>
      <c r="D542" s="85"/>
      <c r="E542" s="85"/>
      <c r="F542" s="85"/>
      <c r="G542" s="85"/>
      <c r="H542" s="85"/>
      <c r="I542" s="91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2.75" customHeight="1" spans="1:26">
      <c r="A543" s="85"/>
      <c r="B543" s="85"/>
      <c r="C543" s="85"/>
      <c r="D543" s="85"/>
      <c r="E543" s="85"/>
      <c r="F543" s="85"/>
      <c r="G543" s="85"/>
      <c r="H543" s="85"/>
      <c r="I543" s="91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2.75" customHeight="1" spans="1:26">
      <c r="A544" s="85"/>
      <c r="B544" s="85"/>
      <c r="C544" s="85"/>
      <c r="D544" s="85"/>
      <c r="E544" s="85"/>
      <c r="F544" s="85"/>
      <c r="G544" s="85"/>
      <c r="H544" s="85"/>
      <c r="I544" s="91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2.75" customHeight="1" spans="1:26">
      <c r="A545" s="85"/>
      <c r="B545" s="85"/>
      <c r="C545" s="85"/>
      <c r="D545" s="85"/>
      <c r="E545" s="85"/>
      <c r="F545" s="85"/>
      <c r="G545" s="85"/>
      <c r="H545" s="85"/>
      <c r="I545" s="91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2.75" customHeight="1" spans="1:26">
      <c r="A546" s="85"/>
      <c r="B546" s="85"/>
      <c r="C546" s="85"/>
      <c r="D546" s="85"/>
      <c r="E546" s="85"/>
      <c r="F546" s="85"/>
      <c r="G546" s="85"/>
      <c r="H546" s="85"/>
      <c r="I546" s="91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2.75" customHeight="1" spans="1:26">
      <c r="A547" s="85"/>
      <c r="B547" s="85"/>
      <c r="C547" s="85"/>
      <c r="D547" s="85"/>
      <c r="E547" s="85"/>
      <c r="F547" s="85"/>
      <c r="G547" s="85"/>
      <c r="H547" s="85"/>
      <c r="I547" s="91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2.75" customHeight="1" spans="1:26">
      <c r="A548" s="85"/>
      <c r="B548" s="85"/>
      <c r="C548" s="85"/>
      <c r="D548" s="85"/>
      <c r="E548" s="85"/>
      <c r="F548" s="85"/>
      <c r="G548" s="85"/>
      <c r="H548" s="85"/>
      <c r="I548" s="91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2.75" customHeight="1" spans="1:26">
      <c r="A549" s="85"/>
      <c r="B549" s="85"/>
      <c r="C549" s="85"/>
      <c r="D549" s="85"/>
      <c r="E549" s="85"/>
      <c r="F549" s="85"/>
      <c r="G549" s="85"/>
      <c r="H549" s="85"/>
      <c r="I549" s="91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2.75" customHeight="1" spans="1:26">
      <c r="A550" s="85"/>
      <c r="B550" s="85"/>
      <c r="C550" s="85"/>
      <c r="D550" s="85"/>
      <c r="E550" s="85"/>
      <c r="F550" s="85"/>
      <c r="G550" s="85"/>
      <c r="H550" s="85"/>
      <c r="I550" s="91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2.75" customHeight="1" spans="1:26">
      <c r="A551" s="85"/>
      <c r="B551" s="85"/>
      <c r="C551" s="85"/>
      <c r="D551" s="85"/>
      <c r="E551" s="85"/>
      <c r="F551" s="85"/>
      <c r="G551" s="85"/>
      <c r="H551" s="85"/>
      <c r="I551" s="91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2.75" customHeight="1" spans="1:26">
      <c r="A552" s="85"/>
      <c r="B552" s="85"/>
      <c r="C552" s="85"/>
      <c r="D552" s="85"/>
      <c r="E552" s="85"/>
      <c r="F552" s="85"/>
      <c r="G552" s="85"/>
      <c r="H552" s="85"/>
      <c r="I552" s="91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2.75" customHeight="1" spans="1:26">
      <c r="A553" s="85"/>
      <c r="B553" s="85"/>
      <c r="C553" s="85"/>
      <c r="D553" s="85"/>
      <c r="E553" s="85"/>
      <c r="F553" s="85"/>
      <c r="G553" s="85"/>
      <c r="H553" s="85"/>
      <c r="I553" s="91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2.75" customHeight="1" spans="1:26">
      <c r="A554" s="85"/>
      <c r="B554" s="85"/>
      <c r="C554" s="85"/>
      <c r="D554" s="85"/>
      <c r="E554" s="85"/>
      <c r="F554" s="85"/>
      <c r="G554" s="85"/>
      <c r="H554" s="85"/>
      <c r="I554" s="91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2.75" customHeight="1" spans="1:26">
      <c r="A555" s="85"/>
      <c r="B555" s="85"/>
      <c r="C555" s="85"/>
      <c r="D555" s="85"/>
      <c r="E555" s="85"/>
      <c r="F555" s="85"/>
      <c r="G555" s="85"/>
      <c r="H555" s="85"/>
      <c r="I555" s="91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2.75" customHeight="1" spans="1:26">
      <c r="A556" s="85"/>
      <c r="B556" s="85"/>
      <c r="C556" s="85"/>
      <c r="D556" s="85"/>
      <c r="E556" s="85"/>
      <c r="F556" s="85"/>
      <c r="G556" s="85"/>
      <c r="H556" s="85"/>
      <c r="I556" s="91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2.75" customHeight="1" spans="1:26">
      <c r="A557" s="85"/>
      <c r="B557" s="85"/>
      <c r="C557" s="85"/>
      <c r="D557" s="85"/>
      <c r="E557" s="85"/>
      <c r="F557" s="85"/>
      <c r="G557" s="85"/>
      <c r="H557" s="85"/>
      <c r="I557" s="91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2.75" customHeight="1" spans="1:26">
      <c r="A558" s="85"/>
      <c r="B558" s="85"/>
      <c r="C558" s="85"/>
      <c r="D558" s="85"/>
      <c r="E558" s="85"/>
      <c r="F558" s="85"/>
      <c r="G558" s="85"/>
      <c r="H558" s="85"/>
      <c r="I558" s="91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2.75" customHeight="1" spans="1:26">
      <c r="A559" s="85"/>
      <c r="B559" s="85"/>
      <c r="C559" s="85"/>
      <c r="D559" s="85"/>
      <c r="E559" s="85"/>
      <c r="F559" s="85"/>
      <c r="G559" s="85"/>
      <c r="H559" s="85"/>
      <c r="I559" s="91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2.75" customHeight="1" spans="1:26">
      <c r="A560" s="85"/>
      <c r="B560" s="85"/>
      <c r="C560" s="85"/>
      <c r="D560" s="85"/>
      <c r="E560" s="85"/>
      <c r="F560" s="85"/>
      <c r="G560" s="85"/>
      <c r="H560" s="85"/>
      <c r="I560" s="91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2.75" customHeight="1" spans="1:26">
      <c r="A561" s="85"/>
      <c r="B561" s="85"/>
      <c r="C561" s="85"/>
      <c r="D561" s="85"/>
      <c r="E561" s="85"/>
      <c r="F561" s="85"/>
      <c r="G561" s="85"/>
      <c r="H561" s="85"/>
      <c r="I561" s="91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2.75" customHeight="1" spans="1:26">
      <c r="A562" s="85"/>
      <c r="B562" s="85"/>
      <c r="C562" s="85"/>
      <c r="D562" s="85"/>
      <c r="E562" s="85"/>
      <c r="F562" s="85"/>
      <c r="G562" s="85"/>
      <c r="H562" s="85"/>
      <c r="I562" s="91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2.75" customHeight="1" spans="1:26">
      <c r="A563" s="85"/>
      <c r="B563" s="85"/>
      <c r="C563" s="85"/>
      <c r="D563" s="85"/>
      <c r="E563" s="85"/>
      <c r="F563" s="85"/>
      <c r="G563" s="85"/>
      <c r="H563" s="85"/>
      <c r="I563" s="91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2.75" customHeight="1" spans="1:26">
      <c r="A564" s="85"/>
      <c r="B564" s="85"/>
      <c r="C564" s="85"/>
      <c r="D564" s="85"/>
      <c r="E564" s="85"/>
      <c r="F564" s="85"/>
      <c r="G564" s="85"/>
      <c r="H564" s="85"/>
      <c r="I564" s="91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2.75" customHeight="1" spans="1:26">
      <c r="A565" s="85"/>
      <c r="B565" s="85"/>
      <c r="C565" s="85"/>
      <c r="D565" s="85"/>
      <c r="E565" s="85"/>
      <c r="F565" s="85"/>
      <c r="G565" s="85"/>
      <c r="H565" s="85"/>
      <c r="I565" s="91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2.75" customHeight="1" spans="1:26">
      <c r="A566" s="85"/>
      <c r="B566" s="85"/>
      <c r="C566" s="85"/>
      <c r="D566" s="85"/>
      <c r="E566" s="85"/>
      <c r="F566" s="85"/>
      <c r="G566" s="85"/>
      <c r="H566" s="85"/>
      <c r="I566" s="91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2.75" customHeight="1" spans="1:26">
      <c r="A567" s="85"/>
      <c r="B567" s="85"/>
      <c r="C567" s="85"/>
      <c r="D567" s="85"/>
      <c r="E567" s="85"/>
      <c r="F567" s="85"/>
      <c r="G567" s="85"/>
      <c r="H567" s="85"/>
      <c r="I567" s="91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2.75" customHeight="1" spans="1:26">
      <c r="A568" s="85"/>
      <c r="B568" s="85"/>
      <c r="C568" s="85"/>
      <c r="D568" s="85"/>
      <c r="E568" s="85"/>
      <c r="F568" s="85"/>
      <c r="G568" s="85"/>
      <c r="H568" s="85"/>
      <c r="I568" s="91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2.75" customHeight="1" spans="1:26">
      <c r="A569" s="85"/>
      <c r="B569" s="85"/>
      <c r="C569" s="85"/>
      <c r="D569" s="85"/>
      <c r="E569" s="85"/>
      <c r="F569" s="85"/>
      <c r="G569" s="85"/>
      <c r="H569" s="85"/>
      <c r="I569" s="91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2.75" customHeight="1" spans="1:26">
      <c r="A570" s="85"/>
      <c r="B570" s="85"/>
      <c r="C570" s="85"/>
      <c r="D570" s="85"/>
      <c r="E570" s="85"/>
      <c r="F570" s="85"/>
      <c r="G570" s="85"/>
      <c r="H570" s="85"/>
      <c r="I570" s="91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2.75" customHeight="1" spans="1:26">
      <c r="A571" s="85"/>
      <c r="B571" s="85"/>
      <c r="C571" s="85"/>
      <c r="D571" s="85"/>
      <c r="E571" s="85"/>
      <c r="F571" s="85"/>
      <c r="G571" s="85"/>
      <c r="H571" s="85"/>
      <c r="I571" s="91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2.75" customHeight="1" spans="1:26">
      <c r="A572" s="85"/>
      <c r="B572" s="85"/>
      <c r="C572" s="85"/>
      <c r="D572" s="85"/>
      <c r="E572" s="85"/>
      <c r="F572" s="85"/>
      <c r="G572" s="85"/>
      <c r="H572" s="85"/>
      <c r="I572" s="91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2.75" customHeight="1" spans="1:26">
      <c r="A573" s="85"/>
      <c r="B573" s="85"/>
      <c r="C573" s="85"/>
      <c r="D573" s="85"/>
      <c r="E573" s="85"/>
      <c r="F573" s="85"/>
      <c r="G573" s="85"/>
      <c r="H573" s="85"/>
      <c r="I573" s="91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2.75" customHeight="1" spans="1:26">
      <c r="A574" s="85"/>
      <c r="B574" s="85"/>
      <c r="C574" s="85"/>
      <c r="D574" s="85"/>
      <c r="E574" s="85"/>
      <c r="F574" s="85"/>
      <c r="G574" s="85"/>
      <c r="H574" s="85"/>
      <c r="I574" s="91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2.75" customHeight="1" spans="1:26">
      <c r="A575" s="85"/>
      <c r="B575" s="85"/>
      <c r="C575" s="85"/>
      <c r="D575" s="85"/>
      <c r="E575" s="85"/>
      <c r="F575" s="85"/>
      <c r="G575" s="85"/>
      <c r="H575" s="85"/>
      <c r="I575" s="91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2.75" customHeight="1" spans="1:26">
      <c r="A576" s="85"/>
      <c r="B576" s="85"/>
      <c r="C576" s="85"/>
      <c r="D576" s="85"/>
      <c r="E576" s="85"/>
      <c r="F576" s="85"/>
      <c r="G576" s="85"/>
      <c r="H576" s="85"/>
      <c r="I576" s="91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2.75" customHeight="1" spans="1:26">
      <c r="A577" s="85"/>
      <c r="B577" s="85"/>
      <c r="C577" s="85"/>
      <c r="D577" s="85"/>
      <c r="E577" s="85"/>
      <c r="F577" s="85"/>
      <c r="G577" s="85"/>
      <c r="H577" s="85"/>
      <c r="I577" s="91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2.75" customHeight="1" spans="1:26">
      <c r="A578" s="85"/>
      <c r="B578" s="85"/>
      <c r="C578" s="85"/>
      <c r="D578" s="85"/>
      <c r="E578" s="85"/>
      <c r="F578" s="85"/>
      <c r="G578" s="85"/>
      <c r="H578" s="85"/>
      <c r="I578" s="91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2.75" customHeight="1" spans="1:26">
      <c r="A579" s="85"/>
      <c r="B579" s="85"/>
      <c r="C579" s="85"/>
      <c r="D579" s="85"/>
      <c r="E579" s="85"/>
      <c r="F579" s="85"/>
      <c r="G579" s="85"/>
      <c r="H579" s="85"/>
      <c r="I579" s="91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2.75" customHeight="1" spans="1:26">
      <c r="A580" s="85"/>
      <c r="B580" s="85"/>
      <c r="C580" s="85"/>
      <c r="D580" s="85"/>
      <c r="E580" s="85"/>
      <c r="F580" s="85"/>
      <c r="G580" s="85"/>
      <c r="H580" s="85"/>
      <c r="I580" s="91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2.75" customHeight="1" spans="1:26">
      <c r="A581" s="85"/>
      <c r="B581" s="85"/>
      <c r="C581" s="85"/>
      <c r="D581" s="85"/>
      <c r="E581" s="85"/>
      <c r="F581" s="85"/>
      <c r="G581" s="85"/>
      <c r="H581" s="85"/>
      <c r="I581" s="91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2.75" customHeight="1" spans="1:26">
      <c r="A582" s="85"/>
      <c r="B582" s="85"/>
      <c r="C582" s="85"/>
      <c r="D582" s="85"/>
      <c r="E582" s="85"/>
      <c r="F582" s="85"/>
      <c r="G582" s="85"/>
      <c r="H582" s="85"/>
      <c r="I582" s="91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2.75" customHeight="1" spans="1:26">
      <c r="A583" s="85"/>
      <c r="B583" s="85"/>
      <c r="C583" s="85"/>
      <c r="D583" s="85"/>
      <c r="E583" s="85"/>
      <c r="F583" s="85"/>
      <c r="G583" s="85"/>
      <c r="H583" s="85"/>
      <c r="I583" s="91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2.75" customHeight="1" spans="1:26">
      <c r="A584" s="85"/>
      <c r="B584" s="85"/>
      <c r="C584" s="85"/>
      <c r="D584" s="85"/>
      <c r="E584" s="85"/>
      <c r="F584" s="85"/>
      <c r="G584" s="85"/>
      <c r="H584" s="85"/>
      <c r="I584" s="91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2.75" customHeight="1" spans="1:26">
      <c r="A585" s="85"/>
      <c r="B585" s="85"/>
      <c r="C585" s="85"/>
      <c r="D585" s="85"/>
      <c r="E585" s="85"/>
      <c r="F585" s="85"/>
      <c r="G585" s="85"/>
      <c r="H585" s="85"/>
      <c r="I585" s="91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2.75" customHeight="1" spans="1:26">
      <c r="A586" s="85"/>
      <c r="B586" s="85"/>
      <c r="C586" s="85"/>
      <c r="D586" s="85"/>
      <c r="E586" s="85"/>
      <c r="F586" s="85"/>
      <c r="G586" s="85"/>
      <c r="H586" s="85"/>
      <c r="I586" s="91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2.75" customHeight="1" spans="1:26">
      <c r="A587" s="85"/>
      <c r="B587" s="85"/>
      <c r="C587" s="85"/>
      <c r="D587" s="85"/>
      <c r="E587" s="85"/>
      <c r="F587" s="85"/>
      <c r="G587" s="85"/>
      <c r="H587" s="85"/>
      <c r="I587" s="91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2.75" customHeight="1" spans="1:26">
      <c r="A588" s="85"/>
      <c r="B588" s="85"/>
      <c r="C588" s="85"/>
      <c r="D588" s="85"/>
      <c r="E588" s="85"/>
      <c r="F588" s="85"/>
      <c r="G588" s="85"/>
      <c r="H588" s="85"/>
      <c r="I588" s="91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2.75" customHeight="1" spans="1:26">
      <c r="A589" s="85"/>
      <c r="B589" s="85"/>
      <c r="C589" s="85"/>
      <c r="D589" s="85"/>
      <c r="E589" s="85"/>
      <c r="F589" s="85"/>
      <c r="G589" s="85"/>
      <c r="H589" s="85"/>
      <c r="I589" s="91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2.75" customHeight="1" spans="1:26">
      <c r="A590" s="85"/>
      <c r="B590" s="85"/>
      <c r="C590" s="85"/>
      <c r="D590" s="85"/>
      <c r="E590" s="85"/>
      <c r="F590" s="85"/>
      <c r="G590" s="85"/>
      <c r="H590" s="85"/>
      <c r="I590" s="91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2.75" customHeight="1" spans="1:26">
      <c r="A591" s="85"/>
      <c r="B591" s="85"/>
      <c r="C591" s="85"/>
      <c r="D591" s="85"/>
      <c r="E591" s="85"/>
      <c r="F591" s="85"/>
      <c r="G591" s="85"/>
      <c r="H591" s="85"/>
      <c r="I591" s="91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2.75" customHeight="1" spans="1:26">
      <c r="A592" s="85"/>
      <c r="B592" s="85"/>
      <c r="C592" s="85"/>
      <c r="D592" s="85"/>
      <c r="E592" s="85"/>
      <c r="F592" s="85"/>
      <c r="G592" s="85"/>
      <c r="H592" s="85"/>
      <c r="I592" s="91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2.75" customHeight="1" spans="1:26">
      <c r="A593" s="85"/>
      <c r="B593" s="85"/>
      <c r="C593" s="85"/>
      <c r="D593" s="85"/>
      <c r="E593" s="85"/>
      <c r="F593" s="85"/>
      <c r="G593" s="85"/>
      <c r="H593" s="85"/>
      <c r="I593" s="91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2.75" customHeight="1" spans="1:26">
      <c r="A594" s="85"/>
      <c r="B594" s="85"/>
      <c r="C594" s="85"/>
      <c r="D594" s="85"/>
      <c r="E594" s="85"/>
      <c r="F594" s="85"/>
      <c r="G594" s="85"/>
      <c r="H594" s="85"/>
      <c r="I594" s="91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2.75" customHeight="1" spans="1:26">
      <c r="A595" s="85"/>
      <c r="B595" s="85"/>
      <c r="C595" s="85"/>
      <c r="D595" s="85"/>
      <c r="E595" s="85"/>
      <c r="F595" s="85"/>
      <c r="G595" s="85"/>
      <c r="H595" s="85"/>
      <c r="I595" s="91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2.75" customHeight="1" spans="1:26">
      <c r="A596" s="85"/>
      <c r="B596" s="85"/>
      <c r="C596" s="85"/>
      <c r="D596" s="85"/>
      <c r="E596" s="85"/>
      <c r="F596" s="85"/>
      <c r="G596" s="85"/>
      <c r="H596" s="85"/>
      <c r="I596" s="91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2.75" customHeight="1" spans="1:26">
      <c r="A597" s="85"/>
      <c r="B597" s="85"/>
      <c r="C597" s="85"/>
      <c r="D597" s="85"/>
      <c r="E597" s="85"/>
      <c r="F597" s="85"/>
      <c r="G597" s="85"/>
      <c r="H597" s="85"/>
      <c r="I597" s="91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2.75" customHeight="1" spans="1:26">
      <c r="A598" s="85"/>
      <c r="B598" s="85"/>
      <c r="C598" s="85"/>
      <c r="D598" s="85"/>
      <c r="E598" s="85"/>
      <c r="F598" s="85"/>
      <c r="G598" s="85"/>
      <c r="H598" s="85"/>
      <c r="I598" s="91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2.75" customHeight="1" spans="1:26">
      <c r="A599" s="85"/>
      <c r="B599" s="85"/>
      <c r="C599" s="85"/>
      <c r="D599" s="85"/>
      <c r="E599" s="85"/>
      <c r="F599" s="85"/>
      <c r="G599" s="85"/>
      <c r="H599" s="85"/>
      <c r="I599" s="91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2.75" customHeight="1" spans="1:26">
      <c r="A600" s="85"/>
      <c r="B600" s="85"/>
      <c r="C600" s="85"/>
      <c r="D600" s="85"/>
      <c r="E600" s="85"/>
      <c r="F600" s="85"/>
      <c r="G600" s="85"/>
      <c r="H600" s="85"/>
      <c r="I600" s="91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2.75" customHeight="1" spans="1:26">
      <c r="A601" s="85"/>
      <c r="B601" s="85"/>
      <c r="C601" s="85"/>
      <c r="D601" s="85"/>
      <c r="E601" s="85"/>
      <c r="F601" s="85"/>
      <c r="G601" s="85"/>
      <c r="H601" s="85"/>
      <c r="I601" s="91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2.75" customHeight="1" spans="1:26">
      <c r="A602" s="85"/>
      <c r="B602" s="85"/>
      <c r="C602" s="85"/>
      <c r="D602" s="85"/>
      <c r="E602" s="85"/>
      <c r="F602" s="85"/>
      <c r="G602" s="85"/>
      <c r="H602" s="85"/>
      <c r="I602" s="91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2.75" customHeight="1" spans="1:26">
      <c r="A603" s="85"/>
      <c r="B603" s="85"/>
      <c r="C603" s="85"/>
      <c r="D603" s="85"/>
      <c r="E603" s="85"/>
      <c r="F603" s="85"/>
      <c r="G603" s="85"/>
      <c r="H603" s="85"/>
      <c r="I603" s="91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2.75" customHeight="1" spans="1:26">
      <c r="A604" s="85"/>
      <c r="B604" s="85"/>
      <c r="C604" s="85"/>
      <c r="D604" s="85"/>
      <c r="E604" s="85"/>
      <c r="F604" s="85"/>
      <c r="G604" s="85"/>
      <c r="H604" s="85"/>
      <c r="I604" s="91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2.75" customHeight="1" spans="1:26">
      <c r="A605" s="85"/>
      <c r="B605" s="85"/>
      <c r="C605" s="85"/>
      <c r="D605" s="85"/>
      <c r="E605" s="85"/>
      <c r="F605" s="85"/>
      <c r="G605" s="85"/>
      <c r="H605" s="85"/>
      <c r="I605" s="91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2.75" customHeight="1" spans="1:26">
      <c r="A606" s="85"/>
      <c r="B606" s="85"/>
      <c r="C606" s="85"/>
      <c r="D606" s="85"/>
      <c r="E606" s="85"/>
      <c r="F606" s="85"/>
      <c r="G606" s="85"/>
      <c r="H606" s="85"/>
      <c r="I606" s="91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2.75" customHeight="1" spans="1:26">
      <c r="A607" s="85"/>
      <c r="B607" s="85"/>
      <c r="C607" s="85"/>
      <c r="D607" s="85"/>
      <c r="E607" s="85"/>
      <c r="F607" s="85"/>
      <c r="G607" s="85"/>
      <c r="H607" s="85"/>
      <c r="I607" s="91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2.75" customHeight="1" spans="1:26">
      <c r="A608" s="85"/>
      <c r="B608" s="85"/>
      <c r="C608" s="85"/>
      <c r="D608" s="85"/>
      <c r="E608" s="85"/>
      <c r="F608" s="85"/>
      <c r="G608" s="85"/>
      <c r="H608" s="85"/>
      <c r="I608" s="91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2.75" customHeight="1" spans="1:26">
      <c r="A609" s="85"/>
      <c r="B609" s="85"/>
      <c r="C609" s="85"/>
      <c r="D609" s="85"/>
      <c r="E609" s="85"/>
      <c r="F609" s="85"/>
      <c r="G609" s="85"/>
      <c r="H609" s="85"/>
      <c r="I609" s="91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2.75" customHeight="1" spans="1:26">
      <c r="A610" s="85"/>
      <c r="B610" s="85"/>
      <c r="C610" s="85"/>
      <c r="D610" s="85"/>
      <c r="E610" s="85"/>
      <c r="F610" s="85"/>
      <c r="G610" s="85"/>
      <c r="H610" s="85"/>
      <c r="I610" s="91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2.75" customHeight="1" spans="1:26">
      <c r="A611" s="85"/>
      <c r="B611" s="85"/>
      <c r="C611" s="85"/>
      <c r="D611" s="85"/>
      <c r="E611" s="85"/>
      <c r="F611" s="85"/>
      <c r="G611" s="85"/>
      <c r="H611" s="85"/>
      <c r="I611" s="91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2.75" customHeight="1" spans="1:26">
      <c r="A612" s="85"/>
      <c r="B612" s="85"/>
      <c r="C612" s="85"/>
      <c r="D612" s="85"/>
      <c r="E612" s="85"/>
      <c r="F612" s="85"/>
      <c r="G612" s="85"/>
      <c r="H612" s="85"/>
      <c r="I612" s="91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2.75" customHeight="1" spans="1:26">
      <c r="A613" s="85"/>
      <c r="B613" s="85"/>
      <c r="C613" s="85"/>
      <c r="D613" s="85"/>
      <c r="E613" s="85"/>
      <c r="F613" s="85"/>
      <c r="G613" s="85"/>
      <c r="H613" s="85"/>
      <c r="I613" s="91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2.75" customHeight="1" spans="1:26">
      <c r="A614" s="85"/>
      <c r="B614" s="85"/>
      <c r="C614" s="85"/>
      <c r="D614" s="85"/>
      <c r="E614" s="85"/>
      <c r="F614" s="85"/>
      <c r="G614" s="85"/>
      <c r="H614" s="85"/>
      <c r="I614" s="91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2.75" customHeight="1" spans="1:26">
      <c r="A615" s="85"/>
      <c r="B615" s="85"/>
      <c r="C615" s="85"/>
      <c r="D615" s="85"/>
      <c r="E615" s="85"/>
      <c r="F615" s="85"/>
      <c r="G615" s="85"/>
      <c r="H615" s="85"/>
      <c r="I615" s="91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2.75" customHeight="1" spans="1:26">
      <c r="A616" s="85"/>
      <c r="B616" s="85"/>
      <c r="C616" s="85"/>
      <c r="D616" s="85"/>
      <c r="E616" s="85"/>
      <c r="F616" s="85"/>
      <c r="G616" s="85"/>
      <c r="H616" s="85"/>
      <c r="I616" s="91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2.75" customHeight="1" spans="1:26">
      <c r="A617" s="85"/>
      <c r="B617" s="85"/>
      <c r="C617" s="85"/>
      <c r="D617" s="85"/>
      <c r="E617" s="85"/>
      <c r="F617" s="85"/>
      <c r="G617" s="85"/>
      <c r="H617" s="85"/>
      <c r="I617" s="91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2.75" customHeight="1" spans="1:26">
      <c r="A618" s="85"/>
      <c r="B618" s="85"/>
      <c r="C618" s="85"/>
      <c r="D618" s="85"/>
      <c r="E618" s="85"/>
      <c r="F618" s="85"/>
      <c r="G618" s="85"/>
      <c r="H618" s="85"/>
      <c r="I618" s="91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2.75" customHeight="1" spans="1:26">
      <c r="A619" s="85"/>
      <c r="B619" s="85"/>
      <c r="C619" s="85"/>
      <c r="D619" s="85"/>
      <c r="E619" s="85"/>
      <c r="F619" s="85"/>
      <c r="G619" s="85"/>
      <c r="H619" s="85"/>
      <c r="I619" s="91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2.75" customHeight="1" spans="1:26">
      <c r="A620" s="85"/>
      <c r="B620" s="85"/>
      <c r="C620" s="85"/>
      <c r="D620" s="85"/>
      <c r="E620" s="85"/>
      <c r="F620" s="85"/>
      <c r="G620" s="85"/>
      <c r="H620" s="85"/>
      <c r="I620" s="91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2.75" customHeight="1" spans="1:26">
      <c r="A621" s="85"/>
      <c r="B621" s="85"/>
      <c r="C621" s="85"/>
      <c r="D621" s="85"/>
      <c r="E621" s="85"/>
      <c r="F621" s="85"/>
      <c r="G621" s="85"/>
      <c r="H621" s="85"/>
      <c r="I621" s="91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2.75" customHeight="1" spans="1:26">
      <c r="A622" s="85"/>
      <c r="B622" s="85"/>
      <c r="C622" s="85"/>
      <c r="D622" s="85"/>
      <c r="E622" s="85"/>
      <c r="F622" s="85"/>
      <c r="G622" s="85"/>
      <c r="H622" s="85"/>
      <c r="I622" s="91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2.75" customHeight="1" spans="1:26">
      <c r="A623" s="85"/>
      <c r="B623" s="85"/>
      <c r="C623" s="85"/>
      <c r="D623" s="85"/>
      <c r="E623" s="85"/>
      <c r="F623" s="85"/>
      <c r="G623" s="85"/>
      <c r="H623" s="85"/>
      <c r="I623" s="91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2.75" customHeight="1" spans="1:26">
      <c r="A624" s="85"/>
      <c r="B624" s="85"/>
      <c r="C624" s="85"/>
      <c r="D624" s="85"/>
      <c r="E624" s="85"/>
      <c r="F624" s="85"/>
      <c r="G624" s="85"/>
      <c r="H624" s="85"/>
      <c r="I624" s="91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2.75" customHeight="1" spans="1:26">
      <c r="A625" s="85"/>
      <c r="B625" s="85"/>
      <c r="C625" s="85"/>
      <c r="D625" s="85"/>
      <c r="E625" s="85"/>
      <c r="F625" s="85"/>
      <c r="G625" s="85"/>
      <c r="H625" s="85"/>
      <c r="I625" s="91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2.75" customHeight="1" spans="1:26">
      <c r="A626" s="85"/>
      <c r="B626" s="85"/>
      <c r="C626" s="85"/>
      <c r="D626" s="85"/>
      <c r="E626" s="85"/>
      <c r="F626" s="85"/>
      <c r="G626" s="85"/>
      <c r="H626" s="85"/>
      <c r="I626" s="91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2.75" customHeight="1" spans="1:26">
      <c r="A627" s="85"/>
      <c r="B627" s="85"/>
      <c r="C627" s="85"/>
      <c r="D627" s="85"/>
      <c r="E627" s="85"/>
      <c r="F627" s="85"/>
      <c r="G627" s="85"/>
      <c r="H627" s="85"/>
      <c r="I627" s="91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2.75" customHeight="1" spans="1:26">
      <c r="A628" s="85"/>
      <c r="B628" s="85"/>
      <c r="C628" s="85"/>
      <c r="D628" s="85"/>
      <c r="E628" s="85"/>
      <c r="F628" s="85"/>
      <c r="G628" s="85"/>
      <c r="H628" s="85"/>
      <c r="I628" s="91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2.75" customHeight="1" spans="1:26">
      <c r="A629" s="85"/>
      <c r="B629" s="85"/>
      <c r="C629" s="85"/>
      <c r="D629" s="85"/>
      <c r="E629" s="85"/>
      <c r="F629" s="85"/>
      <c r="G629" s="85"/>
      <c r="H629" s="85"/>
      <c r="I629" s="91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2.75" customHeight="1" spans="1:26">
      <c r="A630" s="85"/>
      <c r="B630" s="85"/>
      <c r="C630" s="85"/>
      <c r="D630" s="85"/>
      <c r="E630" s="85"/>
      <c r="F630" s="85"/>
      <c r="G630" s="85"/>
      <c r="H630" s="85"/>
      <c r="I630" s="91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2.75" customHeight="1" spans="1:26">
      <c r="A631" s="85"/>
      <c r="B631" s="85"/>
      <c r="C631" s="85"/>
      <c r="D631" s="85"/>
      <c r="E631" s="85"/>
      <c r="F631" s="85"/>
      <c r="G631" s="85"/>
      <c r="H631" s="85"/>
      <c r="I631" s="91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2.75" customHeight="1" spans="1:26">
      <c r="A632" s="85"/>
      <c r="B632" s="85"/>
      <c r="C632" s="85"/>
      <c r="D632" s="85"/>
      <c r="E632" s="85"/>
      <c r="F632" s="85"/>
      <c r="G632" s="85"/>
      <c r="H632" s="85"/>
      <c r="I632" s="91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2.75" customHeight="1" spans="1:26">
      <c r="A633" s="85"/>
      <c r="B633" s="85"/>
      <c r="C633" s="85"/>
      <c r="D633" s="85"/>
      <c r="E633" s="85"/>
      <c r="F633" s="85"/>
      <c r="G633" s="85"/>
      <c r="H633" s="85"/>
      <c r="I633" s="91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2.75" customHeight="1" spans="1:26">
      <c r="A634" s="85"/>
      <c r="B634" s="85"/>
      <c r="C634" s="85"/>
      <c r="D634" s="85"/>
      <c r="E634" s="85"/>
      <c r="F634" s="85"/>
      <c r="G634" s="85"/>
      <c r="H634" s="85"/>
      <c r="I634" s="91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2.75" customHeight="1" spans="1:26">
      <c r="A635" s="85"/>
      <c r="B635" s="85"/>
      <c r="C635" s="85"/>
      <c r="D635" s="85"/>
      <c r="E635" s="85"/>
      <c r="F635" s="85"/>
      <c r="G635" s="85"/>
      <c r="H635" s="85"/>
      <c r="I635" s="91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2.75" customHeight="1" spans="1:26">
      <c r="A636" s="85"/>
      <c r="B636" s="85"/>
      <c r="C636" s="85"/>
      <c r="D636" s="85"/>
      <c r="E636" s="85"/>
      <c r="F636" s="85"/>
      <c r="G636" s="85"/>
      <c r="H636" s="85"/>
      <c r="I636" s="91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2.75" customHeight="1" spans="1:26">
      <c r="A637" s="85"/>
      <c r="B637" s="85"/>
      <c r="C637" s="85"/>
      <c r="D637" s="85"/>
      <c r="E637" s="85"/>
      <c r="F637" s="85"/>
      <c r="G637" s="85"/>
      <c r="H637" s="85"/>
      <c r="I637" s="91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2.75" customHeight="1" spans="1:26">
      <c r="A638" s="85"/>
      <c r="B638" s="85"/>
      <c r="C638" s="85"/>
      <c r="D638" s="85"/>
      <c r="E638" s="85"/>
      <c r="F638" s="85"/>
      <c r="G638" s="85"/>
      <c r="H638" s="85"/>
      <c r="I638" s="91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2.75" customHeight="1" spans="1:26">
      <c r="A639" s="85"/>
      <c r="B639" s="85"/>
      <c r="C639" s="85"/>
      <c r="D639" s="85"/>
      <c r="E639" s="85"/>
      <c r="F639" s="85"/>
      <c r="G639" s="85"/>
      <c r="H639" s="85"/>
      <c r="I639" s="91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2.75" customHeight="1" spans="1:26">
      <c r="A640" s="85"/>
      <c r="B640" s="85"/>
      <c r="C640" s="85"/>
      <c r="D640" s="85"/>
      <c r="E640" s="85"/>
      <c r="F640" s="85"/>
      <c r="G640" s="85"/>
      <c r="H640" s="85"/>
      <c r="I640" s="91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2.75" customHeight="1" spans="1:26">
      <c r="A641" s="85"/>
      <c r="B641" s="85"/>
      <c r="C641" s="85"/>
      <c r="D641" s="85"/>
      <c r="E641" s="85"/>
      <c r="F641" s="85"/>
      <c r="G641" s="85"/>
      <c r="H641" s="85"/>
      <c r="I641" s="91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2.75" customHeight="1" spans="1:26">
      <c r="A642" s="85"/>
      <c r="B642" s="85"/>
      <c r="C642" s="85"/>
      <c r="D642" s="85"/>
      <c r="E642" s="85"/>
      <c r="F642" s="85"/>
      <c r="G642" s="85"/>
      <c r="H642" s="85"/>
      <c r="I642" s="91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2.75" customHeight="1" spans="1:26">
      <c r="A643" s="85"/>
      <c r="B643" s="85"/>
      <c r="C643" s="85"/>
      <c r="D643" s="85"/>
      <c r="E643" s="85"/>
      <c r="F643" s="85"/>
      <c r="G643" s="85"/>
      <c r="H643" s="85"/>
      <c r="I643" s="91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2.75" customHeight="1" spans="1:26">
      <c r="A644" s="85"/>
      <c r="B644" s="85"/>
      <c r="C644" s="85"/>
      <c r="D644" s="85"/>
      <c r="E644" s="85"/>
      <c r="F644" s="85"/>
      <c r="G644" s="85"/>
      <c r="H644" s="85"/>
      <c r="I644" s="91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2.75" customHeight="1" spans="1:26">
      <c r="A645" s="85"/>
      <c r="B645" s="85"/>
      <c r="C645" s="85"/>
      <c r="D645" s="85"/>
      <c r="E645" s="85"/>
      <c r="F645" s="85"/>
      <c r="G645" s="85"/>
      <c r="H645" s="85"/>
      <c r="I645" s="91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2.75" customHeight="1" spans="1:26">
      <c r="A646" s="85"/>
      <c r="B646" s="85"/>
      <c r="C646" s="85"/>
      <c r="D646" s="85"/>
      <c r="E646" s="85"/>
      <c r="F646" s="85"/>
      <c r="G646" s="85"/>
      <c r="H646" s="85"/>
      <c r="I646" s="91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2.75" customHeight="1" spans="1:26">
      <c r="A647" s="85"/>
      <c r="B647" s="85"/>
      <c r="C647" s="85"/>
      <c r="D647" s="85"/>
      <c r="E647" s="85"/>
      <c r="F647" s="85"/>
      <c r="G647" s="85"/>
      <c r="H647" s="85"/>
      <c r="I647" s="91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2.75" customHeight="1" spans="1:26">
      <c r="A648" s="85"/>
      <c r="B648" s="85"/>
      <c r="C648" s="85"/>
      <c r="D648" s="85"/>
      <c r="E648" s="85"/>
      <c r="F648" s="85"/>
      <c r="G648" s="85"/>
      <c r="H648" s="85"/>
      <c r="I648" s="91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2.75" customHeight="1" spans="1:26">
      <c r="A649" s="85"/>
      <c r="B649" s="85"/>
      <c r="C649" s="85"/>
      <c r="D649" s="85"/>
      <c r="E649" s="85"/>
      <c r="F649" s="85"/>
      <c r="G649" s="85"/>
      <c r="H649" s="85"/>
      <c r="I649" s="91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2.75" customHeight="1" spans="1:26">
      <c r="A650" s="85"/>
      <c r="B650" s="85"/>
      <c r="C650" s="85"/>
      <c r="D650" s="85"/>
      <c r="E650" s="85"/>
      <c r="F650" s="85"/>
      <c r="G650" s="85"/>
      <c r="H650" s="85"/>
      <c r="I650" s="91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2.75" customHeight="1" spans="1:26">
      <c r="A651" s="85"/>
      <c r="B651" s="85"/>
      <c r="C651" s="85"/>
      <c r="D651" s="85"/>
      <c r="E651" s="85"/>
      <c r="F651" s="85"/>
      <c r="G651" s="85"/>
      <c r="H651" s="85"/>
      <c r="I651" s="91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2.75" customHeight="1" spans="1:26">
      <c r="A652" s="85"/>
      <c r="B652" s="85"/>
      <c r="C652" s="85"/>
      <c r="D652" s="85"/>
      <c r="E652" s="85"/>
      <c r="F652" s="85"/>
      <c r="G652" s="85"/>
      <c r="H652" s="85"/>
      <c r="I652" s="91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2.75" customHeight="1" spans="1:26">
      <c r="A653" s="85"/>
      <c r="B653" s="85"/>
      <c r="C653" s="85"/>
      <c r="D653" s="85"/>
      <c r="E653" s="85"/>
      <c r="F653" s="85"/>
      <c r="G653" s="85"/>
      <c r="H653" s="85"/>
      <c r="I653" s="91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2.75" customHeight="1" spans="1:26">
      <c r="A654" s="85"/>
      <c r="B654" s="85"/>
      <c r="C654" s="85"/>
      <c r="D654" s="85"/>
      <c r="E654" s="85"/>
      <c r="F654" s="85"/>
      <c r="G654" s="85"/>
      <c r="H654" s="85"/>
      <c r="I654" s="91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2.75" customHeight="1" spans="1:26">
      <c r="A655" s="85"/>
      <c r="B655" s="85"/>
      <c r="C655" s="85"/>
      <c r="D655" s="85"/>
      <c r="E655" s="85"/>
      <c r="F655" s="85"/>
      <c r="G655" s="85"/>
      <c r="H655" s="85"/>
      <c r="I655" s="91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2.75" customHeight="1" spans="1:26">
      <c r="A656" s="85"/>
      <c r="B656" s="85"/>
      <c r="C656" s="85"/>
      <c r="D656" s="85"/>
      <c r="E656" s="85"/>
      <c r="F656" s="85"/>
      <c r="G656" s="85"/>
      <c r="H656" s="85"/>
      <c r="I656" s="91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2.75" customHeight="1" spans="1:26">
      <c r="A657" s="85"/>
      <c r="B657" s="85"/>
      <c r="C657" s="85"/>
      <c r="D657" s="85"/>
      <c r="E657" s="85"/>
      <c r="F657" s="85"/>
      <c r="G657" s="85"/>
      <c r="H657" s="85"/>
      <c r="I657" s="91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2.75" customHeight="1" spans="1:26">
      <c r="A658" s="85"/>
      <c r="B658" s="85"/>
      <c r="C658" s="85"/>
      <c r="D658" s="85"/>
      <c r="E658" s="85"/>
      <c r="F658" s="85"/>
      <c r="G658" s="85"/>
      <c r="H658" s="85"/>
      <c r="I658" s="91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2.75" customHeight="1" spans="1:26">
      <c r="A659" s="85"/>
      <c r="B659" s="85"/>
      <c r="C659" s="85"/>
      <c r="D659" s="85"/>
      <c r="E659" s="85"/>
      <c r="F659" s="85"/>
      <c r="G659" s="85"/>
      <c r="H659" s="85"/>
      <c r="I659" s="91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2.75" customHeight="1" spans="1:26">
      <c r="A660" s="85"/>
      <c r="B660" s="85"/>
      <c r="C660" s="85"/>
      <c r="D660" s="85"/>
      <c r="E660" s="85"/>
      <c r="F660" s="85"/>
      <c r="G660" s="85"/>
      <c r="H660" s="85"/>
      <c r="I660" s="91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2.75" customHeight="1" spans="1:26">
      <c r="A661" s="85"/>
      <c r="B661" s="85"/>
      <c r="C661" s="85"/>
      <c r="D661" s="85"/>
      <c r="E661" s="85"/>
      <c r="F661" s="85"/>
      <c r="G661" s="85"/>
      <c r="H661" s="85"/>
      <c r="I661" s="91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2.75" customHeight="1" spans="1:26">
      <c r="A662" s="85"/>
      <c r="B662" s="85"/>
      <c r="C662" s="85"/>
      <c r="D662" s="85"/>
      <c r="E662" s="85"/>
      <c r="F662" s="85"/>
      <c r="G662" s="85"/>
      <c r="H662" s="85"/>
      <c r="I662" s="91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2.75" customHeight="1" spans="1:26">
      <c r="A663" s="85"/>
      <c r="B663" s="85"/>
      <c r="C663" s="85"/>
      <c r="D663" s="85"/>
      <c r="E663" s="85"/>
      <c r="F663" s="85"/>
      <c r="G663" s="85"/>
      <c r="H663" s="85"/>
      <c r="I663" s="91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2.75" customHeight="1" spans="1:26">
      <c r="A664" s="85"/>
      <c r="B664" s="85"/>
      <c r="C664" s="85"/>
      <c r="D664" s="85"/>
      <c r="E664" s="85"/>
      <c r="F664" s="85"/>
      <c r="G664" s="85"/>
      <c r="H664" s="85"/>
      <c r="I664" s="91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2.75" customHeight="1" spans="1:26">
      <c r="A665" s="85"/>
      <c r="B665" s="85"/>
      <c r="C665" s="85"/>
      <c r="D665" s="85"/>
      <c r="E665" s="85"/>
      <c r="F665" s="85"/>
      <c r="G665" s="85"/>
      <c r="H665" s="85"/>
      <c r="I665" s="91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2.75" customHeight="1" spans="1:26">
      <c r="A666" s="85"/>
      <c r="B666" s="85"/>
      <c r="C666" s="85"/>
      <c r="D666" s="85"/>
      <c r="E666" s="85"/>
      <c r="F666" s="85"/>
      <c r="G666" s="85"/>
      <c r="H666" s="85"/>
      <c r="I666" s="91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2.75" customHeight="1" spans="1:26">
      <c r="A667" s="85"/>
      <c r="B667" s="85"/>
      <c r="C667" s="85"/>
      <c r="D667" s="85"/>
      <c r="E667" s="85"/>
      <c r="F667" s="85"/>
      <c r="G667" s="85"/>
      <c r="H667" s="85"/>
      <c r="I667" s="91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2.75" customHeight="1" spans="1:26">
      <c r="A668" s="85"/>
      <c r="B668" s="85"/>
      <c r="C668" s="85"/>
      <c r="D668" s="85"/>
      <c r="E668" s="85"/>
      <c r="F668" s="85"/>
      <c r="G668" s="85"/>
      <c r="H668" s="85"/>
      <c r="I668" s="91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2.75" customHeight="1" spans="1:26">
      <c r="A669" s="85"/>
      <c r="B669" s="85"/>
      <c r="C669" s="85"/>
      <c r="D669" s="85"/>
      <c r="E669" s="85"/>
      <c r="F669" s="85"/>
      <c r="G669" s="85"/>
      <c r="H669" s="85"/>
      <c r="I669" s="91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2.75" customHeight="1" spans="1:26">
      <c r="A670" s="85"/>
      <c r="B670" s="85"/>
      <c r="C670" s="85"/>
      <c r="D670" s="85"/>
      <c r="E670" s="85"/>
      <c r="F670" s="85"/>
      <c r="G670" s="85"/>
      <c r="H670" s="85"/>
      <c r="I670" s="91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2.75" customHeight="1" spans="1:26">
      <c r="A671" s="85"/>
      <c r="B671" s="85"/>
      <c r="C671" s="85"/>
      <c r="D671" s="85"/>
      <c r="E671" s="85"/>
      <c r="F671" s="85"/>
      <c r="G671" s="85"/>
      <c r="H671" s="85"/>
      <c r="I671" s="91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2.75" customHeight="1" spans="1:26">
      <c r="A672" s="85"/>
      <c r="B672" s="85"/>
      <c r="C672" s="85"/>
      <c r="D672" s="85"/>
      <c r="E672" s="85"/>
      <c r="F672" s="85"/>
      <c r="G672" s="85"/>
      <c r="H672" s="85"/>
      <c r="I672" s="91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2.75" customHeight="1" spans="1:26">
      <c r="A673" s="85"/>
      <c r="B673" s="85"/>
      <c r="C673" s="85"/>
      <c r="D673" s="85"/>
      <c r="E673" s="85"/>
      <c r="F673" s="85"/>
      <c r="G673" s="85"/>
      <c r="H673" s="85"/>
      <c r="I673" s="91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2.75" customHeight="1" spans="1:26">
      <c r="A674" s="85"/>
      <c r="B674" s="85"/>
      <c r="C674" s="85"/>
      <c r="D674" s="85"/>
      <c r="E674" s="85"/>
      <c r="F674" s="85"/>
      <c r="G674" s="85"/>
      <c r="H674" s="85"/>
      <c r="I674" s="91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2.75" customHeight="1" spans="1:26">
      <c r="A675" s="85"/>
      <c r="B675" s="85"/>
      <c r="C675" s="85"/>
      <c r="D675" s="85"/>
      <c r="E675" s="85"/>
      <c r="F675" s="85"/>
      <c r="G675" s="85"/>
      <c r="H675" s="85"/>
      <c r="I675" s="91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2.75" customHeight="1" spans="1:26">
      <c r="A676" s="85"/>
      <c r="B676" s="85"/>
      <c r="C676" s="85"/>
      <c r="D676" s="85"/>
      <c r="E676" s="85"/>
      <c r="F676" s="85"/>
      <c r="G676" s="85"/>
      <c r="H676" s="85"/>
      <c r="I676" s="91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2.75" customHeight="1" spans="1:26">
      <c r="A677" s="85"/>
      <c r="B677" s="85"/>
      <c r="C677" s="85"/>
      <c r="D677" s="85"/>
      <c r="E677" s="85"/>
      <c r="F677" s="85"/>
      <c r="G677" s="85"/>
      <c r="H677" s="85"/>
      <c r="I677" s="91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2.75" customHeight="1" spans="1:26">
      <c r="A678" s="85"/>
      <c r="B678" s="85"/>
      <c r="C678" s="85"/>
      <c r="D678" s="85"/>
      <c r="E678" s="85"/>
      <c r="F678" s="85"/>
      <c r="G678" s="85"/>
      <c r="H678" s="85"/>
      <c r="I678" s="91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2.75" customHeight="1" spans="1:26">
      <c r="A679" s="85"/>
      <c r="B679" s="85"/>
      <c r="C679" s="85"/>
      <c r="D679" s="85"/>
      <c r="E679" s="85"/>
      <c r="F679" s="85"/>
      <c r="G679" s="85"/>
      <c r="H679" s="85"/>
      <c r="I679" s="91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2.75" customHeight="1" spans="1:26">
      <c r="A680" s="85"/>
      <c r="B680" s="85"/>
      <c r="C680" s="85"/>
      <c r="D680" s="85"/>
      <c r="E680" s="85"/>
      <c r="F680" s="85"/>
      <c r="G680" s="85"/>
      <c r="H680" s="85"/>
      <c r="I680" s="91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2.75" customHeight="1" spans="1:26">
      <c r="A681" s="85"/>
      <c r="B681" s="85"/>
      <c r="C681" s="85"/>
      <c r="D681" s="85"/>
      <c r="E681" s="85"/>
      <c r="F681" s="85"/>
      <c r="G681" s="85"/>
      <c r="H681" s="85"/>
      <c r="I681" s="91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2.75" customHeight="1" spans="1:26">
      <c r="A682" s="85"/>
      <c r="B682" s="85"/>
      <c r="C682" s="85"/>
      <c r="D682" s="85"/>
      <c r="E682" s="85"/>
      <c r="F682" s="85"/>
      <c r="G682" s="85"/>
      <c r="H682" s="85"/>
      <c r="I682" s="91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2.75" customHeight="1" spans="1:26">
      <c r="A683" s="85"/>
      <c r="B683" s="85"/>
      <c r="C683" s="85"/>
      <c r="D683" s="85"/>
      <c r="E683" s="85"/>
      <c r="F683" s="85"/>
      <c r="G683" s="85"/>
      <c r="H683" s="85"/>
      <c r="I683" s="91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2.75" customHeight="1" spans="1:26">
      <c r="A684" s="85"/>
      <c r="B684" s="85"/>
      <c r="C684" s="85"/>
      <c r="D684" s="85"/>
      <c r="E684" s="85"/>
      <c r="F684" s="85"/>
      <c r="G684" s="85"/>
      <c r="H684" s="85"/>
      <c r="I684" s="91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2.75" customHeight="1" spans="1:26">
      <c r="A685" s="85"/>
      <c r="B685" s="85"/>
      <c r="C685" s="85"/>
      <c r="D685" s="85"/>
      <c r="E685" s="85"/>
      <c r="F685" s="85"/>
      <c r="G685" s="85"/>
      <c r="H685" s="85"/>
      <c r="I685" s="91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2.75" customHeight="1" spans="1:26">
      <c r="A686" s="85"/>
      <c r="B686" s="85"/>
      <c r="C686" s="85"/>
      <c r="D686" s="85"/>
      <c r="E686" s="85"/>
      <c r="F686" s="85"/>
      <c r="G686" s="85"/>
      <c r="H686" s="85"/>
      <c r="I686" s="91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2.75" customHeight="1" spans="1:26">
      <c r="A687" s="85"/>
      <c r="B687" s="85"/>
      <c r="C687" s="85"/>
      <c r="D687" s="85"/>
      <c r="E687" s="85"/>
      <c r="F687" s="85"/>
      <c r="G687" s="85"/>
      <c r="H687" s="85"/>
      <c r="I687" s="91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2.75" customHeight="1" spans="1:26">
      <c r="A688" s="85"/>
      <c r="B688" s="85"/>
      <c r="C688" s="85"/>
      <c r="D688" s="85"/>
      <c r="E688" s="85"/>
      <c r="F688" s="85"/>
      <c r="G688" s="85"/>
      <c r="H688" s="85"/>
      <c r="I688" s="91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2.75" customHeight="1" spans="1:26">
      <c r="A689" s="85"/>
      <c r="B689" s="85"/>
      <c r="C689" s="85"/>
      <c r="D689" s="85"/>
      <c r="E689" s="85"/>
      <c r="F689" s="85"/>
      <c r="G689" s="85"/>
      <c r="H689" s="85"/>
      <c r="I689" s="91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2.75" customHeight="1" spans="1:26">
      <c r="A690" s="85"/>
      <c r="B690" s="85"/>
      <c r="C690" s="85"/>
      <c r="D690" s="85"/>
      <c r="E690" s="85"/>
      <c r="F690" s="85"/>
      <c r="G690" s="85"/>
      <c r="H690" s="85"/>
      <c r="I690" s="91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2.75" customHeight="1" spans="1:26">
      <c r="A691" s="85"/>
      <c r="B691" s="85"/>
      <c r="C691" s="85"/>
      <c r="D691" s="85"/>
      <c r="E691" s="85"/>
      <c r="F691" s="85"/>
      <c r="G691" s="85"/>
      <c r="H691" s="85"/>
      <c r="I691" s="91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2.75" customHeight="1" spans="1:26">
      <c r="A692" s="85"/>
      <c r="B692" s="85"/>
      <c r="C692" s="85"/>
      <c r="D692" s="85"/>
      <c r="E692" s="85"/>
      <c r="F692" s="85"/>
      <c r="G692" s="85"/>
      <c r="H692" s="85"/>
      <c r="I692" s="91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2.75" customHeight="1" spans="1:26">
      <c r="A693" s="85"/>
      <c r="B693" s="85"/>
      <c r="C693" s="85"/>
      <c r="D693" s="85"/>
      <c r="E693" s="85"/>
      <c r="F693" s="85"/>
      <c r="G693" s="85"/>
      <c r="H693" s="85"/>
      <c r="I693" s="91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2.75" customHeight="1" spans="1:26">
      <c r="A694" s="85"/>
      <c r="B694" s="85"/>
      <c r="C694" s="85"/>
      <c r="D694" s="85"/>
      <c r="E694" s="85"/>
      <c r="F694" s="85"/>
      <c r="G694" s="85"/>
      <c r="H694" s="85"/>
      <c r="I694" s="91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2.75" customHeight="1" spans="1:26">
      <c r="A695" s="85"/>
      <c r="B695" s="85"/>
      <c r="C695" s="85"/>
      <c r="D695" s="85"/>
      <c r="E695" s="85"/>
      <c r="F695" s="85"/>
      <c r="G695" s="85"/>
      <c r="H695" s="85"/>
      <c r="I695" s="91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2.75" customHeight="1" spans="1:26">
      <c r="A696" s="85"/>
      <c r="B696" s="85"/>
      <c r="C696" s="85"/>
      <c r="D696" s="85"/>
      <c r="E696" s="85"/>
      <c r="F696" s="85"/>
      <c r="G696" s="85"/>
      <c r="H696" s="85"/>
      <c r="I696" s="91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2.75" customHeight="1" spans="1:26">
      <c r="A697" s="85"/>
      <c r="B697" s="85"/>
      <c r="C697" s="85"/>
      <c r="D697" s="85"/>
      <c r="E697" s="85"/>
      <c r="F697" s="85"/>
      <c r="G697" s="85"/>
      <c r="H697" s="85"/>
      <c r="I697" s="91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2.75" customHeight="1" spans="1:26">
      <c r="A698" s="85"/>
      <c r="B698" s="85"/>
      <c r="C698" s="85"/>
      <c r="D698" s="85"/>
      <c r="E698" s="85"/>
      <c r="F698" s="85"/>
      <c r="G698" s="85"/>
      <c r="H698" s="85"/>
      <c r="I698" s="91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2.75" customHeight="1" spans="1:26">
      <c r="A699" s="85"/>
      <c r="B699" s="85"/>
      <c r="C699" s="85"/>
      <c r="D699" s="85"/>
      <c r="E699" s="85"/>
      <c r="F699" s="85"/>
      <c r="G699" s="85"/>
      <c r="H699" s="85"/>
      <c r="I699" s="91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2.75" customHeight="1" spans="1:26">
      <c r="A700" s="85"/>
      <c r="B700" s="85"/>
      <c r="C700" s="85"/>
      <c r="D700" s="85"/>
      <c r="E700" s="85"/>
      <c r="F700" s="85"/>
      <c r="G700" s="85"/>
      <c r="H700" s="85"/>
      <c r="I700" s="91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2.75" customHeight="1" spans="1:26">
      <c r="A701" s="85"/>
      <c r="B701" s="85"/>
      <c r="C701" s="85"/>
      <c r="D701" s="85"/>
      <c r="E701" s="85"/>
      <c r="F701" s="85"/>
      <c r="G701" s="85"/>
      <c r="H701" s="85"/>
      <c r="I701" s="91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2.75" customHeight="1" spans="1:26">
      <c r="A702" s="85"/>
      <c r="B702" s="85"/>
      <c r="C702" s="85"/>
      <c r="D702" s="85"/>
      <c r="E702" s="85"/>
      <c r="F702" s="85"/>
      <c r="G702" s="85"/>
      <c r="H702" s="85"/>
      <c r="I702" s="91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2.75" customHeight="1" spans="1:26">
      <c r="A703" s="85"/>
      <c r="B703" s="85"/>
      <c r="C703" s="85"/>
      <c r="D703" s="85"/>
      <c r="E703" s="85"/>
      <c r="F703" s="85"/>
      <c r="G703" s="85"/>
      <c r="H703" s="85"/>
      <c r="I703" s="91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2.75" customHeight="1" spans="1:26">
      <c r="A704" s="85"/>
      <c r="B704" s="85"/>
      <c r="C704" s="85"/>
      <c r="D704" s="85"/>
      <c r="E704" s="85"/>
      <c r="F704" s="85"/>
      <c r="G704" s="85"/>
      <c r="H704" s="85"/>
      <c r="I704" s="91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2.75" customHeight="1" spans="1:26">
      <c r="A705" s="85"/>
      <c r="B705" s="85"/>
      <c r="C705" s="85"/>
      <c r="D705" s="85"/>
      <c r="E705" s="85"/>
      <c r="F705" s="85"/>
      <c r="G705" s="85"/>
      <c r="H705" s="85"/>
      <c r="I705" s="91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2.75" customHeight="1" spans="1:26">
      <c r="A706" s="85"/>
      <c r="B706" s="85"/>
      <c r="C706" s="85"/>
      <c r="D706" s="85"/>
      <c r="E706" s="85"/>
      <c r="F706" s="85"/>
      <c r="G706" s="85"/>
      <c r="H706" s="85"/>
      <c r="I706" s="91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2.75" customHeight="1" spans="1:26">
      <c r="A707" s="85"/>
      <c r="B707" s="85"/>
      <c r="C707" s="85"/>
      <c r="D707" s="85"/>
      <c r="E707" s="85"/>
      <c r="F707" s="85"/>
      <c r="G707" s="85"/>
      <c r="H707" s="85"/>
      <c r="I707" s="91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2.75" customHeight="1" spans="1:26">
      <c r="A708" s="85"/>
      <c r="B708" s="85"/>
      <c r="C708" s="85"/>
      <c r="D708" s="85"/>
      <c r="E708" s="85"/>
      <c r="F708" s="85"/>
      <c r="G708" s="85"/>
      <c r="H708" s="85"/>
      <c r="I708" s="91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2.75" customHeight="1" spans="1:26">
      <c r="A709" s="85"/>
      <c r="B709" s="85"/>
      <c r="C709" s="85"/>
      <c r="D709" s="85"/>
      <c r="E709" s="85"/>
      <c r="F709" s="85"/>
      <c r="G709" s="85"/>
      <c r="H709" s="85"/>
      <c r="I709" s="91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2.75" customHeight="1" spans="1:26">
      <c r="A710" s="85"/>
      <c r="B710" s="85"/>
      <c r="C710" s="85"/>
      <c r="D710" s="85"/>
      <c r="E710" s="85"/>
      <c r="F710" s="85"/>
      <c r="G710" s="85"/>
      <c r="H710" s="85"/>
      <c r="I710" s="91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2.75" customHeight="1" spans="1:26">
      <c r="A711" s="85"/>
      <c r="B711" s="85"/>
      <c r="C711" s="85"/>
      <c r="D711" s="85"/>
      <c r="E711" s="85"/>
      <c r="F711" s="85"/>
      <c r="G711" s="85"/>
      <c r="H711" s="85"/>
      <c r="I711" s="91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2.75" customHeight="1" spans="1:26">
      <c r="A712" s="85"/>
      <c r="B712" s="85"/>
      <c r="C712" s="85"/>
      <c r="D712" s="85"/>
      <c r="E712" s="85"/>
      <c r="F712" s="85"/>
      <c r="G712" s="85"/>
      <c r="H712" s="85"/>
      <c r="I712" s="91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2.75" customHeight="1" spans="1:26">
      <c r="A713" s="85"/>
      <c r="B713" s="85"/>
      <c r="C713" s="85"/>
      <c r="D713" s="85"/>
      <c r="E713" s="85"/>
      <c r="F713" s="85"/>
      <c r="G713" s="85"/>
      <c r="H713" s="85"/>
      <c r="I713" s="91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2.75" customHeight="1" spans="1:26">
      <c r="A714" s="85"/>
      <c r="B714" s="85"/>
      <c r="C714" s="85"/>
      <c r="D714" s="85"/>
      <c r="E714" s="85"/>
      <c r="F714" s="85"/>
      <c r="G714" s="85"/>
      <c r="H714" s="85"/>
      <c r="I714" s="91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2.75" customHeight="1" spans="1:26">
      <c r="A715" s="85"/>
      <c r="B715" s="85"/>
      <c r="C715" s="85"/>
      <c r="D715" s="85"/>
      <c r="E715" s="85"/>
      <c r="F715" s="85"/>
      <c r="G715" s="85"/>
      <c r="H715" s="85"/>
      <c r="I715" s="91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2.75" customHeight="1" spans="1:26">
      <c r="A716" s="85"/>
      <c r="B716" s="85"/>
      <c r="C716" s="85"/>
      <c r="D716" s="85"/>
      <c r="E716" s="85"/>
      <c r="F716" s="85"/>
      <c r="G716" s="85"/>
      <c r="H716" s="85"/>
      <c r="I716" s="91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2.75" customHeight="1" spans="1:26">
      <c r="A717" s="85"/>
      <c r="B717" s="85"/>
      <c r="C717" s="85"/>
      <c r="D717" s="85"/>
      <c r="E717" s="85"/>
      <c r="F717" s="85"/>
      <c r="G717" s="85"/>
      <c r="H717" s="85"/>
      <c r="I717" s="91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2.75" customHeight="1" spans="1:26">
      <c r="A718" s="85"/>
      <c r="B718" s="85"/>
      <c r="C718" s="85"/>
      <c r="D718" s="85"/>
      <c r="E718" s="85"/>
      <c r="F718" s="85"/>
      <c r="G718" s="85"/>
      <c r="H718" s="85"/>
      <c r="I718" s="91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2.75" customHeight="1" spans="1:26">
      <c r="A719" s="85"/>
      <c r="B719" s="85"/>
      <c r="C719" s="85"/>
      <c r="D719" s="85"/>
      <c r="E719" s="85"/>
      <c r="F719" s="85"/>
      <c r="G719" s="85"/>
      <c r="H719" s="85"/>
      <c r="I719" s="91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2.75" customHeight="1" spans="1:26">
      <c r="A720" s="85"/>
      <c r="B720" s="85"/>
      <c r="C720" s="85"/>
      <c r="D720" s="85"/>
      <c r="E720" s="85"/>
      <c r="F720" s="85"/>
      <c r="G720" s="85"/>
      <c r="H720" s="85"/>
      <c r="I720" s="91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2.75" customHeight="1" spans="1:26">
      <c r="A721" s="85"/>
      <c r="B721" s="85"/>
      <c r="C721" s="85"/>
      <c r="D721" s="85"/>
      <c r="E721" s="85"/>
      <c r="F721" s="85"/>
      <c r="G721" s="85"/>
      <c r="H721" s="85"/>
      <c r="I721" s="91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2.75" customHeight="1" spans="1:26">
      <c r="A722" s="85"/>
      <c r="B722" s="85"/>
      <c r="C722" s="85"/>
      <c r="D722" s="85"/>
      <c r="E722" s="85"/>
      <c r="F722" s="85"/>
      <c r="G722" s="85"/>
      <c r="H722" s="85"/>
      <c r="I722" s="91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2.75" customHeight="1" spans="1:26">
      <c r="A723" s="85"/>
      <c r="B723" s="85"/>
      <c r="C723" s="85"/>
      <c r="D723" s="85"/>
      <c r="E723" s="85"/>
      <c r="F723" s="85"/>
      <c r="G723" s="85"/>
      <c r="H723" s="85"/>
      <c r="I723" s="91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2.75" customHeight="1" spans="1:26">
      <c r="A724" s="85"/>
      <c r="B724" s="85"/>
      <c r="C724" s="85"/>
      <c r="D724" s="85"/>
      <c r="E724" s="85"/>
      <c r="F724" s="85"/>
      <c r="G724" s="85"/>
      <c r="H724" s="85"/>
      <c r="I724" s="91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2.75" customHeight="1" spans="1:26">
      <c r="A725" s="85"/>
      <c r="B725" s="85"/>
      <c r="C725" s="85"/>
      <c r="D725" s="85"/>
      <c r="E725" s="85"/>
      <c r="F725" s="85"/>
      <c r="G725" s="85"/>
      <c r="H725" s="85"/>
      <c r="I725" s="91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2.75" customHeight="1" spans="1:26">
      <c r="A726" s="85"/>
      <c r="B726" s="85"/>
      <c r="C726" s="85"/>
      <c r="D726" s="85"/>
      <c r="E726" s="85"/>
      <c r="F726" s="85"/>
      <c r="G726" s="85"/>
      <c r="H726" s="85"/>
      <c r="I726" s="91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2.75" customHeight="1" spans="1:26">
      <c r="A727" s="85"/>
      <c r="B727" s="85"/>
      <c r="C727" s="85"/>
      <c r="D727" s="85"/>
      <c r="E727" s="85"/>
      <c r="F727" s="85"/>
      <c r="G727" s="85"/>
      <c r="H727" s="85"/>
      <c r="I727" s="91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2.75" customHeight="1" spans="1:26">
      <c r="A728" s="85"/>
      <c r="B728" s="85"/>
      <c r="C728" s="85"/>
      <c r="D728" s="85"/>
      <c r="E728" s="85"/>
      <c r="F728" s="85"/>
      <c r="G728" s="85"/>
      <c r="H728" s="85"/>
      <c r="I728" s="91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2.75" customHeight="1" spans="1:26">
      <c r="A729" s="85"/>
      <c r="B729" s="85"/>
      <c r="C729" s="85"/>
      <c r="D729" s="85"/>
      <c r="E729" s="85"/>
      <c r="F729" s="85"/>
      <c r="G729" s="85"/>
      <c r="H729" s="85"/>
      <c r="I729" s="91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2.75" customHeight="1" spans="1:26">
      <c r="A730" s="85"/>
      <c r="B730" s="85"/>
      <c r="C730" s="85"/>
      <c r="D730" s="85"/>
      <c r="E730" s="85"/>
      <c r="F730" s="85"/>
      <c r="G730" s="85"/>
      <c r="H730" s="85"/>
      <c r="I730" s="91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2.75" customHeight="1" spans="1:26">
      <c r="A731" s="85"/>
      <c r="B731" s="85"/>
      <c r="C731" s="85"/>
      <c r="D731" s="85"/>
      <c r="E731" s="85"/>
      <c r="F731" s="85"/>
      <c r="G731" s="85"/>
      <c r="H731" s="85"/>
      <c r="I731" s="91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2.75" customHeight="1" spans="1:26">
      <c r="A732" s="85"/>
      <c r="B732" s="85"/>
      <c r="C732" s="85"/>
      <c r="D732" s="85"/>
      <c r="E732" s="85"/>
      <c r="F732" s="85"/>
      <c r="G732" s="85"/>
      <c r="H732" s="85"/>
      <c r="I732" s="91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2.75" customHeight="1" spans="1:26">
      <c r="A733" s="85"/>
      <c r="B733" s="85"/>
      <c r="C733" s="85"/>
      <c r="D733" s="85"/>
      <c r="E733" s="85"/>
      <c r="F733" s="85"/>
      <c r="G733" s="85"/>
      <c r="H733" s="85"/>
      <c r="I733" s="91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2.75" customHeight="1" spans="1:26">
      <c r="A734" s="85"/>
      <c r="B734" s="85"/>
      <c r="C734" s="85"/>
      <c r="D734" s="85"/>
      <c r="E734" s="85"/>
      <c r="F734" s="85"/>
      <c r="G734" s="85"/>
      <c r="H734" s="85"/>
      <c r="I734" s="91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2.75" customHeight="1" spans="1:26">
      <c r="A735" s="85"/>
      <c r="B735" s="85"/>
      <c r="C735" s="85"/>
      <c r="D735" s="85"/>
      <c r="E735" s="85"/>
      <c r="F735" s="85"/>
      <c r="G735" s="85"/>
      <c r="H735" s="85"/>
      <c r="I735" s="91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2.75" customHeight="1" spans="1:26">
      <c r="A736" s="85"/>
      <c r="B736" s="85"/>
      <c r="C736" s="85"/>
      <c r="D736" s="85"/>
      <c r="E736" s="85"/>
      <c r="F736" s="85"/>
      <c r="G736" s="85"/>
      <c r="H736" s="85"/>
      <c r="I736" s="91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2.75" customHeight="1" spans="1:26">
      <c r="A737" s="85"/>
      <c r="B737" s="85"/>
      <c r="C737" s="85"/>
      <c r="D737" s="85"/>
      <c r="E737" s="85"/>
      <c r="F737" s="85"/>
      <c r="G737" s="85"/>
      <c r="H737" s="85"/>
      <c r="I737" s="91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2.75" customHeight="1" spans="1:26">
      <c r="A738" s="85"/>
      <c r="B738" s="85"/>
      <c r="C738" s="85"/>
      <c r="D738" s="85"/>
      <c r="E738" s="85"/>
      <c r="F738" s="85"/>
      <c r="G738" s="85"/>
      <c r="H738" s="85"/>
      <c r="I738" s="91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2.75" customHeight="1" spans="1:26">
      <c r="A739" s="85"/>
      <c r="B739" s="85"/>
      <c r="C739" s="85"/>
      <c r="D739" s="85"/>
      <c r="E739" s="85"/>
      <c r="F739" s="85"/>
      <c r="G739" s="85"/>
      <c r="H739" s="85"/>
      <c r="I739" s="91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2.75" customHeight="1" spans="1:26">
      <c r="A740" s="85"/>
      <c r="B740" s="85"/>
      <c r="C740" s="85"/>
      <c r="D740" s="85"/>
      <c r="E740" s="85"/>
      <c r="F740" s="85"/>
      <c r="G740" s="85"/>
      <c r="H740" s="85"/>
      <c r="I740" s="91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2.75" customHeight="1" spans="1:26">
      <c r="A741" s="85"/>
      <c r="B741" s="85"/>
      <c r="C741" s="85"/>
      <c r="D741" s="85"/>
      <c r="E741" s="85"/>
      <c r="F741" s="85"/>
      <c r="G741" s="85"/>
      <c r="H741" s="85"/>
      <c r="I741" s="91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2.75" customHeight="1" spans="1:26">
      <c r="A742" s="85"/>
      <c r="B742" s="85"/>
      <c r="C742" s="85"/>
      <c r="D742" s="85"/>
      <c r="E742" s="85"/>
      <c r="F742" s="85"/>
      <c r="G742" s="85"/>
      <c r="H742" s="85"/>
      <c r="I742" s="91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2.75" customHeight="1" spans="1:26">
      <c r="A743" s="85"/>
      <c r="B743" s="85"/>
      <c r="C743" s="85"/>
      <c r="D743" s="85"/>
      <c r="E743" s="85"/>
      <c r="F743" s="85"/>
      <c r="G743" s="85"/>
      <c r="H743" s="85"/>
      <c r="I743" s="91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2.75" customHeight="1" spans="1:26">
      <c r="A744" s="85"/>
      <c r="B744" s="85"/>
      <c r="C744" s="85"/>
      <c r="D744" s="85"/>
      <c r="E744" s="85"/>
      <c r="F744" s="85"/>
      <c r="G744" s="85"/>
      <c r="H744" s="85"/>
      <c r="I744" s="91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2.75" customHeight="1" spans="1:26">
      <c r="A745" s="85"/>
      <c r="B745" s="85"/>
      <c r="C745" s="85"/>
      <c r="D745" s="85"/>
      <c r="E745" s="85"/>
      <c r="F745" s="85"/>
      <c r="G745" s="85"/>
      <c r="H745" s="85"/>
      <c r="I745" s="91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2.75" customHeight="1" spans="1:26">
      <c r="A746" s="85"/>
      <c r="B746" s="85"/>
      <c r="C746" s="85"/>
      <c r="D746" s="85"/>
      <c r="E746" s="85"/>
      <c r="F746" s="85"/>
      <c r="G746" s="85"/>
      <c r="H746" s="85"/>
      <c r="I746" s="91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2.75" customHeight="1" spans="1:26">
      <c r="A747" s="85"/>
      <c r="B747" s="85"/>
      <c r="C747" s="85"/>
      <c r="D747" s="85"/>
      <c r="E747" s="85"/>
      <c r="F747" s="85"/>
      <c r="G747" s="85"/>
      <c r="H747" s="85"/>
      <c r="I747" s="91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2.75" customHeight="1" spans="1:26">
      <c r="A748" s="85"/>
      <c r="B748" s="85"/>
      <c r="C748" s="85"/>
      <c r="D748" s="85"/>
      <c r="E748" s="85"/>
      <c r="F748" s="85"/>
      <c r="G748" s="85"/>
      <c r="H748" s="85"/>
      <c r="I748" s="91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2.75" customHeight="1" spans="1:26">
      <c r="A749" s="85"/>
      <c r="B749" s="85"/>
      <c r="C749" s="85"/>
      <c r="D749" s="85"/>
      <c r="E749" s="85"/>
      <c r="F749" s="85"/>
      <c r="G749" s="85"/>
      <c r="H749" s="85"/>
      <c r="I749" s="91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2.75" customHeight="1" spans="1:26">
      <c r="A750" s="85"/>
      <c r="B750" s="85"/>
      <c r="C750" s="85"/>
      <c r="D750" s="85"/>
      <c r="E750" s="85"/>
      <c r="F750" s="85"/>
      <c r="G750" s="85"/>
      <c r="H750" s="85"/>
      <c r="I750" s="91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2.75" customHeight="1" spans="1:26">
      <c r="A751" s="85"/>
      <c r="B751" s="85"/>
      <c r="C751" s="85"/>
      <c r="D751" s="85"/>
      <c r="E751" s="85"/>
      <c r="F751" s="85"/>
      <c r="G751" s="85"/>
      <c r="H751" s="85"/>
      <c r="I751" s="91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2.75" customHeight="1" spans="1:26">
      <c r="A752" s="85"/>
      <c r="B752" s="85"/>
      <c r="C752" s="85"/>
      <c r="D752" s="85"/>
      <c r="E752" s="85"/>
      <c r="F752" s="85"/>
      <c r="G752" s="85"/>
      <c r="H752" s="85"/>
      <c r="I752" s="91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2.75" customHeight="1" spans="1:26">
      <c r="A753" s="85"/>
      <c r="B753" s="85"/>
      <c r="C753" s="85"/>
      <c r="D753" s="85"/>
      <c r="E753" s="85"/>
      <c r="F753" s="85"/>
      <c r="G753" s="85"/>
      <c r="H753" s="85"/>
      <c r="I753" s="91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2.75" customHeight="1" spans="1:26">
      <c r="A754" s="85"/>
      <c r="B754" s="85"/>
      <c r="C754" s="85"/>
      <c r="D754" s="85"/>
      <c r="E754" s="85"/>
      <c r="F754" s="85"/>
      <c r="G754" s="85"/>
      <c r="H754" s="85"/>
      <c r="I754" s="91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2.75" customHeight="1" spans="1:26">
      <c r="A755" s="85"/>
      <c r="B755" s="85"/>
      <c r="C755" s="85"/>
      <c r="D755" s="85"/>
      <c r="E755" s="85"/>
      <c r="F755" s="85"/>
      <c r="G755" s="85"/>
      <c r="H755" s="85"/>
      <c r="I755" s="91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2.75" customHeight="1" spans="1:26">
      <c r="A756" s="85"/>
      <c r="B756" s="85"/>
      <c r="C756" s="85"/>
      <c r="D756" s="85"/>
      <c r="E756" s="85"/>
      <c r="F756" s="85"/>
      <c r="G756" s="85"/>
      <c r="H756" s="85"/>
      <c r="I756" s="91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2.75" customHeight="1" spans="1:26">
      <c r="A757" s="85"/>
      <c r="B757" s="85"/>
      <c r="C757" s="85"/>
      <c r="D757" s="85"/>
      <c r="E757" s="85"/>
      <c r="F757" s="85"/>
      <c r="G757" s="85"/>
      <c r="H757" s="85"/>
      <c r="I757" s="91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2.75" customHeight="1" spans="1:26">
      <c r="A758" s="85"/>
      <c r="B758" s="85"/>
      <c r="C758" s="85"/>
      <c r="D758" s="85"/>
      <c r="E758" s="85"/>
      <c r="F758" s="85"/>
      <c r="G758" s="85"/>
      <c r="H758" s="85"/>
      <c r="I758" s="91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2.75" customHeight="1" spans="1:26">
      <c r="A759" s="85"/>
      <c r="B759" s="85"/>
      <c r="C759" s="85"/>
      <c r="D759" s="85"/>
      <c r="E759" s="85"/>
      <c r="F759" s="85"/>
      <c r="G759" s="85"/>
      <c r="H759" s="85"/>
      <c r="I759" s="91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2.75" customHeight="1" spans="1:26">
      <c r="A760" s="85"/>
      <c r="B760" s="85"/>
      <c r="C760" s="85"/>
      <c r="D760" s="85"/>
      <c r="E760" s="85"/>
      <c r="F760" s="85"/>
      <c r="G760" s="85"/>
      <c r="H760" s="85"/>
      <c r="I760" s="91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2.75" customHeight="1" spans="1:26">
      <c r="A761" s="85"/>
      <c r="B761" s="85"/>
      <c r="C761" s="85"/>
      <c r="D761" s="85"/>
      <c r="E761" s="85"/>
      <c r="F761" s="85"/>
      <c r="G761" s="85"/>
      <c r="H761" s="85"/>
      <c r="I761" s="91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2.75" customHeight="1" spans="1:26">
      <c r="A762" s="85"/>
      <c r="B762" s="85"/>
      <c r="C762" s="85"/>
      <c r="D762" s="85"/>
      <c r="E762" s="85"/>
      <c r="F762" s="85"/>
      <c r="G762" s="85"/>
      <c r="H762" s="85"/>
      <c r="I762" s="91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2.75" customHeight="1" spans="1:26">
      <c r="A763" s="85"/>
      <c r="B763" s="85"/>
      <c r="C763" s="85"/>
      <c r="D763" s="85"/>
      <c r="E763" s="85"/>
      <c r="F763" s="85"/>
      <c r="G763" s="85"/>
      <c r="H763" s="85"/>
      <c r="I763" s="91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2.75" customHeight="1" spans="1:26">
      <c r="A764" s="85"/>
      <c r="B764" s="85"/>
      <c r="C764" s="85"/>
      <c r="D764" s="85"/>
      <c r="E764" s="85"/>
      <c r="F764" s="85"/>
      <c r="G764" s="85"/>
      <c r="H764" s="85"/>
      <c r="I764" s="91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2.75" customHeight="1" spans="1:26">
      <c r="A765" s="85"/>
      <c r="B765" s="85"/>
      <c r="C765" s="85"/>
      <c r="D765" s="85"/>
      <c r="E765" s="85"/>
      <c r="F765" s="85"/>
      <c r="G765" s="85"/>
      <c r="H765" s="85"/>
      <c r="I765" s="91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2.75" customHeight="1" spans="1:26">
      <c r="A766" s="85"/>
      <c r="B766" s="85"/>
      <c r="C766" s="85"/>
      <c r="D766" s="85"/>
      <c r="E766" s="85"/>
      <c r="F766" s="85"/>
      <c r="G766" s="85"/>
      <c r="H766" s="85"/>
      <c r="I766" s="91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2.75" customHeight="1" spans="1:26">
      <c r="A767" s="85"/>
      <c r="B767" s="85"/>
      <c r="C767" s="85"/>
      <c r="D767" s="85"/>
      <c r="E767" s="85"/>
      <c r="F767" s="85"/>
      <c r="G767" s="85"/>
      <c r="H767" s="85"/>
      <c r="I767" s="91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2.75" customHeight="1" spans="1:26">
      <c r="A768" s="85"/>
      <c r="B768" s="85"/>
      <c r="C768" s="85"/>
      <c r="D768" s="85"/>
      <c r="E768" s="85"/>
      <c r="F768" s="85"/>
      <c r="G768" s="85"/>
      <c r="H768" s="85"/>
      <c r="I768" s="91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2.75" customHeight="1" spans="1:26">
      <c r="A769" s="85"/>
      <c r="B769" s="85"/>
      <c r="C769" s="85"/>
      <c r="D769" s="85"/>
      <c r="E769" s="85"/>
      <c r="F769" s="85"/>
      <c r="G769" s="85"/>
      <c r="H769" s="85"/>
      <c r="I769" s="91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2.75" customHeight="1" spans="1:26">
      <c r="A770" s="85"/>
      <c r="B770" s="85"/>
      <c r="C770" s="85"/>
      <c r="D770" s="85"/>
      <c r="E770" s="85"/>
      <c r="F770" s="85"/>
      <c r="G770" s="85"/>
      <c r="H770" s="85"/>
      <c r="I770" s="91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2.75" customHeight="1" spans="1:26">
      <c r="A771" s="85"/>
      <c r="B771" s="85"/>
      <c r="C771" s="85"/>
      <c r="D771" s="85"/>
      <c r="E771" s="85"/>
      <c r="F771" s="85"/>
      <c r="G771" s="85"/>
      <c r="H771" s="85"/>
      <c r="I771" s="91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2.75" customHeight="1" spans="1:26">
      <c r="A772" s="85"/>
      <c r="B772" s="85"/>
      <c r="C772" s="85"/>
      <c r="D772" s="85"/>
      <c r="E772" s="85"/>
      <c r="F772" s="85"/>
      <c r="G772" s="85"/>
      <c r="H772" s="85"/>
      <c r="I772" s="91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2.75" customHeight="1" spans="1:26">
      <c r="A773" s="85"/>
      <c r="B773" s="85"/>
      <c r="C773" s="85"/>
      <c r="D773" s="85"/>
      <c r="E773" s="85"/>
      <c r="F773" s="85"/>
      <c r="G773" s="85"/>
      <c r="H773" s="85"/>
      <c r="I773" s="91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2.75" customHeight="1" spans="1:26">
      <c r="A774" s="85"/>
      <c r="B774" s="85"/>
      <c r="C774" s="85"/>
      <c r="D774" s="85"/>
      <c r="E774" s="85"/>
      <c r="F774" s="85"/>
      <c r="G774" s="85"/>
      <c r="H774" s="85"/>
      <c r="I774" s="91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2.75" customHeight="1" spans="1:26">
      <c r="A775" s="85"/>
      <c r="B775" s="85"/>
      <c r="C775" s="85"/>
      <c r="D775" s="85"/>
      <c r="E775" s="85"/>
      <c r="F775" s="85"/>
      <c r="G775" s="85"/>
      <c r="H775" s="85"/>
      <c r="I775" s="91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2.75" customHeight="1" spans="1:26">
      <c r="A776" s="85"/>
      <c r="B776" s="85"/>
      <c r="C776" s="85"/>
      <c r="D776" s="85"/>
      <c r="E776" s="85"/>
      <c r="F776" s="85"/>
      <c r="G776" s="85"/>
      <c r="H776" s="85"/>
      <c r="I776" s="91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2.75" customHeight="1" spans="1:26">
      <c r="A777" s="85"/>
      <c r="B777" s="85"/>
      <c r="C777" s="85"/>
      <c r="D777" s="85"/>
      <c r="E777" s="85"/>
      <c r="F777" s="85"/>
      <c r="G777" s="85"/>
      <c r="H777" s="85"/>
      <c r="I777" s="91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2.75" customHeight="1" spans="1:26">
      <c r="A778" s="85"/>
      <c r="B778" s="85"/>
      <c r="C778" s="85"/>
      <c r="D778" s="85"/>
      <c r="E778" s="85"/>
      <c r="F778" s="85"/>
      <c r="G778" s="85"/>
      <c r="H778" s="85"/>
      <c r="I778" s="91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2.75" customHeight="1" spans="1:26">
      <c r="A779" s="85"/>
      <c r="B779" s="85"/>
      <c r="C779" s="85"/>
      <c r="D779" s="85"/>
      <c r="E779" s="85"/>
      <c r="F779" s="85"/>
      <c r="G779" s="85"/>
      <c r="H779" s="85"/>
      <c r="I779" s="91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2.75" customHeight="1" spans="1:26">
      <c r="A780" s="85"/>
      <c r="B780" s="85"/>
      <c r="C780" s="85"/>
      <c r="D780" s="85"/>
      <c r="E780" s="85"/>
      <c r="F780" s="85"/>
      <c r="G780" s="85"/>
      <c r="H780" s="85"/>
      <c r="I780" s="91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2.75" customHeight="1" spans="1:26">
      <c r="A781" s="85"/>
      <c r="B781" s="85"/>
      <c r="C781" s="85"/>
      <c r="D781" s="85"/>
      <c r="E781" s="85"/>
      <c r="F781" s="85"/>
      <c r="G781" s="85"/>
      <c r="H781" s="85"/>
      <c r="I781" s="91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2.75" customHeight="1" spans="1:26">
      <c r="A782" s="85"/>
      <c r="B782" s="85"/>
      <c r="C782" s="85"/>
      <c r="D782" s="85"/>
      <c r="E782" s="85"/>
      <c r="F782" s="85"/>
      <c r="G782" s="85"/>
      <c r="H782" s="85"/>
      <c r="I782" s="91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2.75" customHeight="1" spans="1:26">
      <c r="A783" s="85"/>
      <c r="B783" s="85"/>
      <c r="C783" s="85"/>
      <c r="D783" s="85"/>
      <c r="E783" s="85"/>
      <c r="F783" s="85"/>
      <c r="G783" s="85"/>
      <c r="H783" s="85"/>
      <c r="I783" s="91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2.75" customHeight="1" spans="1:26">
      <c r="A784" s="85"/>
      <c r="B784" s="85"/>
      <c r="C784" s="85"/>
      <c r="D784" s="85"/>
      <c r="E784" s="85"/>
      <c r="F784" s="85"/>
      <c r="G784" s="85"/>
      <c r="H784" s="85"/>
      <c r="I784" s="91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2.75" customHeight="1" spans="1:26">
      <c r="A785" s="85"/>
      <c r="B785" s="85"/>
      <c r="C785" s="85"/>
      <c r="D785" s="85"/>
      <c r="E785" s="85"/>
      <c r="F785" s="85"/>
      <c r="G785" s="85"/>
      <c r="H785" s="85"/>
      <c r="I785" s="91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2.75" customHeight="1" spans="1:26">
      <c r="A786" s="85"/>
      <c r="B786" s="85"/>
      <c r="C786" s="85"/>
      <c r="D786" s="85"/>
      <c r="E786" s="85"/>
      <c r="F786" s="85"/>
      <c r="G786" s="85"/>
      <c r="H786" s="85"/>
      <c r="I786" s="91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2.75" customHeight="1" spans="1:26">
      <c r="A787" s="85"/>
      <c r="B787" s="85"/>
      <c r="C787" s="85"/>
      <c r="D787" s="85"/>
      <c r="E787" s="85"/>
      <c r="F787" s="85"/>
      <c r="G787" s="85"/>
      <c r="H787" s="85"/>
      <c r="I787" s="91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2.75" customHeight="1" spans="1:26">
      <c r="A788" s="85"/>
      <c r="B788" s="85"/>
      <c r="C788" s="85"/>
      <c r="D788" s="85"/>
      <c r="E788" s="85"/>
      <c r="F788" s="85"/>
      <c r="G788" s="85"/>
      <c r="H788" s="85"/>
      <c r="I788" s="91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2.75" customHeight="1" spans="1:26">
      <c r="A789" s="85"/>
      <c r="B789" s="85"/>
      <c r="C789" s="85"/>
      <c r="D789" s="85"/>
      <c r="E789" s="85"/>
      <c r="F789" s="85"/>
      <c r="G789" s="85"/>
      <c r="H789" s="85"/>
      <c r="I789" s="91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2.75" customHeight="1" spans="1:26">
      <c r="A790" s="85"/>
      <c r="B790" s="85"/>
      <c r="C790" s="85"/>
      <c r="D790" s="85"/>
      <c r="E790" s="85"/>
      <c r="F790" s="85"/>
      <c r="G790" s="85"/>
      <c r="H790" s="85"/>
      <c r="I790" s="91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2.75" customHeight="1" spans="1:26">
      <c r="A791" s="85"/>
      <c r="B791" s="85"/>
      <c r="C791" s="85"/>
      <c r="D791" s="85"/>
      <c r="E791" s="85"/>
      <c r="F791" s="85"/>
      <c r="G791" s="85"/>
      <c r="H791" s="85"/>
      <c r="I791" s="91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2.75" customHeight="1" spans="1:26">
      <c r="A792" s="85"/>
      <c r="B792" s="85"/>
      <c r="C792" s="85"/>
      <c r="D792" s="85"/>
      <c r="E792" s="85"/>
      <c r="F792" s="85"/>
      <c r="G792" s="85"/>
      <c r="H792" s="85"/>
      <c r="I792" s="91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2.75" customHeight="1" spans="1:26">
      <c r="A793" s="85"/>
      <c r="B793" s="85"/>
      <c r="C793" s="85"/>
      <c r="D793" s="85"/>
      <c r="E793" s="85"/>
      <c r="F793" s="85"/>
      <c r="G793" s="85"/>
      <c r="H793" s="85"/>
      <c r="I793" s="91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2.75" customHeight="1" spans="1:26">
      <c r="A794" s="85"/>
      <c r="B794" s="85"/>
      <c r="C794" s="85"/>
      <c r="D794" s="85"/>
      <c r="E794" s="85"/>
      <c r="F794" s="85"/>
      <c r="G794" s="85"/>
      <c r="H794" s="85"/>
      <c r="I794" s="91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2.75" customHeight="1" spans="1:26">
      <c r="A795" s="85"/>
      <c r="B795" s="85"/>
      <c r="C795" s="85"/>
      <c r="D795" s="85"/>
      <c r="E795" s="85"/>
      <c r="F795" s="85"/>
      <c r="G795" s="85"/>
      <c r="H795" s="85"/>
      <c r="I795" s="91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2.75" customHeight="1" spans="1:26">
      <c r="A796" s="85"/>
      <c r="B796" s="85"/>
      <c r="C796" s="85"/>
      <c r="D796" s="85"/>
      <c r="E796" s="85"/>
      <c r="F796" s="85"/>
      <c r="G796" s="85"/>
      <c r="H796" s="85"/>
      <c r="I796" s="91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2.75" customHeight="1" spans="1:26">
      <c r="A797" s="85"/>
      <c r="B797" s="85"/>
      <c r="C797" s="85"/>
      <c r="D797" s="85"/>
      <c r="E797" s="85"/>
      <c r="F797" s="85"/>
      <c r="G797" s="85"/>
      <c r="H797" s="85"/>
      <c r="I797" s="91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2.75" customHeight="1" spans="1:26">
      <c r="A798" s="85"/>
      <c r="B798" s="85"/>
      <c r="C798" s="85"/>
      <c r="D798" s="85"/>
      <c r="E798" s="85"/>
      <c r="F798" s="85"/>
      <c r="G798" s="85"/>
      <c r="H798" s="85"/>
      <c r="I798" s="91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2.75" customHeight="1" spans="1:26">
      <c r="A799" s="85"/>
      <c r="B799" s="85"/>
      <c r="C799" s="85"/>
      <c r="D799" s="85"/>
      <c r="E799" s="85"/>
      <c r="F799" s="85"/>
      <c r="G799" s="85"/>
      <c r="H799" s="85"/>
      <c r="I799" s="91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2.75" customHeight="1" spans="1:26">
      <c r="A800" s="85"/>
      <c r="B800" s="85"/>
      <c r="C800" s="85"/>
      <c r="D800" s="85"/>
      <c r="E800" s="85"/>
      <c r="F800" s="85"/>
      <c r="G800" s="85"/>
      <c r="H800" s="85"/>
      <c r="I800" s="91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2.75" customHeight="1" spans="1:26">
      <c r="A801" s="85"/>
      <c r="B801" s="85"/>
      <c r="C801" s="85"/>
      <c r="D801" s="85"/>
      <c r="E801" s="85"/>
      <c r="F801" s="85"/>
      <c r="G801" s="85"/>
      <c r="H801" s="85"/>
      <c r="I801" s="91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2.75" customHeight="1" spans="1:26">
      <c r="A802" s="85"/>
      <c r="B802" s="85"/>
      <c r="C802" s="85"/>
      <c r="D802" s="85"/>
      <c r="E802" s="85"/>
      <c r="F802" s="85"/>
      <c r="G802" s="85"/>
      <c r="H802" s="85"/>
      <c r="I802" s="91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2.75" customHeight="1" spans="1:26">
      <c r="A803" s="85"/>
      <c r="B803" s="85"/>
      <c r="C803" s="85"/>
      <c r="D803" s="85"/>
      <c r="E803" s="85"/>
      <c r="F803" s="85"/>
      <c r="G803" s="85"/>
      <c r="H803" s="85"/>
      <c r="I803" s="91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2.75" customHeight="1" spans="1:26">
      <c r="A804" s="85"/>
      <c r="B804" s="85"/>
      <c r="C804" s="85"/>
      <c r="D804" s="85"/>
      <c r="E804" s="85"/>
      <c r="F804" s="85"/>
      <c r="G804" s="85"/>
      <c r="H804" s="85"/>
      <c r="I804" s="91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2.75" customHeight="1" spans="1:26">
      <c r="A805" s="85"/>
      <c r="B805" s="85"/>
      <c r="C805" s="85"/>
      <c r="D805" s="85"/>
      <c r="E805" s="85"/>
      <c r="F805" s="85"/>
      <c r="G805" s="85"/>
      <c r="H805" s="85"/>
      <c r="I805" s="91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2.75" customHeight="1" spans="1:26">
      <c r="A806" s="85"/>
      <c r="B806" s="85"/>
      <c r="C806" s="85"/>
      <c r="D806" s="85"/>
      <c r="E806" s="85"/>
      <c r="F806" s="85"/>
      <c r="G806" s="85"/>
      <c r="H806" s="85"/>
      <c r="I806" s="91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2.75" customHeight="1" spans="1:26">
      <c r="A807" s="85"/>
      <c r="B807" s="85"/>
      <c r="C807" s="85"/>
      <c r="D807" s="85"/>
      <c r="E807" s="85"/>
      <c r="F807" s="85"/>
      <c r="G807" s="85"/>
      <c r="H807" s="85"/>
      <c r="I807" s="91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2.75" customHeight="1" spans="1:26">
      <c r="A808" s="85"/>
      <c r="B808" s="85"/>
      <c r="C808" s="85"/>
      <c r="D808" s="85"/>
      <c r="E808" s="85"/>
      <c r="F808" s="85"/>
      <c r="G808" s="85"/>
      <c r="H808" s="85"/>
      <c r="I808" s="91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2.75" customHeight="1" spans="1:26">
      <c r="A809" s="85"/>
      <c r="B809" s="85"/>
      <c r="C809" s="85"/>
      <c r="D809" s="85"/>
      <c r="E809" s="85"/>
      <c r="F809" s="85"/>
      <c r="G809" s="85"/>
      <c r="H809" s="85"/>
      <c r="I809" s="91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2.75" customHeight="1" spans="1:26">
      <c r="A810" s="85"/>
      <c r="B810" s="85"/>
      <c r="C810" s="85"/>
      <c r="D810" s="85"/>
      <c r="E810" s="85"/>
      <c r="F810" s="85"/>
      <c r="G810" s="85"/>
      <c r="H810" s="85"/>
      <c r="I810" s="91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2.75" customHeight="1" spans="1:26">
      <c r="A811" s="85"/>
      <c r="B811" s="85"/>
      <c r="C811" s="85"/>
      <c r="D811" s="85"/>
      <c r="E811" s="85"/>
      <c r="F811" s="85"/>
      <c r="G811" s="85"/>
      <c r="H811" s="85"/>
      <c r="I811" s="91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2.75" customHeight="1" spans="1:26">
      <c r="A812" s="85"/>
      <c r="B812" s="85"/>
      <c r="C812" s="85"/>
      <c r="D812" s="85"/>
      <c r="E812" s="85"/>
      <c r="F812" s="85"/>
      <c r="G812" s="85"/>
      <c r="H812" s="85"/>
      <c r="I812" s="91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2.75" customHeight="1" spans="1:26">
      <c r="A813" s="85"/>
      <c r="B813" s="85"/>
      <c r="C813" s="85"/>
      <c r="D813" s="85"/>
      <c r="E813" s="85"/>
      <c r="F813" s="85"/>
      <c r="G813" s="85"/>
      <c r="H813" s="85"/>
      <c r="I813" s="91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2.75" customHeight="1" spans="1:26">
      <c r="A814" s="85"/>
      <c r="B814" s="85"/>
      <c r="C814" s="85"/>
      <c r="D814" s="85"/>
      <c r="E814" s="85"/>
      <c r="F814" s="85"/>
      <c r="G814" s="85"/>
      <c r="H814" s="85"/>
      <c r="I814" s="91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2.75" customHeight="1" spans="1:26">
      <c r="A815" s="85"/>
      <c r="B815" s="85"/>
      <c r="C815" s="85"/>
      <c r="D815" s="85"/>
      <c r="E815" s="85"/>
      <c r="F815" s="85"/>
      <c r="G815" s="85"/>
      <c r="H815" s="85"/>
      <c r="I815" s="91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2.75" customHeight="1" spans="1:26">
      <c r="A816" s="85"/>
      <c r="B816" s="85"/>
      <c r="C816" s="85"/>
      <c r="D816" s="85"/>
      <c r="E816" s="85"/>
      <c r="F816" s="85"/>
      <c r="G816" s="85"/>
      <c r="H816" s="85"/>
      <c r="I816" s="91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2.75" customHeight="1" spans="1:26">
      <c r="A817" s="85"/>
      <c r="B817" s="85"/>
      <c r="C817" s="85"/>
      <c r="D817" s="85"/>
      <c r="E817" s="85"/>
      <c r="F817" s="85"/>
      <c r="G817" s="85"/>
      <c r="H817" s="85"/>
      <c r="I817" s="91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2.75" customHeight="1" spans="1:26">
      <c r="A818" s="85"/>
      <c r="B818" s="85"/>
      <c r="C818" s="85"/>
      <c r="D818" s="85"/>
      <c r="E818" s="85"/>
      <c r="F818" s="85"/>
      <c r="G818" s="85"/>
      <c r="H818" s="85"/>
      <c r="I818" s="91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2.75" customHeight="1" spans="1:26">
      <c r="A819" s="85"/>
      <c r="B819" s="85"/>
      <c r="C819" s="85"/>
      <c r="D819" s="85"/>
      <c r="E819" s="85"/>
      <c r="F819" s="85"/>
      <c r="G819" s="85"/>
      <c r="H819" s="85"/>
      <c r="I819" s="91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2.75" customHeight="1" spans="1:26">
      <c r="A820" s="85"/>
      <c r="B820" s="85"/>
      <c r="C820" s="85"/>
      <c r="D820" s="85"/>
      <c r="E820" s="85"/>
      <c r="F820" s="85"/>
      <c r="G820" s="85"/>
      <c r="H820" s="85"/>
      <c r="I820" s="91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2.75" customHeight="1" spans="1:26">
      <c r="A821" s="85"/>
      <c r="B821" s="85"/>
      <c r="C821" s="85"/>
      <c r="D821" s="85"/>
      <c r="E821" s="85"/>
      <c r="F821" s="85"/>
      <c r="G821" s="85"/>
      <c r="H821" s="85"/>
      <c r="I821" s="91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2.75" customHeight="1" spans="1:26">
      <c r="A822" s="85"/>
      <c r="B822" s="85"/>
      <c r="C822" s="85"/>
      <c r="D822" s="85"/>
      <c r="E822" s="85"/>
      <c r="F822" s="85"/>
      <c r="G822" s="85"/>
      <c r="H822" s="85"/>
      <c r="I822" s="91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2.75" customHeight="1" spans="1:26">
      <c r="A823" s="85"/>
      <c r="B823" s="85"/>
      <c r="C823" s="85"/>
      <c r="D823" s="85"/>
      <c r="E823" s="85"/>
      <c r="F823" s="85"/>
      <c r="G823" s="85"/>
      <c r="H823" s="85"/>
      <c r="I823" s="91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2.75" customHeight="1" spans="1:26">
      <c r="A824" s="85"/>
      <c r="B824" s="85"/>
      <c r="C824" s="85"/>
      <c r="D824" s="85"/>
      <c r="E824" s="85"/>
      <c r="F824" s="85"/>
      <c r="G824" s="85"/>
      <c r="H824" s="85"/>
      <c r="I824" s="91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2.75" customHeight="1" spans="1:26">
      <c r="A825" s="85"/>
      <c r="B825" s="85"/>
      <c r="C825" s="85"/>
      <c r="D825" s="85"/>
      <c r="E825" s="85"/>
      <c r="F825" s="85"/>
      <c r="G825" s="85"/>
      <c r="H825" s="85"/>
      <c r="I825" s="91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2.75" customHeight="1" spans="1:26">
      <c r="A826" s="85"/>
      <c r="B826" s="85"/>
      <c r="C826" s="85"/>
      <c r="D826" s="85"/>
      <c r="E826" s="85"/>
      <c r="F826" s="85"/>
      <c r="G826" s="85"/>
      <c r="H826" s="85"/>
      <c r="I826" s="91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2.75" customHeight="1" spans="1:26">
      <c r="A827" s="85"/>
      <c r="B827" s="85"/>
      <c r="C827" s="85"/>
      <c r="D827" s="85"/>
      <c r="E827" s="85"/>
      <c r="F827" s="85"/>
      <c r="G827" s="85"/>
      <c r="H827" s="85"/>
      <c r="I827" s="91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2.75" customHeight="1" spans="1:26">
      <c r="A828" s="85"/>
      <c r="B828" s="85"/>
      <c r="C828" s="85"/>
      <c r="D828" s="85"/>
      <c r="E828" s="85"/>
      <c r="F828" s="85"/>
      <c r="G828" s="85"/>
      <c r="H828" s="85"/>
      <c r="I828" s="91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2.75" customHeight="1" spans="1:26">
      <c r="A829" s="85"/>
      <c r="B829" s="85"/>
      <c r="C829" s="85"/>
      <c r="D829" s="85"/>
      <c r="E829" s="85"/>
      <c r="F829" s="85"/>
      <c r="G829" s="85"/>
      <c r="H829" s="85"/>
      <c r="I829" s="91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2.75" customHeight="1" spans="1:26">
      <c r="A830" s="85"/>
      <c r="B830" s="85"/>
      <c r="C830" s="85"/>
      <c r="D830" s="85"/>
      <c r="E830" s="85"/>
      <c r="F830" s="85"/>
      <c r="G830" s="85"/>
      <c r="H830" s="85"/>
      <c r="I830" s="91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2.75" customHeight="1" spans="1:26">
      <c r="A831" s="85"/>
      <c r="B831" s="85"/>
      <c r="C831" s="85"/>
      <c r="D831" s="85"/>
      <c r="E831" s="85"/>
      <c r="F831" s="85"/>
      <c r="G831" s="85"/>
      <c r="H831" s="85"/>
      <c r="I831" s="91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2.75" customHeight="1" spans="1:26">
      <c r="A832" s="85"/>
      <c r="B832" s="85"/>
      <c r="C832" s="85"/>
      <c r="D832" s="85"/>
      <c r="E832" s="85"/>
      <c r="F832" s="85"/>
      <c r="G832" s="85"/>
      <c r="H832" s="85"/>
      <c r="I832" s="91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2.75" customHeight="1" spans="1:26">
      <c r="A833" s="85"/>
      <c r="B833" s="85"/>
      <c r="C833" s="85"/>
      <c r="D833" s="85"/>
      <c r="E833" s="85"/>
      <c r="F833" s="85"/>
      <c r="G833" s="85"/>
      <c r="H833" s="85"/>
      <c r="I833" s="91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2.75" customHeight="1" spans="1:26">
      <c r="A834" s="85"/>
      <c r="B834" s="85"/>
      <c r="C834" s="85"/>
      <c r="D834" s="85"/>
      <c r="E834" s="85"/>
      <c r="F834" s="85"/>
      <c r="G834" s="85"/>
      <c r="H834" s="85"/>
      <c r="I834" s="91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2.75" customHeight="1" spans="1:26">
      <c r="A835" s="85"/>
      <c r="B835" s="85"/>
      <c r="C835" s="85"/>
      <c r="D835" s="85"/>
      <c r="E835" s="85"/>
      <c r="F835" s="85"/>
      <c r="G835" s="85"/>
      <c r="H835" s="85"/>
      <c r="I835" s="91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2.75" customHeight="1" spans="1:26">
      <c r="A836" s="85"/>
      <c r="B836" s="85"/>
      <c r="C836" s="85"/>
      <c r="D836" s="85"/>
      <c r="E836" s="85"/>
      <c r="F836" s="85"/>
      <c r="G836" s="85"/>
      <c r="H836" s="85"/>
      <c r="I836" s="91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2.75" customHeight="1" spans="1:26">
      <c r="A837" s="85"/>
      <c r="B837" s="85"/>
      <c r="C837" s="85"/>
      <c r="D837" s="85"/>
      <c r="E837" s="85"/>
      <c r="F837" s="85"/>
      <c r="G837" s="85"/>
      <c r="H837" s="85"/>
      <c r="I837" s="91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2.75" customHeight="1" spans="1:26">
      <c r="A838" s="85"/>
      <c r="B838" s="85"/>
      <c r="C838" s="85"/>
      <c r="D838" s="85"/>
      <c r="E838" s="85"/>
      <c r="F838" s="85"/>
      <c r="G838" s="85"/>
      <c r="H838" s="85"/>
      <c r="I838" s="91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2.75" customHeight="1" spans="1:26">
      <c r="A839" s="85"/>
      <c r="B839" s="85"/>
      <c r="C839" s="85"/>
      <c r="D839" s="85"/>
      <c r="E839" s="85"/>
      <c r="F839" s="85"/>
      <c r="G839" s="85"/>
      <c r="H839" s="85"/>
      <c r="I839" s="91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2.75" customHeight="1" spans="1:26">
      <c r="A840" s="85"/>
      <c r="B840" s="85"/>
      <c r="C840" s="85"/>
      <c r="D840" s="85"/>
      <c r="E840" s="85"/>
      <c r="F840" s="85"/>
      <c r="G840" s="85"/>
      <c r="H840" s="85"/>
      <c r="I840" s="91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2.75" customHeight="1" spans="1:26">
      <c r="A841" s="85"/>
      <c r="B841" s="85"/>
      <c r="C841" s="85"/>
      <c r="D841" s="85"/>
      <c r="E841" s="85"/>
      <c r="F841" s="85"/>
      <c r="G841" s="85"/>
      <c r="H841" s="85"/>
      <c r="I841" s="91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2.75" customHeight="1" spans="1:26">
      <c r="A842" s="85"/>
      <c r="B842" s="85"/>
      <c r="C842" s="85"/>
      <c r="D842" s="85"/>
      <c r="E842" s="85"/>
      <c r="F842" s="85"/>
      <c r="G842" s="85"/>
      <c r="H842" s="85"/>
      <c r="I842" s="91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2.75" customHeight="1" spans="1:26">
      <c r="A843" s="85"/>
      <c r="B843" s="85"/>
      <c r="C843" s="85"/>
      <c r="D843" s="85"/>
      <c r="E843" s="85"/>
      <c r="F843" s="85"/>
      <c r="G843" s="85"/>
      <c r="H843" s="85"/>
      <c r="I843" s="91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2.75" customHeight="1" spans="1:26">
      <c r="A844" s="85"/>
      <c r="B844" s="85"/>
      <c r="C844" s="85"/>
      <c r="D844" s="85"/>
      <c r="E844" s="85"/>
      <c r="F844" s="85"/>
      <c r="G844" s="85"/>
      <c r="H844" s="85"/>
      <c r="I844" s="91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2.75" customHeight="1" spans="1:26">
      <c r="A845" s="85"/>
      <c r="B845" s="85"/>
      <c r="C845" s="85"/>
      <c r="D845" s="85"/>
      <c r="E845" s="85"/>
      <c r="F845" s="85"/>
      <c r="G845" s="85"/>
      <c r="H845" s="85"/>
      <c r="I845" s="91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2.75" customHeight="1" spans="1:26">
      <c r="A846" s="85"/>
      <c r="B846" s="85"/>
      <c r="C846" s="85"/>
      <c r="D846" s="85"/>
      <c r="E846" s="85"/>
      <c r="F846" s="85"/>
      <c r="G846" s="85"/>
      <c r="H846" s="85"/>
      <c r="I846" s="91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2.75" customHeight="1" spans="1:26">
      <c r="A847" s="85"/>
      <c r="B847" s="85"/>
      <c r="C847" s="85"/>
      <c r="D847" s="85"/>
      <c r="E847" s="85"/>
      <c r="F847" s="85"/>
      <c r="G847" s="85"/>
      <c r="H847" s="85"/>
      <c r="I847" s="91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2.75" customHeight="1" spans="1:26">
      <c r="A848" s="85"/>
      <c r="B848" s="85"/>
      <c r="C848" s="85"/>
      <c r="D848" s="85"/>
      <c r="E848" s="85"/>
      <c r="F848" s="85"/>
      <c r="G848" s="85"/>
      <c r="H848" s="85"/>
      <c r="I848" s="91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2.75" customHeight="1" spans="1:26">
      <c r="A849" s="85"/>
      <c r="B849" s="85"/>
      <c r="C849" s="85"/>
      <c r="D849" s="85"/>
      <c r="E849" s="85"/>
      <c r="F849" s="85"/>
      <c r="G849" s="85"/>
      <c r="H849" s="85"/>
      <c r="I849" s="91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2.75" customHeight="1" spans="1:26">
      <c r="A850" s="85"/>
      <c r="B850" s="85"/>
      <c r="C850" s="85"/>
      <c r="D850" s="85"/>
      <c r="E850" s="85"/>
      <c r="F850" s="85"/>
      <c r="G850" s="85"/>
      <c r="H850" s="85"/>
      <c r="I850" s="91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2.75" customHeight="1" spans="1:26">
      <c r="A851" s="85"/>
      <c r="B851" s="85"/>
      <c r="C851" s="85"/>
      <c r="D851" s="85"/>
      <c r="E851" s="85"/>
      <c r="F851" s="85"/>
      <c r="G851" s="85"/>
      <c r="H851" s="85"/>
      <c r="I851" s="91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2.75" customHeight="1" spans="1:26">
      <c r="A852" s="85"/>
      <c r="B852" s="85"/>
      <c r="C852" s="85"/>
      <c r="D852" s="85"/>
      <c r="E852" s="85"/>
      <c r="F852" s="85"/>
      <c r="G852" s="85"/>
      <c r="H852" s="85"/>
      <c r="I852" s="91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2.75" customHeight="1" spans="1:26">
      <c r="A853" s="85"/>
      <c r="B853" s="85"/>
      <c r="C853" s="85"/>
      <c r="D853" s="85"/>
      <c r="E853" s="85"/>
      <c r="F853" s="85"/>
      <c r="G853" s="85"/>
      <c r="H853" s="85"/>
      <c r="I853" s="91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2.75" customHeight="1" spans="1:26">
      <c r="A854" s="85"/>
      <c r="B854" s="85"/>
      <c r="C854" s="85"/>
      <c r="D854" s="85"/>
      <c r="E854" s="85"/>
      <c r="F854" s="85"/>
      <c r="G854" s="85"/>
      <c r="H854" s="85"/>
      <c r="I854" s="91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2.75" customHeight="1" spans="1:26">
      <c r="A855" s="85"/>
      <c r="B855" s="85"/>
      <c r="C855" s="85"/>
      <c r="D855" s="85"/>
      <c r="E855" s="85"/>
      <c r="F855" s="85"/>
      <c r="G855" s="85"/>
      <c r="H855" s="85"/>
      <c r="I855" s="91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2.75" customHeight="1" spans="1:26">
      <c r="A856" s="85"/>
      <c r="B856" s="85"/>
      <c r="C856" s="85"/>
      <c r="D856" s="85"/>
      <c r="E856" s="85"/>
      <c r="F856" s="85"/>
      <c r="G856" s="85"/>
      <c r="H856" s="85"/>
      <c r="I856" s="91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2.75" customHeight="1" spans="1:26">
      <c r="A857" s="85"/>
      <c r="B857" s="85"/>
      <c r="C857" s="85"/>
      <c r="D857" s="85"/>
      <c r="E857" s="85"/>
      <c r="F857" s="85"/>
      <c r="G857" s="85"/>
      <c r="H857" s="85"/>
      <c r="I857" s="91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2.75" customHeight="1" spans="1:26">
      <c r="A858" s="85"/>
      <c r="B858" s="85"/>
      <c r="C858" s="85"/>
      <c r="D858" s="85"/>
      <c r="E858" s="85"/>
      <c r="F858" s="85"/>
      <c r="G858" s="85"/>
      <c r="H858" s="85"/>
      <c r="I858" s="91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2.75" customHeight="1" spans="1:26">
      <c r="A859" s="85"/>
      <c r="B859" s="85"/>
      <c r="C859" s="85"/>
      <c r="D859" s="85"/>
      <c r="E859" s="85"/>
      <c r="F859" s="85"/>
      <c r="G859" s="85"/>
      <c r="H859" s="85"/>
      <c r="I859" s="91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2.75" customHeight="1" spans="1:26">
      <c r="A860" s="85"/>
      <c r="B860" s="85"/>
      <c r="C860" s="85"/>
      <c r="D860" s="85"/>
      <c r="E860" s="85"/>
      <c r="F860" s="85"/>
      <c r="G860" s="85"/>
      <c r="H860" s="85"/>
      <c r="I860" s="91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2.75" customHeight="1" spans="1:26">
      <c r="A861" s="85"/>
      <c r="B861" s="85"/>
      <c r="C861" s="85"/>
      <c r="D861" s="85"/>
      <c r="E861" s="85"/>
      <c r="F861" s="85"/>
      <c r="G861" s="85"/>
      <c r="H861" s="85"/>
      <c r="I861" s="91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2.75" customHeight="1" spans="1:26">
      <c r="A862" s="85"/>
      <c r="B862" s="85"/>
      <c r="C862" s="85"/>
      <c r="D862" s="85"/>
      <c r="E862" s="85"/>
      <c r="F862" s="85"/>
      <c r="G862" s="85"/>
      <c r="H862" s="85"/>
      <c r="I862" s="91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2.75" customHeight="1" spans="1:26">
      <c r="A863" s="85"/>
      <c r="B863" s="85"/>
      <c r="C863" s="85"/>
      <c r="D863" s="85"/>
      <c r="E863" s="85"/>
      <c r="F863" s="85"/>
      <c r="G863" s="85"/>
      <c r="H863" s="85"/>
      <c r="I863" s="91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2.75" customHeight="1" spans="1:26">
      <c r="A864" s="85"/>
      <c r="B864" s="85"/>
      <c r="C864" s="85"/>
      <c r="D864" s="85"/>
      <c r="E864" s="85"/>
      <c r="F864" s="85"/>
      <c r="G864" s="85"/>
      <c r="H864" s="85"/>
      <c r="I864" s="91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2.75" customHeight="1" spans="1:26">
      <c r="A865" s="85"/>
      <c r="B865" s="85"/>
      <c r="C865" s="85"/>
      <c r="D865" s="85"/>
      <c r="E865" s="85"/>
      <c r="F865" s="85"/>
      <c r="G865" s="85"/>
      <c r="H865" s="85"/>
      <c r="I865" s="91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2.75" customHeight="1" spans="1:26">
      <c r="A866" s="85"/>
      <c r="B866" s="85"/>
      <c r="C866" s="85"/>
      <c r="D866" s="85"/>
      <c r="E866" s="85"/>
      <c r="F866" s="85"/>
      <c r="G866" s="85"/>
      <c r="H866" s="85"/>
      <c r="I866" s="91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2.75" customHeight="1" spans="1:26">
      <c r="A867" s="85"/>
      <c r="B867" s="85"/>
      <c r="C867" s="85"/>
      <c r="D867" s="85"/>
      <c r="E867" s="85"/>
      <c r="F867" s="85"/>
      <c r="G867" s="85"/>
      <c r="H867" s="85"/>
      <c r="I867" s="91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2.75" customHeight="1" spans="1:26">
      <c r="A868" s="85"/>
      <c r="B868" s="85"/>
      <c r="C868" s="85"/>
      <c r="D868" s="85"/>
      <c r="E868" s="85"/>
      <c r="F868" s="85"/>
      <c r="G868" s="85"/>
      <c r="H868" s="85"/>
      <c r="I868" s="91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2.75" customHeight="1" spans="1:26">
      <c r="A869" s="85"/>
      <c r="B869" s="85"/>
      <c r="C869" s="85"/>
      <c r="D869" s="85"/>
      <c r="E869" s="85"/>
      <c r="F869" s="85"/>
      <c r="G869" s="85"/>
      <c r="H869" s="85"/>
      <c r="I869" s="91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ht="12.75" customHeight="1" spans="1:26">
      <c r="A870" s="85"/>
      <c r="B870" s="85"/>
      <c r="C870" s="85"/>
      <c r="D870" s="85"/>
      <c r="E870" s="85"/>
      <c r="F870" s="85"/>
      <c r="G870" s="85"/>
      <c r="H870" s="85"/>
      <c r="I870" s="91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 G8:G17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0"/>
  <sheetViews>
    <sheetView workbookViewId="0">
      <pane ySplit="8" topLeftCell="A9" activePane="bottomLeft" state="frozen"/>
      <selection/>
      <selection pane="bottomLeft" activeCell="D17" sqref="D17"/>
    </sheetView>
  </sheetViews>
  <sheetFormatPr defaultColWidth="12.6333333333333" defaultRowHeight="15" customHeight="1"/>
  <cols>
    <col min="1" max="1" width="22.5" customWidth="1"/>
    <col min="2" max="2" width="19.1333333333333" customWidth="1"/>
    <col min="3" max="3" width="25.6333333333333" customWidth="1"/>
    <col min="4" max="4" width="28.5" customWidth="1"/>
    <col min="5" max="5" width="28.1333333333333" customWidth="1"/>
    <col min="6" max="6" width="28.3833333333333" customWidth="1"/>
    <col min="7" max="7" width="9" customWidth="1"/>
    <col min="8" max="8" width="17.6333333333333" customWidth="1"/>
    <col min="9" max="9" width="8.13333333333333" customWidth="1"/>
    <col min="10" max="10" width="3.88333333333333" hidden="1" customWidth="1"/>
    <col min="11" max="26" width="10" customWidth="1"/>
  </cols>
  <sheetData>
    <row r="1" ht="12.75" customHeight="1" spans="1:26">
      <c r="A1" s="93"/>
      <c r="B1" s="94"/>
      <c r="C1" s="94"/>
      <c r="D1" s="94"/>
      <c r="E1" s="94"/>
      <c r="F1" s="95"/>
      <c r="G1" s="96"/>
      <c r="H1" s="97"/>
      <c r="I1" s="113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customHeight="1" spans="1:26">
      <c r="A2" s="98" t="s">
        <v>54</v>
      </c>
      <c r="B2" s="99" t="s">
        <v>48</v>
      </c>
      <c r="C2" s="100"/>
      <c r="D2" s="100"/>
      <c r="E2" s="100"/>
      <c r="F2" s="101"/>
      <c r="G2" s="97"/>
      <c r="H2" s="97"/>
      <c r="I2" s="113"/>
      <c r="J2" s="108" t="s">
        <v>55</v>
      </c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ht="25.5" customHeight="1" spans="1:26">
      <c r="A3" s="102" t="s">
        <v>56</v>
      </c>
      <c r="B3" s="99" t="s">
        <v>231</v>
      </c>
      <c r="C3" s="100"/>
      <c r="D3" s="100"/>
      <c r="E3" s="100"/>
      <c r="F3" s="101"/>
      <c r="G3" s="97"/>
      <c r="H3" s="97"/>
      <c r="I3" s="113"/>
      <c r="J3" s="108" t="s">
        <v>58</v>
      </c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ht="18" customHeight="1" spans="1:26">
      <c r="A4" s="98" t="s">
        <v>59</v>
      </c>
      <c r="B4" s="103"/>
      <c r="C4" s="104"/>
      <c r="D4" s="104"/>
      <c r="E4" s="104"/>
      <c r="F4" s="105"/>
      <c r="G4" s="97"/>
      <c r="H4" s="97"/>
      <c r="I4" s="113"/>
      <c r="J4" s="114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19.5" customHeight="1" spans="1:26">
      <c r="A5" s="67" t="s">
        <v>55</v>
      </c>
      <c r="B5" s="68" t="s">
        <v>58</v>
      </c>
      <c r="C5" s="68" t="s">
        <v>60</v>
      </c>
      <c r="D5" s="69" t="s">
        <v>61</v>
      </c>
      <c r="E5" s="69" t="s">
        <v>62</v>
      </c>
      <c r="F5" s="101"/>
      <c r="G5" s="106"/>
      <c r="H5" s="106"/>
      <c r="I5" s="115"/>
      <c r="J5" s="108" t="s">
        <v>63</v>
      </c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customHeight="1" spans="1:26">
      <c r="A6" s="71">
        <f>COUNTIF(F10:G868,"Pass")</f>
        <v>6</v>
      </c>
      <c r="B6" s="72">
        <f>COUNTIF(F10:G868,"Fail")</f>
        <v>1</v>
      </c>
      <c r="C6" s="72">
        <f>E6-D6-B6-A6</f>
        <v>0</v>
      </c>
      <c r="D6" s="73">
        <f>COUNTIF(F$9:F$868,"N/A")</f>
        <v>0</v>
      </c>
      <c r="E6" s="74">
        <f>COUNTA(A9:A868)</f>
        <v>7</v>
      </c>
      <c r="F6" s="107"/>
      <c r="G6" s="106"/>
      <c r="H6" s="106"/>
      <c r="I6" s="115"/>
      <c r="J6" s="108" t="s">
        <v>61</v>
      </c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customHeight="1" spans="1:26">
      <c r="A7" s="108"/>
      <c r="B7" s="108"/>
      <c r="C7" s="108"/>
      <c r="D7" s="52"/>
      <c r="E7" s="52"/>
      <c r="F7" s="106"/>
      <c r="G7" s="106"/>
      <c r="H7" s="106"/>
      <c r="I7" s="115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ht="25.5" customHeight="1" spans="1:26">
      <c r="A8" s="78" t="s">
        <v>64</v>
      </c>
      <c r="B8" s="78" t="s">
        <v>65</v>
      </c>
      <c r="C8" s="78" t="s">
        <v>66</v>
      </c>
      <c r="D8" s="78" t="s">
        <v>67</v>
      </c>
      <c r="E8" s="78" t="s">
        <v>68</v>
      </c>
      <c r="F8" s="79" t="s">
        <v>69</v>
      </c>
      <c r="G8" s="79" t="s">
        <v>70</v>
      </c>
      <c r="H8" s="79" t="s">
        <v>71</v>
      </c>
      <c r="I8" s="78" t="s">
        <v>72</v>
      </c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ht="13.5" spans="1:26">
      <c r="A9" s="80"/>
      <c r="B9" s="81" t="s">
        <v>73</v>
      </c>
      <c r="C9" s="80"/>
      <c r="D9" s="80"/>
      <c r="E9" s="80"/>
      <c r="F9" s="80"/>
      <c r="G9" s="80"/>
      <c r="H9" s="80"/>
      <c r="I9" s="89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ht="38.25" spans="1:26">
      <c r="A10" s="109" t="s">
        <v>232</v>
      </c>
      <c r="B10" s="110" t="s">
        <v>233</v>
      </c>
      <c r="C10" s="109" t="s">
        <v>234</v>
      </c>
      <c r="D10" s="110" t="s">
        <v>235</v>
      </c>
      <c r="E10" s="110" t="s">
        <v>236</v>
      </c>
      <c r="F10" s="111" t="s">
        <v>237</v>
      </c>
      <c r="G10" s="109" t="s">
        <v>58</v>
      </c>
      <c r="H10" s="84">
        <v>45992</v>
      </c>
      <c r="I10" s="10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1" spans="1:26">
      <c r="A11" s="109" t="s">
        <v>238</v>
      </c>
      <c r="B11" s="109" t="s">
        <v>74</v>
      </c>
      <c r="C11" s="109" t="s">
        <v>234</v>
      </c>
      <c r="D11" s="109" t="s">
        <v>75</v>
      </c>
      <c r="E11" s="109" t="s">
        <v>236</v>
      </c>
      <c r="F11" s="111" t="s">
        <v>237</v>
      </c>
      <c r="G11" s="109" t="s">
        <v>55</v>
      </c>
      <c r="H11" s="84">
        <v>45992</v>
      </c>
      <c r="I11" s="109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" customHeight="1" spans="1:26">
      <c r="A12" s="109" t="str">
        <f>IF(OR(B12&lt;&gt;"",E12&lt;&gt;""),"["&amp;TEXT($B$2,"##")&amp;"-"&amp;TEXT(ROW()-9,"##")&amp;"]","")</f>
        <v>[M_cap_nhat_thong_tin-3]</v>
      </c>
      <c r="B12" s="109" t="s">
        <v>77</v>
      </c>
      <c r="C12" s="109" t="s">
        <v>234</v>
      </c>
      <c r="D12" s="109" t="s">
        <v>78</v>
      </c>
      <c r="E12" s="109" t="s">
        <v>236</v>
      </c>
      <c r="F12" s="111" t="s">
        <v>237</v>
      </c>
      <c r="G12" s="109" t="s">
        <v>55</v>
      </c>
      <c r="H12" s="84">
        <v>45992</v>
      </c>
      <c r="I12" s="109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3.5" spans="1:26">
      <c r="A13" s="80"/>
      <c r="B13" s="81" t="s">
        <v>80</v>
      </c>
      <c r="C13" s="80"/>
      <c r="D13" s="80"/>
      <c r="E13" s="80"/>
      <c r="F13" s="80"/>
      <c r="G13" s="80"/>
      <c r="H13" s="80"/>
      <c r="I13" s="89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ht="38.25" spans="1:26">
      <c r="A14" s="109" t="str">
        <f>IF(OR(B14&lt;&gt;"",E14&lt;&gt;""),"["&amp;TEXT($B$2,"##")&amp;"-"&amp;TEXT(ROW()-10,"##")&amp;"]","")</f>
        <v>[M_cap_nhat_thong_tin-4]</v>
      </c>
      <c r="B14" s="109" t="s">
        <v>97</v>
      </c>
      <c r="C14" s="109" t="s">
        <v>234</v>
      </c>
      <c r="D14" s="112" t="s">
        <v>239</v>
      </c>
      <c r="E14" s="109" t="s">
        <v>240</v>
      </c>
      <c r="F14" s="111" t="s">
        <v>237</v>
      </c>
      <c r="G14" s="109" t="s">
        <v>55</v>
      </c>
      <c r="H14" s="84">
        <v>45992</v>
      </c>
      <c r="I14" s="116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8.25" spans="1:26">
      <c r="A15" s="109" t="str">
        <f>IF(OR(B15&lt;&gt;"",E15&lt;&gt;""),"["&amp;TEXT($B$2,"##")&amp;"-"&amp;TEXT(ROW()-10,"##")&amp;"]","")</f>
        <v>[M_cap_nhat_thong_tin-5]</v>
      </c>
      <c r="B15" s="109" t="s">
        <v>241</v>
      </c>
      <c r="C15" s="109" t="s">
        <v>234</v>
      </c>
      <c r="D15" s="109" t="s">
        <v>242</v>
      </c>
      <c r="E15" s="109" t="s">
        <v>243</v>
      </c>
      <c r="F15" s="110" t="s">
        <v>237</v>
      </c>
      <c r="G15" s="109" t="s">
        <v>55</v>
      </c>
      <c r="H15" s="84">
        <v>45992</v>
      </c>
      <c r="I15" s="109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25.5" spans="1:26">
      <c r="A16" s="109" t="str">
        <f>IF(OR(B16&lt;&gt;"",E16&lt;&gt;""),"["&amp;TEXT($B$2,"##")&amp;"-"&amp;TEXT(ROW()-10,"##")&amp;"]","")</f>
        <v>[M_cap_nhat_thong_tin-6]</v>
      </c>
      <c r="B16" s="109" t="s">
        <v>244</v>
      </c>
      <c r="C16" s="109" t="s">
        <v>234</v>
      </c>
      <c r="D16" s="112" t="s">
        <v>245</v>
      </c>
      <c r="E16" s="109" t="s">
        <v>243</v>
      </c>
      <c r="F16" s="111" t="s">
        <v>237</v>
      </c>
      <c r="G16" s="109" t="s">
        <v>55</v>
      </c>
      <c r="H16" s="84">
        <v>45992</v>
      </c>
      <c r="I16" s="116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25.5" spans="1:26">
      <c r="A17" s="109" t="str">
        <f>IF(OR(B17&lt;&gt;"",E17&lt;&gt;""),"["&amp;TEXT($B$2,"##")&amp;"-"&amp;TEXT(ROW()-10,"##")&amp;"]","")</f>
        <v>[M_cap_nhat_thong_tin-7]</v>
      </c>
      <c r="B17" s="109" t="s">
        <v>246</v>
      </c>
      <c r="C17" s="109" t="s">
        <v>234</v>
      </c>
      <c r="D17" s="112" t="s">
        <v>247</v>
      </c>
      <c r="E17" s="109" t="s">
        <v>243</v>
      </c>
      <c r="F17" s="111" t="s">
        <v>237</v>
      </c>
      <c r="G17" s="109" t="s">
        <v>55</v>
      </c>
      <c r="H17" s="84">
        <v>45992</v>
      </c>
      <c r="I17" s="116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customHeight="1" spans="1:26">
      <c r="A18" s="13"/>
      <c r="B18" s="13"/>
      <c r="C18" s="13"/>
      <c r="D18" s="13"/>
      <c r="E18" s="13"/>
      <c r="F18" s="13"/>
      <c r="G18" s="13"/>
      <c r="H18" s="13"/>
      <c r="I18" s="117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 spans="1:26">
      <c r="A19" s="13"/>
      <c r="B19" s="13"/>
      <c r="C19" s="13"/>
      <c r="D19" s="13"/>
      <c r="E19" s="13"/>
      <c r="F19" s="13"/>
      <c r="G19" s="13"/>
      <c r="H19" s="13"/>
      <c r="I19" s="117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 spans="1:26">
      <c r="A20" s="13"/>
      <c r="B20" s="13"/>
      <c r="C20" s="13"/>
      <c r="D20" s="13"/>
      <c r="E20" s="13"/>
      <c r="F20" s="13"/>
      <c r="G20" s="13"/>
      <c r="H20" s="13"/>
      <c r="I20" s="117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 spans="1:26">
      <c r="A21" s="13"/>
      <c r="B21" s="13"/>
      <c r="C21" s="13"/>
      <c r="D21" s="13"/>
      <c r="E21" s="13"/>
      <c r="F21" s="13"/>
      <c r="G21" s="13"/>
      <c r="H21" s="13"/>
      <c r="I21" s="117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 spans="1:26">
      <c r="A22" s="13"/>
      <c r="B22" s="13"/>
      <c r="C22" s="13"/>
      <c r="D22" s="13"/>
      <c r="E22" s="13"/>
      <c r="F22" s="13"/>
      <c r="G22" s="13"/>
      <c r="H22" s="13"/>
      <c r="I22" s="117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 spans="1:26">
      <c r="A23" s="13"/>
      <c r="B23" s="13"/>
      <c r="C23" s="13"/>
      <c r="D23" s="13"/>
      <c r="E23" s="13"/>
      <c r="F23" s="13"/>
      <c r="G23" s="13"/>
      <c r="H23" s="13"/>
      <c r="I23" s="117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 spans="1:26">
      <c r="A24" s="13"/>
      <c r="B24" s="13"/>
      <c r="C24" s="13"/>
      <c r="D24" s="13"/>
      <c r="E24" s="13"/>
      <c r="F24" s="13"/>
      <c r="G24" s="13"/>
      <c r="H24" s="13"/>
      <c r="I24" s="117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 spans="1:26">
      <c r="A25" s="13"/>
      <c r="B25" s="13"/>
      <c r="C25" s="13"/>
      <c r="D25" s="13"/>
      <c r="E25" s="13"/>
      <c r="F25" s="13"/>
      <c r="G25" s="13"/>
      <c r="H25" s="13"/>
      <c r="I25" s="117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 spans="1:26">
      <c r="A26" s="13"/>
      <c r="B26" s="13"/>
      <c r="C26" s="13"/>
      <c r="D26" s="13"/>
      <c r="E26" s="13"/>
      <c r="F26" s="13"/>
      <c r="G26" s="13"/>
      <c r="H26" s="13"/>
      <c r="I26" s="117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 spans="1:26">
      <c r="A27" s="13"/>
      <c r="B27" s="13"/>
      <c r="C27" s="13"/>
      <c r="D27" s="13"/>
      <c r="E27" s="13"/>
      <c r="F27" s="13"/>
      <c r="G27" s="13"/>
      <c r="H27" s="13"/>
      <c r="I27" s="117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 spans="1:26">
      <c r="A28" s="13"/>
      <c r="B28" s="13"/>
      <c r="C28" s="13"/>
      <c r="D28" s="13"/>
      <c r="E28" s="13"/>
      <c r="F28" s="13"/>
      <c r="G28" s="13"/>
      <c r="H28" s="13"/>
      <c r="I28" s="117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 spans="1:26">
      <c r="A29" s="13"/>
      <c r="B29" s="13"/>
      <c r="C29" s="13"/>
      <c r="D29" s="13"/>
      <c r="E29" s="13"/>
      <c r="F29" s="13"/>
      <c r="G29" s="13"/>
      <c r="H29" s="13"/>
      <c r="I29" s="117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 spans="1:26">
      <c r="A30" s="13"/>
      <c r="B30" s="13"/>
      <c r="C30" s="13"/>
      <c r="D30" s="13"/>
      <c r="E30" s="13"/>
      <c r="F30" s="13"/>
      <c r="G30" s="13"/>
      <c r="H30" s="13"/>
      <c r="I30" s="117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 spans="1:26">
      <c r="A31" s="13"/>
      <c r="B31" s="13"/>
      <c r="C31" s="13"/>
      <c r="D31" s="13"/>
      <c r="E31" s="13"/>
      <c r="F31" s="13"/>
      <c r="G31" s="13"/>
      <c r="H31" s="13"/>
      <c r="I31" s="117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 spans="1:26">
      <c r="A32" s="13"/>
      <c r="B32" s="13"/>
      <c r="C32" s="13"/>
      <c r="D32" s="13"/>
      <c r="E32" s="13"/>
      <c r="F32" s="13"/>
      <c r="G32" s="13"/>
      <c r="H32" s="13"/>
      <c r="I32" s="117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 spans="1:26">
      <c r="A33" s="13"/>
      <c r="B33" s="13"/>
      <c r="C33" s="13"/>
      <c r="D33" s="13"/>
      <c r="E33" s="13"/>
      <c r="F33" s="13"/>
      <c r="G33" s="13"/>
      <c r="H33" s="13"/>
      <c r="I33" s="117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 spans="1:26">
      <c r="A34" s="13"/>
      <c r="B34" s="13"/>
      <c r="C34" s="13"/>
      <c r="D34" s="13"/>
      <c r="E34" s="13"/>
      <c r="F34" s="13"/>
      <c r="G34" s="13"/>
      <c r="H34" s="13"/>
      <c r="I34" s="117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 spans="1:26">
      <c r="A35" s="13"/>
      <c r="B35" s="13"/>
      <c r="C35" s="13"/>
      <c r="D35" s="13"/>
      <c r="E35" s="13"/>
      <c r="F35" s="13"/>
      <c r="G35" s="13"/>
      <c r="H35" s="13"/>
      <c r="I35" s="117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 spans="1:26">
      <c r="A36" s="13"/>
      <c r="B36" s="13"/>
      <c r="C36" s="13"/>
      <c r="D36" s="13"/>
      <c r="E36" s="13"/>
      <c r="F36" s="13"/>
      <c r="G36" s="13"/>
      <c r="H36" s="13"/>
      <c r="I36" s="117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 spans="1:26">
      <c r="A37" s="13"/>
      <c r="B37" s="13"/>
      <c r="C37" s="13"/>
      <c r="D37" s="13"/>
      <c r="E37" s="13"/>
      <c r="F37" s="13"/>
      <c r="G37" s="13"/>
      <c r="H37" s="13"/>
      <c r="I37" s="117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 spans="1:26">
      <c r="A38" s="13"/>
      <c r="B38" s="13"/>
      <c r="C38" s="13"/>
      <c r="D38" s="13"/>
      <c r="E38" s="13"/>
      <c r="F38" s="13"/>
      <c r="G38" s="13"/>
      <c r="H38" s="13"/>
      <c r="I38" s="117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 spans="1:26">
      <c r="A39" s="13"/>
      <c r="B39" s="13"/>
      <c r="C39" s="13"/>
      <c r="D39" s="13"/>
      <c r="E39" s="13"/>
      <c r="F39" s="13"/>
      <c r="G39" s="13"/>
      <c r="H39" s="13"/>
      <c r="I39" s="117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 spans="1:26">
      <c r="A40" s="13"/>
      <c r="B40" s="13"/>
      <c r="C40" s="13"/>
      <c r="D40" s="13"/>
      <c r="E40" s="13"/>
      <c r="F40" s="13"/>
      <c r="G40" s="13"/>
      <c r="H40" s="13"/>
      <c r="I40" s="117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 spans="1:26">
      <c r="A41" s="13"/>
      <c r="B41" s="13"/>
      <c r="C41" s="13"/>
      <c r="D41" s="13"/>
      <c r="E41" s="13"/>
      <c r="F41" s="13"/>
      <c r="G41" s="13"/>
      <c r="H41" s="13"/>
      <c r="I41" s="11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 spans="1:26">
      <c r="A42" s="13"/>
      <c r="B42" s="13"/>
      <c r="C42" s="13"/>
      <c r="D42" s="13"/>
      <c r="E42" s="13"/>
      <c r="F42" s="13"/>
      <c r="G42" s="13"/>
      <c r="H42" s="13"/>
      <c r="I42" s="117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 spans="1:26">
      <c r="A43" s="13"/>
      <c r="B43" s="13"/>
      <c r="C43" s="13"/>
      <c r="D43" s="13"/>
      <c r="E43" s="13"/>
      <c r="F43" s="13"/>
      <c r="G43" s="13"/>
      <c r="H43" s="13"/>
      <c r="I43" s="117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 spans="1:26">
      <c r="A44" s="13"/>
      <c r="B44" s="13"/>
      <c r="C44" s="13"/>
      <c r="D44" s="13"/>
      <c r="E44" s="13"/>
      <c r="F44" s="13"/>
      <c r="G44" s="13"/>
      <c r="H44" s="13"/>
      <c r="I44" s="117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 spans="1:26">
      <c r="A45" s="13"/>
      <c r="B45" s="13"/>
      <c r="C45" s="13"/>
      <c r="D45" s="13"/>
      <c r="E45" s="13"/>
      <c r="F45" s="13"/>
      <c r="G45" s="13"/>
      <c r="H45" s="13"/>
      <c r="I45" s="117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 spans="1:26">
      <c r="A46" s="13"/>
      <c r="B46" s="13"/>
      <c r="C46" s="13"/>
      <c r="D46" s="13"/>
      <c r="E46" s="13"/>
      <c r="F46" s="13"/>
      <c r="G46" s="13"/>
      <c r="H46" s="13"/>
      <c r="I46" s="117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 spans="1:26">
      <c r="A47" s="13"/>
      <c r="B47" s="13"/>
      <c r="C47" s="13"/>
      <c r="D47" s="13"/>
      <c r="E47" s="13"/>
      <c r="F47" s="13"/>
      <c r="G47" s="13"/>
      <c r="H47" s="13"/>
      <c r="I47" s="117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 spans="1:26">
      <c r="A48" s="13"/>
      <c r="B48" s="13"/>
      <c r="C48" s="13"/>
      <c r="D48" s="13"/>
      <c r="E48" s="13"/>
      <c r="F48" s="13"/>
      <c r="G48" s="13"/>
      <c r="H48" s="13"/>
      <c r="I48" s="117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 spans="1:26">
      <c r="A49" s="13"/>
      <c r="B49" s="13"/>
      <c r="C49" s="13"/>
      <c r="D49" s="13"/>
      <c r="E49" s="13"/>
      <c r="F49" s="13"/>
      <c r="G49" s="13"/>
      <c r="H49" s="13"/>
      <c r="I49" s="117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 spans="1:26">
      <c r="A50" s="13"/>
      <c r="B50" s="13"/>
      <c r="C50" s="13"/>
      <c r="D50" s="13"/>
      <c r="E50" s="13"/>
      <c r="F50" s="13"/>
      <c r="G50" s="13"/>
      <c r="H50" s="13"/>
      <c r="I50" s="117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 spans="1:26">
      <c r="A51" s="13"/>
      <c r="B51" s="13"/>
      <c r="C51" s="13"/>
      <c r="D51" s="13"/>
      <c r="E51" s="13"/>
      <c r="F51" s="13"/>
      <c r="G51" s="13"/>
      <c r="H51" s="13"/>
      <c r="I51" s="117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 spans="1:26">
      <c r="A52" s="13"/>
      <c r="B52" s="13"/>
      <c r="C52" s="13"/>
      <c r="D52" s="13"/>
      <c r="E52" s="13"/>
      <c r="F52" s="13"/>
      <c r="G52" s="13"/>
      <c r="H52" s="13"/>
      <c r="I52" s="117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 spans="1:26">
      <c r="A53" s="13"/>
      <c r="B53" s="13"/>
      <c r="C53" s="13"/>
      <c r="D53" s="13"/>
      <c r="E53" s="13"/>
      <c r="F53" s="13"/>
      <c r="G53" s="13"/>
      <c r="H53" s="13"/>
      <c r="I53" s="117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 spans="1:26">
      <c r="A54" s="13"/>
      <c r="B54" s="13"/>
      <c r="C54" s="13"/>
      <c r="D54" s="13"/>
      <c r="E54" s="13"/>
      <c r="F54" s="13"/>
      <c r="G54" s="13"/>
      <c r="H54" s="13"/>
      <c r="I54" s="117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 spans="1:26">
      <c r="A55" s="13"/>
      <c r="B55" s="13"/>
      <c r="C55" s="13"/>
      <c r="D55" s="13"/>
      <c r="E55" s="13"/>
      <c r="F55" s="13"/>
      <c r="G55" s="13"/>
      <c r="H55" s="13"/>
      <c r="I55" s="117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 spans="1:26">
      <c r="A56" s="13"/>
      <c r="B56" s="13"/>
      <c r="C56" s="13"/>
      <c r="D56" s="13"/>
      <c r="E56" s="13"/>
      <c r="F56" s="13"/>
      <c r="G56" s="13"/>
      <c r="H56" s="13"/>
      <c r="I56" s="117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 spans="1:26">
      <c r="A57" s="13"/>
      <c r="B57" s="13"/>
      <c r="C57" s="13"/>
      <c r="D57" s="13"/>
      <c r="E57" s="13"/>
      <c r="F57" s="13"/>
      <c r="G57" s="13"/>
      <c r="H57" s="13"/>
      <c r="I57" s="117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 spans="1:26">
      <c r="A58" s="13"/>
      <c r="B58" s="13"/>
      <c r="C58" s="13"/>
      <c r="D58" s="13"/>
      <c r="E58" s="13"/>
      <c r="F58" s="13"/>
      <c r="G58" s="13"/>
      <c r="H58" s="13"/>
      <c r="I58" s="117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 spans="1:26">
      <c r="A59" s="13"/>
      <c r="B59" s="13"/>
      <c r="C59" s="13"/>
      <c r="D59" s="13"/>
      <c r="E59" s="13"/>
      <c r="F59" s="13"/>
      <c r="G59" s="13"/>
      <c r="H59" s="13"/>
      <c r="I59" s="117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 spans="1:26">
      <c r="A60" s="13"/>
      <c r="B60" s="13"/>
      <c r="C60" s="13"/>
      <c r="D60" s="13"/>
      <c r="E60" s="13"/>
      <c r="F60" s="13"/>
      <c r="G60" s="13"/>
      <c r="H60" s="13"/>
      <c r="I60" s="117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 spans="1:26">
      <c r="A61" s="13"/>
      <c r="B61" s="13"/>
      <c r="C61" s="13"/>
      <c r="D61" s="13"/>
      <c r="E61" s="13"/>
      <c r="F61" s="13"/>
      <c r="G61" s="13"/>
      <c r="H61" s="13"/>
      <c r="I61" s="117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 spans="1:26">
      <c r="A62" s="13"/>
      <c r="B62" s="13"/>
      <c r="C62" s="13"/>
      <c r="D62" s="13"/>
      <c r="E62" s="13"/>
      <c r="F62" s="13"/>
      <c r="G62" s="13"/>
      <c r="H62" s="13"/>
      <c r="I62" s="117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 spans="1:26">
      <c r="A63" s="13"/>
      <c r="B63" s="13"/>
      <c r="C63" s="13"/>
      <c r="D63" s="13"/>
      <c r="E63" s="13"/>
      <c r="F63" s="13"/>
      <c r="G63" s="13"/>
      <c r="H63" s="13"/>
      <c r="I63" s="117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 spans="1:26">
      <c r="A64" s="13"/>
      <c r="B64" s="13"/>
      <c r="C64" s="13"/>
      <c r="D64" s="13"/>
      <c r="E64" s="13"/>
      <c r="F64" s="13"/>
      <c r="G64" s="13"/>
      <c r="H64" s="13"/>
      <c r="I64" s="117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 spans="1:26">
      <c r="A65" s="13"/>
      <c r="B65" s="13"/>
      <c r="C65" s="13"/>
      <c r="D65" s="13"/>
      <c r="E65" s="13"/>
      <c r="F65" s="13"/>
      <c r="G65" s="13"/>
      <c r="H65" s="13"/>
      <c r="I65" s="117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 spans="1:26">
      <c r="A66" s="13"/>
      <c r="B66" s="13"/>
      <c r="C66" s="13"/>
      <c r="D66" s="13"/>
      <c r="E66" s="13"/>
      <c r="F66" s="13"/>
      <c r="G66" s="13"/>
      <c r="H66" s="13"/>
      <c r="I66" s="117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 spans="1:26">
      <c r="A67" s="13"/>
      <c r="B67" s="13"/>
      <c r="C67" s="13"/>
      <c r="D67" s="13"/>
      <c r="E67" s="13"/>
      <c r="F67" s="13"/>
      <c r="G67" s="13"/>
      <c r="H67" s="13"/>
      <c r="I67" s="117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 spans="1:26">
      <c r="A68" s="13"/>
      <c r="B68" s="13"/>
      <c r="C68" s="13"/>
      <c r="D68" s="13"/>
      <c r="E68" s="13"/>
      <c r="F68" s="13"/>
      <c r="G68" s="13"/>
      <c r="H68" s="13"/>
      <c r="I68" s="117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 spans="1:26">
      <c r="A69" s="13"/>
      <c r="B69" s="13"/>
      <c r="C69" s="13"/>
      <c r="D69" s="13"/>
      <c r="E69" s="13"/>
      <c r="F69" s="13"/>
      <c r="G69" s="13"/>
      <c r="H69" s="13"/>
      <c r="I69" s="117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 spans="1:26">
      <c r="A70" s="13"/>
      <c r="B70" s="13"/>
      <c r="C70" s="13"/>
      <c r="D70" s="13"/>
      <c r="E70" s="13"/>
      <c r="F70" s="13"/>
      <c r="G70" s="13"/>
      <c r="H70" s="13"/>
      <c r="I70" s="117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 spans="1:26">
      <c r="A71" s="13"/>
      <c r="B71" s="13"/>
      <c r="C71" s="13"/>
      <c r="D71" s="13"/>
      <c r="E71" s="13"/>
      <c r="F71" s="13"/>
      <c r="G71" s="13"/>
      <c r="H71" s="13"/>
      <c r="I71" s="117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 spans="1:26">
      <c r="A72" s="13"/>
      <c r="B72" s="13"/>
      <c r="C72" s="13"/>
      <c r="D72" s="13"/>
      <c r="E72" s="13"/>
      <c r="F72" s="13"/>
      <c r="G72" s="13"/>
      <c r="H72" s="13"/>
      <c r="I72" s="117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 spans="1:26">
      <c r="A73" s="13"/>
      <c r="B73" s="13"/>
      <c r="C73" s="13"/>
      <c r="D73" s="13"/>
      <c r="E73" s="13"/>
      <c r="F73" s="13"/>
      <c r="G73" s="13"/>
      <c r="H73" s="13"/>
      <c r="I73" s="117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 spans="1:26">
      <c r="A74" s="13"/>
      <c r="B74" s="13"/>
      <c r="C74" s="13"/>
      <c r="D74" s="13"/>
      <c r="E74" s="13"/>
      <c r="F74" s="13"/>
      <c r="G74" s="13"/>
      <c r="H74" s="13"/>
      <c r="I74" s="117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 spans="1:26">
      <c r="A75" s="13"/>
      <c r="B75" s="13"/>
      <c r="C75" s="13"/>
      <c r="D75" s="13"/>
      <c r="E75" s="13"/>
      <c r="F75" s="13"/>
      <c r="G75" s="13"/>
      <c r="H75" s="13"/>
      <c r="I75" s="117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 spans="1:26">
      <c r="A76" s="13"/>
      <c r="B76" s="13"/>
      <c r="C76" s="13"/>
      <c r="D76" s="13"/>
      <c r="E76" s="13"/>
      <c r="F76" s="13"/>
      <c r="G76" s="13"/>
      <c r="H76" s="13"/>
      <c r="I76" s="117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 spans="1:26">
      <c r="A77" s="13"/>
      <c r="B77" s="13"/>
      <c r="C77" s="13"/>
      <c r="D77" s="13"/>
      <c r="E77" s="13"/>
      <c r="F77" s="13"/>
      <c r="G77" s="13"/>
      <c r="H77" s="13"/>
      <c r="I77" s="117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 spans="1:26">
      <c r="A78" s="13"/>
      <c r="B78" s="13"/>
      <c r="C78" s="13"/>
      <c r="D78" s="13"/>
      <c r="E78" s="13"/>
      <c r="F78" s="13"/>
      <c r="G78" s="13"/>
      <c r="H78" s="13"/>
      <c r="I78" s="117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 spans="1:26">
      <c r="A79" s="13"/>
      <c r="B79" s="13"/>
      <c r="C79" s="13"/>
      <c r="D79" s="13"/>
      <c r="E79" s="13"/>
      <c r="F79" s="13"/>
      <c r="G79" s="13"/>
      <c r="H79" s="13"/>
      <c r="I79" s="117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 spans="1:26">
      <c r="A80" s="13"/>
      <c r="B80" s="13"/>
      <c r="C80" s="13"/>
      <c r="D80" s="13"/>
      <c r="E80" s="13"/>
      <c r="F80" s="13"/>
      <c r="G80" s="13"/>
      <c r="H80" s="13"/>
      <c r="I80" s="117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 spans="1:26">
      <c r="A81" s="13"/>
      <c r="B81" s="13"/>
      <c r="C81" s="13"/>
      <c r="D81" s="13"/>
      <c r="E81" s="13"/>
      <c r="F81" s="13"/>
      <c r="G81" s="13"/>
      <c r="H81" s="13"/>
      <c r="I81" s="117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 spans="1:26">
      <c r="A82" s="13"/>
      <c r="B82" s="13"/>
      <c r="C82" s="13"/>
      <c r="D82" s="13"/>
      <c r="E82" s="13"/>
      <c r="F82" s="13"/>
      <c r="G82" s="13"/>
      <c r="H82" s="13"/>
      <c r="I82" s="117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 spans="1:26">
      <c r="A83" s="13"/>
      <c r="B83" s="13"/>
      <c r="C83" s="13"/>
      <c r="D83" s="13"/>
      <c r="E83" s="13"/>
      <c r="F83" s="13"/>
      <c r="G83" s="13"/>
      <c r="H83" s="13"/>
      <c r="I83" s="117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 spans="1:26">
      <c r="A84" s="13"/>
      <c r="B84" s="13"/>
      <c r="C84" s="13"/>
      <c r="D84" s="13"/>
      <c r="E84" s="13"/>
      <c r="F84" s="13"/>
      <c r="G84" s="13"/>
      <c r="H84" s="13"/>
      <c r="I84" s="117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 spans="1:26">
      <c r="A85" s="13"/>
      <c r="B85" s="13"/>
      <c r="C85" s="13"/>
      <c r="D85" s="13"/>
      <c r="E85" s="13"/>
      <c r="F85" s="13"/>
      <c r="G85" s="13"/>
      <c r="H85" s="13"/>
      <c r="I85" s="117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 spans="1:26">
      <c r="A86" s="13"/>
      <c r="B86" s="13"/>
      <c r="C86" s="13"/>
      <c r="D86" s="13"/>
      <c r="E86" s="13"/>
      <c r="F86" s="13"/>
      <c r="G86" s="13"/>
      <c r="H86" s="13"/>
      <c r="I86" s="117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 spans="1:26">
      <c r="A87" s="13"/>
      <c r="B87" s="13"/>
      <c r="C87" s="13"/>
      <c r="D87" s="13"/>
      <c r="E87" s="13"/>
      <c r="F87" s="13"/>
      <c r="G87" s="13"/>
      <c r="H87" s="13"/>
      <c r="I87" s="117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 spans="1:26">
      <c r="A88" s="13"/>
      <c r="B88" s="13"/>
      <c r="C88" s="13"/>
      <c r="D88" s="13"/>
      <c r="E88" s="13"/>
      <c r="F88" s="13"/>
      <c r="G88" s="13"/>
      <c r="H88" s="13"/>
      <c r="I88" s="117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 spans="1:26">
      <c r="A89" s="13"/>
      <c r="B89" s="13"/>
      <c r="C89" s="13"/>
      <c r="D89" s="13"/>
      <c r="E89" s="13"/>
      <c r="F89" s="13"/>
      <c r="G89" s="13"/>
      <c r="H89" s="13"/>
      <c r="I89" s="117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 spans="1:26">
      <c r="A90" s="13"/>
      <c r="B90" s="13"/>
      <c r="C90" s="13"/>
      <c r="D90" s="13"/>
      <c r="E90" s="13"/>
      <c r="F90" s="13"/>
      <c r="G90" s="13"/>
      <c r="H90" s="13"/>
      <c r="I90" s="117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 spans="1:26">
      <c r="A91" s="13"/>
      <c r="B91" s="13"/>
      <c r="C91" s="13"/>
      <c r="D91" s="13"/>
      <c r="E91" s="13"/>
      <c r="F91" s="13"/>
      <c r="G91" s="13"/>
      <c r="H91" s="13"/>
      <c r="I91" s="117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 spans="1:26">
      <c r="A92" s="13"/>
      <c r="B92" s="13"/>
      <c r="C92" s="13"/>
      <c r="D92" s="13"/>
      <c r="E92" s="13"/>
      <c r="F92" s="13"/>
      <c r="G92" s="13"/>
      <c r="H92" s="13"/>
      <c r="I92" s="117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 spans="1:26">
      <c r="A93" s="13"/>
      <c r="B93" s="13"/>
      <c r="C93" s="13"/>
      <c r="D93" s="13"/>
      <c r="E93" s="13"/>
      <c r="F93" s="13"/>
      <c r="G93" s="13"/>
      <c r="H93" s="13"/>
      <c r="I93" s="117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 spans="1:26">
      <c r="A94" s="13"/>
      <c r="B94" s="13"/>
      <c r="C94" s="13"/>
      <c r="D94" s="13"/>
      <c r="E94" s="13"/>
      <c r="F94" s="13"/>
      <c r="G94" s="13"/>
      <c r="H94" s="13"/>
      <c r="I94" s="117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 spans="1:26">
      <c r="A95" s="13"/>
      <c r="B95" s="13"/>
      <c r="C95" s="13"/>
      <c r="D95" s="13"/>
      <c r="E95" s="13"/>
      <c r="F95" s="13"/>
      <c r="G95" s="13"/>
      <c r="H95" s="13"/>
      <c r="I95" s="117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 spans="1:26">
      <c r="A96" s="13"/>
      <c r="B96" s="13"/>
      <c r="C96" s="13"/>
      <c r="D96" s="13"/>
      <c r="E96" s="13"/>
      <c r="F96" s="13"/>
      <c r="G96" s="13"/>
      <c r="H96" s="13"/>
      <c r="I96" s="117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 spans="1:26">
      <c r="A97" s="13"/>
      <c r="B97" s="13"/>
      <c r="C97" s="13"/>
      <c r="D97" s="13"/>
      <c r="E97" s="13"/>
      <c r="F97" s="13"/>
      <c r="G97" s="13"/>
      <c r="H97" s="13"/>
      <c r="I97" s="117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 spans="1:26">
      <c r="A98" s="13"/>
      <c r="B98" s="13"/>
      <c r="C98" s="13"/>
      <c r="D98" s="13"/>
      <c r="E98" s="13"/>
      <c r="F98" s="13"/>
      <c r="G98" s="13"/>
      <c r="H98" s="13"/>
      <c r="I98" s="117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 spans="1:26">
      <c r="A99" s="13"/>
      <c r="B99" s="13"/>
      <c r="C99" s="13"/>
      <c r="D99" s="13"/>
      <c r="E99" s="13"/>
      <c r="F99" s="13"/>
      <c r="G99" s="13"/>
      <c r="H99" s="13"/>
      <c r="I99" s="117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 spans="1:26">
      <c r="A100" s="13"/>
      <c r="B100" s="13"/>
      <c r="C100" s="13"/>
      <c r="D100" s="13"/>
      <c r="E100" s="13"/>
      <c r="F100" s="13"/>
      <c r="G100" s="13"/>
      <c r="H100" s="13"/>
      <c r="I100" s="117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 spans="1:26">
      <c r="A101" s="13"/>
      <c r="B101" s="13"/>
      <c r="C101" s="13"/>
      <c r="D101" s="13"/>
      <c r="E101" s="13"/>
      <c r="F101" s="13"/>
      <c r="G101" s="13"/>
      <c r="H101" s="13"/>
      <c r="I101" s="117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 spans="1:26">
      <c r="A102" s="13"/>
      <c r="B102" s="13"/>
      <c r="C102" s="13"/>
      <c r="D102" s="13"/>
      <c r="E102" s="13"/>
      <c r="F102" s="13"/>
      <c r="G102" s="13"/>
      <c r="H102" s="13"/>
      <c r="I102" s="117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 spans="1:26">
      <c r="A103" s="13"/>
      <c r="B103" s="13"/>
      <c r="C103" s="13"/>
      <c r="D103" s="13"/>
      <c r="E103" s="13"/>
      <c r="F103" s="13"/>
      <c r="G103" s="13"/>
      <c r="H103" s="13"/>
      <c r="I103" s="117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 spans="1:26">
      <c r="A104" s="13"/>
      <c r="B104" s="13"/>
      <c r="C104" s="13"/>
      <c r="D104" s="13"/>
      <c r="E104" s="13"/>
      <c r="F104" s="13"/>
      <c r="G104" s="13"/>
      <c r="H104" s="13"/>
      <c r="I104" s="117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 spans="1:26">
      <c r="A105" s="13"/>
      <c r="B105" s="13"/>
      <c r="C105" s="13"/>
      <c r="D105" s="13"/>
      <c r="E105" s="13"/>
      <c r="F105" s="13"/>
      <c r="G105" s="13"/>
      <c r="H105" s="13"/>
      <c r="I105" s="117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 spans="1:26">
      <c r="A106" s="13"/>
      <c r="B106" s="13"/>
      <c r="C106" s="13"/>
      <c r="D106" s="13"/>
      <c r="E106" s="13"/>
      <c r="F106" s="13"/>
      <c r="G106" s="13"/>
      <c r="H106" s="13"/>
      <c r="I106" s="117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 spans="1:26">
      <c r="A107" s="13"/>
      <c r="B107" s="13"/>
      <c r="C107" s="13"/>
      <c r="D107" s="13"/>
      <c r="E107" s="13"/>
      <c r="F107" s="13"/>
      <c r="G107" s="13"/>
      <c r="H107" s="13"/>
      <c r="I107" s="117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 spans="1:26">
      <c r="A108" s="13"/>
      <c r="B108" s="13"/>
      <c r="C108" s="13"/>
      <c r="D108" s="13"/>
      <c r="E108" s="13"/>
      <c r="F108" s="13"/>
      <c r="G108" s="13"/>
      <c r="H108" s="13"/>
      <c r="I108" s="117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 spans="1:26">
      <c r="A109" s="13"/>
      <c r="B109" s="13"/>
      <c r="C109" s="13"/>
      <c r="D109" s="13"/>
      <c r="E109" s="13"/>
      <c r="F109" s="13"/>
      <c r="G109" s="13"/>
      <c r="H109" s="13"/>
      <c r="I109" s="117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 spans="1:26">
      <c r="A110" s="13"/>
      <c r="B110" s="13"/>
      <c r="C110" s="13"/>
      <c r="D110" s="13"/>
      <c r="E110" s="13"/>
      <c r="F110" s="13"/>
      <c r="G110" s="13"/>
      <c r="H110" s="13"/>
      <c r="I110" s="117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 spans="1:26">
      <c r="A111" s="13"/>
      <c r="B111" s="13"/>
      <c r="C111" s="13"/>
      <c r="D111" s="13"/>
      <c r="E111" s="13"/>
      <c r="F111" s="13"/>
      <c r="G111" s="13"/>
      <c r="H111" s="13"/>
      <c r="I111" s="117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 spans="1:26">
      <c r="A112" s="13"/>
      <c r="B112" s="13"/>
      <c r="C112" s="13"/>
      <c r="D112" s="13"/>
      <c r="E112" s="13"/>
      <c r="F112" s="13"/>
      <c r="G112" s="13"/>
      <c r="H112" s="13"/>
      <c r="I112" s="117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 spans="1:26">
      <c r="A113" s="13"/>
      <c r="B113" s="13"/>
      <c r="C113" s="13"/>
      <c r="D113" s="13"/>
      <c r="E113" s="13"/>
      <c r="F113" s="13"/>
      <c r="G113" s="13"/>
      <c r="H113" s="13"/>
      <c r="I113" s="117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 spans="1:26">
      <c r="A114" s="13"/>
      <c r="B114" s="13"/>
      <c r="C114" s="13"/>
      <c r="D114" s="13"/>
      <c r="E114" s="13"/>
      <c r="F114" s="13"/>
      <c r="G114" s="13"/>
      <c r="H114" s="13"/>
      <c r="I114" s="117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 spans="1:26">
      <c r="A115" s="13"/>
      <c r="B115" s="13"/>
      <c r="C115" s="13"/>
      <c r="D115" s="13"/>
      <c r="E115" s="13"/>
      <c r="F115" s="13"/>
      <c r="G115" s="13"/>
      <c r="H115" s="13"/>
      <c r="I115" s="117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 spans="1:26">
      <c r="A116" s="13"/>
      <c r="B116" s="13"/>
      <c r="C116" s="13"/>
      <c r="D116" s="13"/>
      <c r="E116" s="13"/>
      <c r="F116" s="13"/>
      <c r="G116" s="13"/>
      <c r="H116" s="13"/>
      <c r="I116" s="117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 spans="1:26">
      <c r="A117" s="13"/>
      <c r="B117" s="13"/>
      <c r="C117" s="13"/>
      <c r="D117" s="13"/>
      <c r="E117" s="13"/>
      <c r="F117" s="13"/>
      <c r="G117" s="13"/>
      <c r="H117" s="13"/>
      <c r="I117" s="117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 spans="1:26">
      <c r="A118" s="13"/>
      <c r="B118" s="13"/>
      <c r="C118" s="13"/>
      <c r="D118" s="13"/>
      <c r="E118" s="13"/>
      <c r="F118" s="13"/>
      <c r="G118" s="13"/>
      <c r="H118" s="13"/>
      <c r="I118" s="117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 spans="1:26">
      <c r="A119" s="13"/>
      <c r="B119" s="13"/>
      <c r="C119" s="13"/>
      <c r="D119" s="13"/>
      <c r="E119" s="13"/>
      <c r="F119" s="13"/>
      <c r="G119" s="13"/>
      <c r="H119" s="13"/>
      <c r="I119" s="117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 spans="1:26">
      <c r="A120" s="13"/>
      <c r="B120" s="13"/>
      <c r="C120" s="13"/>
      <c r="D120" s="13"/>
      <c r="E120" s="13"/>
      <c r="F120" s="13"/>
      <c r="G120" s="13"/>
      <c r="H120" s="13"/>
      <c r="I120" s="117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 spans="1:26">
      <c r="A121" s="13"/>
      <c r="B121" s="13"/>
      <c r="C121" s="13"/>
      <c r="D121" s="13"/>
      <c r="E121" s="13"/>
      <c r="F121" s="13"/>
      <c r="G121" s="13"/>
      <c r="H121" s="13"/>
      <c r="I121" s="117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 spans="1:26">
      <c r="A122" s="13"/>
      <c r="B122" s="13"/>
      <c r="C122" s="13"/>
      <c r="D122" s="13"/>
      <c r="E122" s="13"/>
      <c r="F122" s="13"/>
      <c r="G122" s="13"/>
      <c r="H122" s="13"/>
      <c r="I122" s="117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 spans="1:26">
      <c r="A123" s="13"/>
      <c r="B123" s="13"/>
      <c r="C123" s="13"/>
      <c r="D123" s="13"/>
      <c r="E123" s="13"/>
      <c r="F123" s="13"/>
      <c r="G123" s="13"/>
      <c r="H123" s="13"/>
      <c r="I123" s="117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 spans="1:26">
      <c r="A124" s="13"/>
      <c r="B124" s="13"/>
      <c r="C124" s="13"/>
      <c r="D124" s="13"/>
      <c r="E124" s="13"/>
      <c r="F124" s="13"/>
      <c r="G124" s="13"/>
      <c r="H124" s="13"/>
      <c r="I124" s="117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 spans="1:26">
      <c r="A125" s="13"/>
      <c r="B125" s="13"/>
      <c r="C125" s="13"/>
      <c r="D125" s="13"/>
      <c r="E125" s="13"/>
      <c r="F125" s="13"/>
      <c r="G125" s="13"/>
      <c r="H125" s="13"/>
      <c r="I125" s="117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 spans="1:26">
      <c r="A126" s="13"/>
      <c r="B126" s="13"/>
      <c r="C126" s="13"/>
      <c r="D126" s="13"/>
      <c r="E126" s="13"/>
      <c r="F126" s="13"/>
      <c r="G126" s="13"/>
      <c r="H126" s="13"/>
      <c r="I126" s="117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 spans="1:26">
      <c r="A127" s="13"/>
      <c r="B127" s="13"/>
      <c r="C127" s="13"/>
      <c r="D127" s="13"/>
      <c r="E127" s="13"/>
      <c r="F127" s="13"/>
      <c r="G127" s="13"/>
      <c r="H127" s="13"/>
      <c r="I127" s="117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 spans="1:26">
      <c r="A128" s="13"/>
      <c r="B128" s="13"/>
      <c r="C128" s="13"/>
      <c r="D128" s="13"/>
      <c r="E128" s="13"/>
      <c r="F128" s="13"/>
      <c r="G128" s="13"/>
      <c r="H128" s="13"/>
      <c r="I128" s="117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 spans="1:26">
      <c r="A129" s="13"/>
      <c r="B129" s="13"/>
      <c r="C129" s="13"/>
      <c r="D129" s="13"/>
      <c r="E129" s="13"/>
      <c r="F129" s="13"/>
      <c r="G129" s="13"/>
      <c r="H129" s="13"/>
      <c r="I129" s="117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 spans="1:26">
      <c r="A130" s="13"/>
      <c r="B130" s="13"/>
      <c r="C130" s="13"/>
      <c r="D130" s="13"/>
      <c r="E130" s="13"/>
      <c r="F130" s="13"/>
      <c r="G130" s="13"/>
      <c r="H130" s="13"/>
      <c r="I130" s="117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 spans="1:26">
      <c r="A131" s="13"/>
      <c r="B131" s="13"/>
      <c r="C131" s="13"/>
      <c r="D131" s="13"/>
      <c r="E131" s="13"/>
      <c r="F131" s="13"/>
      <c r="G131" s="13"/>
      <c r="H131" s="13"/>
      <c r="I131" s="117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 spans="1:26">
      <c r="A132" s="13"/>
      <c r="B132" s="13"/>
      <c r="C132" s="13"/>
      <c r="D132" s="13"/>
      <c r="E132" s="13"/>
      <c r="F132" s="13"/>
      <c r="G132" s="13"/>
      <c r="H132" s="13"/>
      <c r="I132" s="117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 spans="1:26">
      <c r="A133" s="13"/>
      <c r="B133" s="13"/>
      <c r="C133" s="13"/>
      <c r="D133" s="13"/>
      <c r="E133" s="13"/>
      <c r="F133" s="13"/>
      <c r="G133" s="13"/>
      <c r="H133" s="13"/>
      <c r="I133" s="117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 spans="1:26">
      <c r="A134" s="13"/>
      <c r="B134" s="13"/>
      <c r="C134" s="13"/>
      <c r="D134" s="13"/>
      <c r="E134" s="13"/>
      <c r="F134" s="13"/>
      <c r="G134" s="13"/>
      <c r="H134" s="13"/>
      <c r="I134" s="117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 spans="1:26">
      <c r="A135" s="13"/>
      <c r="B135" s="13"/>
      <c r="C135" s="13"/>
      <c r="D135" s="13"/>
      <c r="E135" s="13"/>
      <c r="F135" s="13"/>
      <c r="G135" s="13"/>
      <c r="H135" s="13"/>
      <c r="I135" s="117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 spans="1:26">
      <c r="A136" s="13"/>
      <c r="B136" s="13"/>
      <c r="C136" s="13"/>
      <c r="D136" s="13"/>
      <c r="E136" s="13"/>
      <c r="F136" s="13"/>
      <c r="G136" s="13"/>
      <c r="H136" s="13"/>
      <c r="I136" s="117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 spans="1:26">
      <c r="A137" s="13"/>
      <c r="B137" s="13"/>
      <c r="C137" s="13"/>
      <c r="D137" s="13"/>
      <c r="E137" s="13"/>
      <c r="F137" s="13"/>
      <c r="G137" s="13"/>
      <c r="H137" s="13"/>
      <c r="I137" s="117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 spans="1:26">
      <c r="A138" s="13"/>
      <c r="B138" s="13"/>
      <c r="C138" s="13"/>
      <c r="D138" s="13"/>
      <c r="E138" s="13"/>
      <c r="F138" s="13"/>
      <c r="G138" s="13"/>
      <c r="H138" s="13"/>
      <c r="I138" s="117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 spans="1:26">
      <c r="A139" s="13"/>
      <c r="B139" s="13"/>
      <c r="C139" s="13"/>
      <c r="D139" s="13"/>
      <c r="E139" s="13"/>
      <c r="F139" s="13"/>
      <c r="G139" s="13"/>
      <c r="H139" s="13"/>
      <c r="I139" s="117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 spans="1:26">
      <c r="A140" s="13"/>
      <c r="B140" s="13"/>
      <c r="C140" s="13"/>
      <c r="D140" s="13"/>
      <c r="E140" s="13"/>
      <c r="F140" s="13"/>
      <c r="G140" s="13"/>
      <c r="H140" s="13"/>
      <c r="I140" s="117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 spans="1:26">
      <c r="A141" s="13"/>
      <c r="B141" s="13"/>
      <c r="C141" s="13"/>
      <c r="D141" s="13"/>
      <c r="E141" s="13"/>
      <c r="F141" s="13"/>
      <c r="G141" s="13"/>
      <c r="H141" s="13"/>
      <c r="I141" s="117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 spans="1:26">
      <c r="A142" s="13"/>
      <c r="B142" s="13"/>
      <c r="C142" s="13"/>
      <c r="D142" s="13"/>
      <c r="E142" s="13"/>
      <c r="F142" s="13"/>
      <c r="G142" s="13"/>
      <c r="H142" s="13"/>
      <c r="I142" s="117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 spans="1:26">
      <c r="A143" s="13"/>
      <c r="B143" s="13"/>
      <c r="C143" s="13"/>
      <c r="D143" s="13"/>
      <c r="E143" s="13"/>
      <c r="F143" s="13"/>
      <c r="G143" s="13"/>
      <c r="H143" s="13"/>
      <c r="I143" s="117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 spans="1:26">
      <c r="A144" s="13"/>
      <c r="B144" s="13"/>
      <c r="C144" s="13"/>
      <c r="D144" s="13"/>
      <c r="E144" s="13"/>
      <c r="F144" s="13"/>
      <c r="G144" s="13"/>
      <c r="H144" s="13"/>
      <c r="I144" s="117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 spans="1:26">
      <c r="A145" s="13"/>
      <c r="B145" s="13"/>
      <c r="C145" s="13"/>
      <c r="D145" s="13"/>
      <c r="E145" s="13"/>
      <c r="F145" s="13"/>
      <c r="G145" s="13"/>
      <c r="H145" s="13"/>
      <c r="I145" s="117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 spans="1:26">
      <c r="A146" s="13"/>
      <c r="B146" s="13"/>
      <c r="C146" s="13"/>
      <c r="D146" s="13"/>
      <c r="E146" s="13"/>
      <c r="F146" s="13"/>
      <c r="G146" s="13"/>
      <c r="H146" s="13"/>
      <c r="I146" s="117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 spans="1:26">
      <c r="A147" s="13"/>
      <c r="B147" s="13"/>
      <c r="C147" s="13"/>
      <c r="D147" s="13"/>
      <c r="E147" s="13"/>
      <c r="F147" s="13"/>
      <c r="G147" s="13"/>
      <c r="H147" s="13"/>
      <c r="I147" s="117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 spans="1:26">
      <c r="A148" s="13"/>
      <c r="B148" s="13"/>
      <c r="C148" s="13"/>
      <c r="D148" s="13"/>
      <c r="E148" s="13"/>
      <c r="F148" s="13"/>
      <c r="G148" s="13"/>
      <c r="H148" s="13"/>
      <c r="I148" s="117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 spans="1:26">
      <c r="A149" s="13"/>
      <c r="B149" s="13"/>
      <c r="C149" s="13"/>
      <c r="D149" s="13"/>
      <c r="E149" s="13"/>
      <c r="F149" s="13"/>
      <c r="G149" s="13"/>
      <c r="H149" s="13"/>
      <c r="I149" s="117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 spans="1:26">
      <c r="A150" s="13"/>
      <c r="B150" s="13"/>
      <c r="C150" s="13"/>
      <c r="D150" s="13"/>
      <c r="E150" s="13"/>
      <c r="F150" s="13"/>
      <c r="G150" s="13"/>
      <c r="H150" s="13"/>
      <c r="I150" s="117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 spans="1:26">
      <c r="A151" s="13"/>
      <c r="B151" s="13"/>
      <c r="C151" s="13"/>
      <c r="D151" s="13"/>
      <c r="E151" s="13"/>
      <c r="F151" s="13"/>
      <c r="G151" s="13"/>
      <c r="H151" s="13"/>
      <c r="I151" s="117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 spans="1:26">
      <c r="A152" s="13"/>
      <c r="B152" s="13"/>
      <c r="C152" s="13"/>
      <c r="D152" s="13"/>
      <c r="E152" s="13"/>
      <c r="F152" s="13"/>
      <c r="G152" s="13"/>
      <c r="H152" s="13"/>
      <c r="I152" s="117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 spans="1:26">
      <c r="A153" s="13"/>
      <c r="B153" s="13"/>
      <c r="C153" s="13"/>
      <c r="D153" s="13"/>
      <c r="E153" s="13"/>
      <c r="F153" s="13"/>
      <c r="G153" s="13"/>
      <c r="H153" s="13"/>
      <c r="I153" s="117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 spans="1:26">
      <c r="A154" s="13"/>
      <c r="B154" s="13"/>
      <c r="C154" s="13"/>
      <c r="D154" s="13"/>
      <c r="E154" s="13"/>
      <c r="F154" s="13"/>
      <c r="G154" s="13"/>
      <c r="H154" s="13"/>
      <c r="I154" s="117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 spans="1:26">
      <c r="A155" s="13"/>
      <c r="B155" s="13"/>
      <c r="C155" s="13"/>
      <c r="D155" s="13"/>
      <c r="E155" s="13"/>
      <c r="F155" s="13"/>
      <c r="G155" s="13"/>
      <c r="H155" s="13"/>
      <c r="I155" s="117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 spans="1:26">
      <c r="A156" s="13"/>
      <c r="B156" s="13"/>
      <c r="C156" s="13"/>
      <c r="D156" s="13"/>
      <c r="E156" s="13"/>
      <c r="F156" s="13"/>
      <c r="G156" s="13"/>
      <c r="H156" s="13"/>
      <c r="I156" s="117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 spans="1:26">
      <c r="A157" s="13"/>
      <c r="B157" s="13"/>
      <c r="C157" s="13"/>
      <c r="D157" s="13"/>
      <c r="E157" s="13"/>
      <c r="F157" s="13"/>
      <c r="G157" s="13"/>
      <c r="H157" s="13"/>
      <c r="I157" s="117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 spans="1:26">
      <c r="A158" s="13"/>
      <c r="B158" s="13"/>
      <c r="C158" s="13"/>
      <c r="D158" s="13"/>
      <c r="E158" s="13"/>
      <c r="F158" s="13"/>
      <c r="G158" s="13"/>
      <c r="H158" s="13"/>
      <c r="I158" s="117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 spans="1:26">
      <c r="A159" s="13"/>
      <c r="B159" s="13"/>
      <c r="C159" s="13"/>
      <c r="D159" s="13"/>
      <c r="E159" s="13"/>
      <c r="F159" s="13"/>
      <c r="G159" s="13"/>
      <c r="H159" s="13"/>
      <c r="I159" s="117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 spans="1:26">
      <c r="A160" s="13"/>
      <c r="B160" s="13"/>
      <c r="C160" s="13"/>
      <c r="D160" s="13"/>
      <c r="E160" s="13"/>
      <c r="F160" s="13"/>
      <c r="G160" s="13"/>
      <c r="H160" s="13"/>
      <c r="I160" s="117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 spans="1:26">
      <c r="A161" s="13"/>
      <c r="B161" s="13"/>
      <c r="C161" s="13"/>
      <c r="D161" s="13"/>
      <c r="E161" s="13"/>
      <c r="F161" s="13"/>
      <c r="G161" s="13"/>
      <c r="H161" s="13"/>
      <c r="I161" s="117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 spans="1:26">
      <c r="A162" s="13"/>
      <c r="B162" s="13"/>
      <c r="C162" s="13"/>
      <c r="D162" s="13"/>
      <c r="E162" s="13"/>
      <c r="F162" s="13"/>
      <c r="G162" s="13"/>
      <c r="H162" s="13"/>
      <c r="I162" s="117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 spans="1:26">
      <c r="A163" s="13"/>
      <c r="B163" s="13"/>
      <c r="C163" s="13"/>
      <c r="D163" s="13"/>
      <c r="E163" s="13"/>
      <c r="F163" s="13"/>
      <c r="G163" s="13"/>
      <c r="H163" s="13"/>
      <c r="I163" s="117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 spans="1:26">
      <c r="A164" s="13"/>
      <c r="B164" s="13"/>
      <c r="C164" s="13"/>
      <c r="D164" s="13"/>
      <c r="E164" s="13"/>
      <c r="F164" s="13"/>
      <c r="G164" s="13"/>
      <c r="H164" s="13"/>
      <c r="I164" s="117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 spans="1:26">
      <c r="A165" s="13"/>
      <c r="B165" s="13"/>
      <c r="C165" s="13"/>
      <c r="D165" s="13"/>
      <c r="E165" s="13"/>
      <c r="F165" s="13"/>
      <c r="G165" s="13"/>
      <c r="H165" s="13"/>
      <c r="I165" s="117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 spans="1:26">
      <c r="A166" s="13"/>
      <c r="B166" s="13"/>
      <c r="C166" s="13"/>
      <c r="D166" s="13"/>
      <c r="E166" s="13"/>
      <c r="F166" s="13"/>
      <c r="G166" s="13"/>
      <c r="H166" s="13"/>
      <c r="I166" s="117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 spans="1:26">
      <c r="A167" s="13"/>
      <c r="B167" s="13"/>
      <c r="C167" s="13"/>
      <c r="D167" s="13"/>
      <c r="E167" s="13"/>
      <c r="F167" s="13"/>
      <c r="G167" s="13"/>
      <c r="H167" s="13"/>
      <c r="I167" s="117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 spans="1:26">
      <c r="A168" s="13"/>
      <c r="B168" s="13"/>
      <c r="C168" s="13"/>
      <c r="D168" s="13"/>
      <c r="E168" s="13"/>
      <c r="F168" s="13"/>
      <c r="G168" s="13"/>
      <c r="H168" s="13"/>
      <c r="I168" s="117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 spans="1:26">
      <c r="A169" s="13"/>
      <c r="B169" s="13"/>
      <c r="C169" s="13"/>
      <c r="D169" s="13"/>
      <c r="E169" s="13"/>
      <c r="F169" s="13"/>
      <c r="G169" s="13"/>
      <c r="H169" s="13"/>
      <c r="I169" s="117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 spans="1:26">
      <c r="A170" s="13"/>
      <c r="B170" s="13"/>
      <c r="C170" s="13"/>
      <c r="D170" s="13"/>
      <c r="E170" s="13"/>
      <c r="F170" s="13"/>
      <c r="G170" s="13"/>
      <c r="H170" s="13"/>
      <c r="I170" s="117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 spans="1:26">
      <c r="A171" s="13"/>
      <c r="B171" s="13"/>
      <c r="C171" s="13"/>
      <c r="D171" s="13"/>
      <c r="E171" s="13"/>
      <c r="F171" s="13"/>
      <c r="G171" s="13"/>
      <c r="H171" s="13"/>
      <c r="I171" s="117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 spans="1:26">
      <c r="A172" s="13"/>
      <c r="B172" s="13"/>
      <c r="C172" s="13"/>
      <c r="D172" s="13"/>
      <c r="E172" s="13"/>
      <c r="F172" s="13"/>
      <c r="G172" s="13"/>
      <c r="H172" s="13"/>
      <c r="I172" s="117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 spans="1:26">
      <c r="A173" s="13"/>
      <c r="B173" s="13"/>
      <c r="C173" s="13"/>
      <c r="D173" s="13"/>
      <c r="E173" s="13"/>
      <c r="F173" s="13"/>
      <c r="G173" s="13"/>
      <c r="H173" s="13"/>
      <c r="I173" s="117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 spans="1:26">
      <c r="A174" s="13"/>
      <c r="B174" s="13"/>
      <c r="C174" s="13"/>
      <c r="D174" s="13"/>
      <c r="E174" s="13"/>
      <c r="F174" s="13"/>
      <c r="G174" s="13"/>
      <c r="H174" s="13"/>
      <c r="I174" s="117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 spans="1:26">
      <c r="A175" s="13"/>
      <c r="B175" s="13"/>
      <c r="C175" s="13"/>
      <c r="D175" s="13"/>
      <c r="E175" s="13"/>
      <c r="F175" s="13"/>
      <c r="G175" s="13"/>
      <c r="H175" s="13"/>
      <c r="I175" s="117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 spans="1:26">
      <c r="A176" s="13"/>
      <c r="B176" s="13"/>
      <c r="C176" s="13"/>
      <c r="D176" s="13"/>
      <c r="E176" s="13"/>
      <c r="F176" s="13"/>
      <c r="G176" s="13"/>
      <c r="H176" s="13"/>
      <c r="I176" s="117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 spans="1:26">
      <c r="A177" s="13"/>
      <c r="B177" s="13"/>
      <c r="C177" s="13"/>
      <c r="D177" s="13"/>
      <c r="E177" s="13"/>
      <c r="F177" s="13"/>
      <c r="G177" s="13"/>
      <c r="H177" s="13"/>
      <c r="I177" s="117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 spans="1:26">
      <c r="A178" s="13"/>
      <c r="B178" s="13"/>
      <c r="C178" s="13"/>
      <c r="D178" s="13"/>
      <c r="E178" s="13"/>
      <c r="F178" s="13"/>
      <c r="G178" s="13"/>
      <c r="H178" s="13"/>
      <c r="I178" s="117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 spans="1:26">
      <c r="A179" s="13"/>
      <c r="B179" s="13"/>
      <c r="C179" s="13"/>
      <c r="D179" s="13"/>
      <c r="E179" s="13"/>
      <c r="F179" s="13"/>
      <c r="G179" s="13"/>
      <c r="H179" s="13"/>
      <c r="I179" s="117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 spans="1:26">
      <c r="A180" s="13"/>
      <c r="B180" s="13"/>
      <c r="C180" s="13"/>
      <c r="D180" s="13"/>
      <c r="E180" s="13"/>
      <c r="F180" s="13"/>
      <c r="G180" s="13"/>
      <c r="H180" s="13"/>
      <c r="I180" s="117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 spans="1:26">
      <c r="A181" s="13"/>
      <c r="B181" s="13"/>
      <c r="C181" s="13"/>
      <c r="D181" s="13"/>
      <c r="E181" s="13"/>
      <c r="F181" s="13"/>
      <c r="G181" s="13"/>
      <c r="H181" s="13"/>
      <c r="I181" s="117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 spans="1:26">
      <c r="A182" s="13"/>
      <c r="B182" s="13"/>
      <c r="C182" s="13"/>
      <c r="D182" s="13"/>
      <c r="E182" s="13"/>
      <c r="F182" s="13"/>
      <c r="G182" s="13"/>
      <c r="H182" s="13"/>
      <c r="I182" s="117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 spans="1:26">
      <c r="A183" s="13"/>
      <c r="B183" s="13"/>
      <c r="C183" s="13"/>
      <c r="D183" s="13"/>
      <c r="E183" s="13"/>
      <c r="F183" s="13"/>
      <c r="G183" s="13"/>
      <c r="H183" s="13"/>
      <c r="I183" s="117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 spans="1:26">
      <c r="A184" s="13"/>
      <c r="B184" s="13"/>
      <c r="C184" s="13"/>
      <c r="D184" s="13"/>
      <c r="E184" s="13"/>
      <c r="F184" s="13"/>
      <c r="G184" s="13"/>
      <c r="H184" s="13"/>
      <c r="I184" s="117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 spans="1:26">
      <c r="A185" s="13"/>
      <c r="B185" s="13"/>
      <c r="C185" s="13"/>
      <c r="D185" s="13"/>
      <c r="E185" s="13"/>
      <c r="F185" s="13"/>
      <c r="G185" s="13"/>
      <c r="H185" s="13"/>
      <c r="I185" s="117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 spans="1:26">
      <c r="A186" s="13"/>
      <c r="B186" s="13"/>
      <c r="C186" s="13"/>
      <c r="D186" s="13"/>
      <c r="E186" s="13"/>
      <c r="F186" s="13"/>
      <c r="G186" s="13"/>
      <c r="H186" s="13"/>
      <c r="I186" s="117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 spans="1:26">
      <c r="A187" s="13"/>
      <c r="B187" s="13"/>
      <c r="C187" s="13"/>
      <c r="D187" s="13"/>
      <c r="E187" s="13"/>
      <c r="F187" s="13"/>
      <c r="G187" s="13"/>
      <c r="H187" s="13"/>
      <c r="I187" s="117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 spans="1:26">
      <c r="A188" s="13"/>
      <c r="B188" s="13"/>
      <c r="C188" s="13"/>
      <c r="D188" s="13"/>
      <c r="E188" s="13"/>
      <c r="F188" s="13"/>
      <c r="G188" s="13"/>
      <c r="H188" s="13"/>
      <c r="I188" s="117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 spans="1:26">
      <c r="A189" s="13"/>
      <c r="B189" s="13"/>
      <c r="C189" s="13"/>
      <c r="D189" s="13"/>
      <c r="E189" s="13"/>
      <c r="F189" s="13"/>
      <c r="G189" s="13"/>
      <c r="H189" s="13"/>
      <c r="I189" s="117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 spans="1:26">
      <c r="A190" s="13"/>
      <c r="B190" s="13"/>
      <c r="C190" s="13"/>
      <c r="D190" s="13"/>
      <c r="E190" s="13"/>
      <c r="F190" s="13"/>
      <c r="G190" s="13"/>
      <c r="H190" s="13"/>
      <c r="I190" s="117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 spans="1:26">
      <c r="A191" s="13"/>
      <c r="B191" s="13"/>
      <c r="C191" s="13"/>
      <c r="D191" s="13"/>
      <c r="E191" s="13"/>
      <c r="F191" s="13"/>
      <c r="G191" s="13"/>
      <c r="H191" s="13"/>
      <c r="I191" s="117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 spans="1:26">
      <c r="A192" s="13"/>
      <c r="B192" s="13"/>
      <c r="C192" s="13"/>
      <c r="D192" s="13"/>
      <c r="E192" s="13"/>
      <c r="F192" s="13"/>
      <c r="G192" s="13"/>
      <c r="H192" s="13"/>
      <c r="I192" s="117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 spans="1:26">
      <c r="A193" s="13"/>
      <c r="B193" s="13"/>
      <c r="C193" s="13"/>
      <c r="D193" s="13"/>
      <c r="E193" s="13"/>
      <c r="F193" s="13"/>
      <c r="G193" s="13"/>
      <c r="H193" s="13"/>
      <c r="I193" s="117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 spans="1:26">
      <c r="A194" s="13"/>
      <c r="B194" s="13"/>
      <c r="C194" s="13"/>
      <c r="D194" s="13"/>
      <c r="E194" s="13"/>
      <c r="F194" s="13"/>
      <c r="G194" s="13"/>
      <c r="H194" s="13"/>
      <c r="I194" s="117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 spans="1:26">
      <c r="A195" s="13"/>
      <c r="B195" s="13"/>
      <c r="C195" s="13"/>
      <c r="D195" s="13"/>
      <c r="E195" s="13"/>
      <c r="F195" s="13"/>
      <c r="G195" s="13"/>
      <c r="H195" s="13"/>
      <c r="I195" s="117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 spans="1:26">
      <c r="A196" s="13"/>
      <c r="B196" s="13"/>
      <c r="C196" s="13"/>
      <c r="D196" s="13"/>
      <c r="E196" s="13"/>
      <c r="F196" s="13"/>
      <c r="G196" s="13"/>
      <c r="H196" s="13"/>
      <c r="I196" s="117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 spans="1:26">
      <c r="A197" s="13"/>
      <c r="B197" s="13"/>
      <c r="C197" s="13"/>
      <c r="D197" s="13"/>
      <c r="E197" s="13"/>
      <c r="F197" s="13"/>
      <c r="G197" s="13"/>
      <c r="H197" s="13"/>
      <c r="I197" s="117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 spans="1:26">
      <c r="A198" s="13"/>
      <c r="B198" s="13"/>
      <c r="C198" s="13"/>
      <c r="D198" s="13"/>
      <c r="E198" s="13"/>
      <c r="F198" s="13"/>
      <c r="G198" s="13"/>
      <c r="H198" s="13"/>
      <c r="I198" s="117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 spans="1:26">
      <c r="A199" s="13"/>
      <c r="B199" s="13"/>
      <c r="C199" s="13"/>
      <c r="D199" s="13"/>
      <c r="E199" s="13"/>
      <c r="F199" s="13"/>
      <c r="G199" s="13"/>
      <c r="H199" s="13"/>
      <c r="I199" s="117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 spans="1:26">
      <c r="A200" s="13"/>
      <c r="B200" s="13"/>
      <c r="C200" s="13"/>
      <c r="D200" s="13"/>
      <c r="E200" s="13"/>
      <c r="F200" s="13"/>
      <c r="G200" s="13"/>
      <c r="H200" s="13"/>
      <c r="I200" s="117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 spans="1:26">
      <c r="A201" s="13"/>
      <c r="B201" s="13"/>
      <c r="C201" s="13"/>
      <c r="D201" s="13"/>
      <c r="E201" s="13"/>
      <c r="F201" s="13"/>
      <c r="G201" s="13"/>
      <c r="H201" s="13"/>
      <c r="I201" s="117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 spans="1:26">
      <c r="A202" s="13"/>
      <c r="B202" s="13"/>
      <c r="C202" s="13"/>
      <c r="D202" s="13"/>
      <c r="E202" s="13"/>
      <c r="F202" s="13"/>
      <c r="G202" s="13"/>
      <c r="H202" s="13"/>
      <c r="I202" s="117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 spans="1:26">
      <c r="A203" s="13"/>
      <c r="B203" s="13"/>
      <c r="C203" s="13"/>
      <c r="D203" s="13"/>
      <c r="E203" s="13"/>
      <c r="F203" s="13"/>
      <c r="G203" s="13"/>
      <c r="H203" s="13"/>
      <c r="I203" s="117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 spans="1:26">
      <c r="A204" s="13"/>
      <c r="B204" s="13"/>
      <c r="C204" s="13"/>
      <c r="D204" s="13"/>
      <c r="E204" s="13"/>
      <c r="F204" s="13"/>
      <c r="G204" s="13"/>
      <c r="H204" s="13"/>
      <c r="I204" s="117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 spans="1:26">
      <c r="A205" s="13"/>
      <c r="B205" s="13"/>
      <c r="C205" s="13"/>
      <c r="D205" s="13"/>
      <c r="E205" s="13"/>
      <c r="F205" s="13"/>
      <c r="G205" s="13"/>
      <c r="H205" s="13"/>
      <c r="I205" s="117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 spans="1:26">
      <c r="A206" s="13"/>
      <c r="B206" s="13"/>
      <c r="C206" s="13"/>
      <c r="D206" s="13"/>
      <c r="E206" s="13"/>
      <c r="F206" s="13"/>
      <c r="G206" s="13"/>
      <c r="H206" s="13"/>
      <c r="I206" s="117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 spans="1:26">
      <c r="A207" s="13"/>
      <c r="B207" s="13"/>
      <c r="C207" s="13"/>
      <c r="D207" s="13"/>
      <c r="E207" s="13"/>
      <c r="F207" s="13"/>
      <c r="G207" s="13"/>
      <c r="H207" s="13"/>
      <c r="I207" s="117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 spans="1:26">
      <c r="A208" s="13"/>
      <c r="B208" s="13"/>
      <c r="C208" s="13"/>
      <c r="D208" s="13"/>
      <c r="E208" s="13"/>
      <c r="F208" s="13"/>
      <c r="G208" s="13"/>
      <c r="H208" s="13"/>
      <c r="I208" s="117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 spans="1:26">
      <c r="A209" s="13"/>
      <c r="B209" s="13"/>
      <c r="C209" s="13"/>
      <c r="D209" s="13"/>
      <c r="E209" s="13"/>
      <c r="F209" s="13"/>
      <c r="G209" s="13"/>
      <c r="H209" s="13"/>
      <c r="I209" s="117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 spans="1:26">
      <c r="A210" s="13"/>
      <c r="B210" s="13"/>
      <c r="C210" s="13"/>
      <c r="D210" s="13"/>
      <c r="E210" s="13"/>
      <c r="F210" s="13"/>
      <c r="G210" s="13"/>
      <c r="H210" s="13"/>
      <c r="I210" s="117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 spans="1:26">
      <c r="A211" s="13"/>
      <c r="B211" s="13"/>
      <c r="C211" s="13"/>
      <c r="D211" s="13"/>
      <c r="E211" s="13"/>
      <c r="F211" s="13"/>
      <c r="G211" s="13"/>
      <c r="H211" s="13"/>
      <c r="I211" s="117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 spans="1:26">
      <c r="A212" s="13"/>
      <c r="B212" s="13"/>
      <c r="C212" s="13"/>
      <c r="D212" s="13"/>
      <c r="E212" s="13"/>
      <c r="F212" s="13"/>
      <c r="G212" s="13"/>
      <c r="H212" s="13"/>
      <c r="I212" s="117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 spans="1:26">
      <c r="A213" s="13"/>
      <c r="B213" s="13"/>
      <c r="C213" s="13"/>
      <c r="D213" s="13"/>
      <c r="E213" s="13"/>
      <c r="F213" s="13"/>
      <c r="G213" s="13"/>
      <c r="H213" s="13"/>
      <c r="I213" s="117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 spans="1:26">
      <c r="A214" s="13"/>
      <c r="B214" s="13"/>
      <c r="C214" s="13"/>
      <c r="D214" s="13"/>
      <c r="E214" s="13"/>
      <c r="F214" s="13"/>
      <c r="G214" s="13"/>
      <c r="H214" s="13"/>
      <c r="I214" s="117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 spans="1:26">
      <c r="A215" s="13"/>
      <c r="B215" s="13"/>
      <c r="C215" s="13"/>
      <c r="D215" s="13"/>
      <c r="E215" s="13"/>
      <c r="F215" s="13"/>
      <c r="G215" s="13"/>
      <c r="H215" s="13"/>
      <c r="I215" s="117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 spans="1:26">
      <c r="A216" s="13"/>
      <c r="B216" s="13"/>
      <c r="C216" s="13"/>
      <c r="D216" s="13"/>
      <c r="E216" s="13"/>
      <c r="F216" s="13"/>
      <c r="G216" s="13"/>
      <c r="H216" s="13"/>
      <c r="I216" s="117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 spans="1:26">
      <c r="A217" s="13"/>
      <c r="B217" s="13"/>
      <c r="C217" s="13"/>
      <c r="D217" s="13"/>
      <c r="E217" s="13"/>
      <c r="F217" s="13"/>
      <c r="G217" s="13"/>
      <c r="H217" s="13"/>
      <c r="I217" s="117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 spans="1:26">
      <c r="A218" s="13"/>
      <c r="B218" s="13"/>
      <c r="C218" s="13"/>
      <c r="D218" s="13"/>
      <c r="E218" s="13"/>
      <c r="F218" s="13"/>
      <c r="G218" s="13"/>
      <c r="H218" s="13"/>
      <c r="I218" s="117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 spans="1:26">
      <c r="A219" s="13"/>
      <c r="B219" s="13"/>
      <c r="C219" s="13"/>
      <c r="D219" s="13"/>
      <c r="E219" s="13"/>
      <c r="F219" s="13"/>
      <c r="G219" s="13"/>
      <c r="H219" s="13"/>
      <c r="I219" s="117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 spans="1:26">
      <c r="A220" s="13"/>
      <c r="B220" s="13"/>
      <c r="C220" s="13"/>
      <c r="D220" s="13"/>
      <c r="E220" s="13"/>
      <c r="F220" s="13"/>
      <c r="G220" s="13"/>
      <c r="H220" s="13"/>
      <c r="I220" s="117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 spans="1:26">
      <c r="A221" s="13"/>
      <c r="B221" s="13"/>
      <c r="C221" s="13"/>
      <c r="D221" s="13"/>
      <c r="E221" s="13"/>
      <c r="F221" s="13"/>
      <c r="G221" s="13"/>
      <c r="H221" s="13"/>
      <c r="I221" s="117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 spans="1:26">
      <c r="A222" s="13"/>
      <c r="B222" s="13"/>
      <c r="C222" s="13"/>
      <c r="D222" s="13"/>
      <c r="E222" s="13"/>
      <c r="F222" s="13"/>
      <c r="G222" s="13"/>
      <c r="H222" s="13"/>
      <c r="I222" s="117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 spans="1:26">
      <c r="A223" s="13"/>
      <c r="B223" s="13"/>
      <c r="C223" s="13"/>
      <c r="D223" s="13"/>
      <c r="E223" s="13"/>
      <c r="F223" s="13"/>
      <c r="G223" s="13"/>
      <c r="H223" s="13"/>
      <c r="I223" s="117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 spans="1:26">
      <c r="A224" s="13"/>
      <c r="B224" s="13"/>
      <c r="C224" s="13"/>
      <c r="D224" s="13"/>
      <c r="E224" s="13"/>
      <c r="F224" s="13"/>
      <c r="G224" s="13"/>
      <c r="H224" s="13"/>
      <c r="I224" s="117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 spans="1:26">
      <c r="A225" s="13"/>
      <c r="B225" s="13"/>
      <c r="C225" s="13"/>
      <c r="D225" s="13"/>
      <c r="E225" s="13"/>
      <c r="F225" s="13"/>
      <c r="G225" s="13"/>
      <c r="H225" s="13"/>
      <c r="I225" s="117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 spans="1:26">
      <c r="A226" s="13"/>
      <c r="B226" s="13"/>
      <c r="C226" s="13"/>
      <c r="D226" s="13"/>
      <c r="E226" s="13"/>
      <c r="F226" s="13"/>
      <c r="G226" s="13"/>
      <c r="H226" s="13"/>
      <c r="I226" s="117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 spans="1:26">
      <c r="A227" s="13"/>
      <c r="B227" s="13"/>
      <c r="C227" s="13"/>
      <c r="D227" s="13"/>
      <c r="E227" s="13"/>
      <c r="F227" s="13"/>
      <c r="G227" s="13"/>
      <c r="H227" s="13"/>
      <c r="I227" s="117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 spans="1:26">
      <c r="A228" s="13"/>
      <c r="B228" s="13"/>
      <c r="C228" s="13"/>
      <c r="D228" s="13"/>
      <c r="E228" s="13"/>
      <c r="F228" s="13"/>
      <c r="G228" s="13"/>
      <c r="H228" s="13"/>
      <c r="I228" s="117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 spans="1:26">
      <c r="A229" s="13"/>
      <c r="B229" s="13"/>
      <c r="C229" s="13"/>
      <c r="D229" s="13"/>
      <c r="E229" s="13"/>
      <c r="F229" s="13"/>
      <c r="G229" s="13"/>
      <c r="H229" s="13"/>
      <c r="I229" s="117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 spans="1:26">
      <c r="A230" s="13"/>
      <c r="B230" s="13"/>
      <c r="C230" s="13"/>
      <c r="D230" s="13"/>
      <c r="E230" s="13"/>
      <c r="F230" s="13"/>
      <c r="G230" s="13"/>
      <c r="H230" s="13"/>
      <c r="I230" s="117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 spans="1:26">
      <c r="A231" s="13"/>
      <c r="B231" s="13"/>
      <c r="C231" s="13"/>
      <c r="D231" s="13"/>
      <c r="E231" s="13"/>
      <c r="F231" s="13"/>
      <c r="G231" s="13"/>
      <c r="H231" s="13"/>
      <c r="I231" s="117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 spans="1:26">
      <c r="A232" s="13"/>
      <c r="B232" s="13"/>
      <c r="C232" s="13"/>
      <c r="D232" s="13"/>
      <c r="E232" s="13"/>
      <c r="F232" s="13"/>
      <c r="G232" s="13"/>
      <c r="H232" s="13"/>
      <c r="I232" s="117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 spans="1:26">
      <c r="A233" s="13"/>
      <c r="B233" s="13"/>
      <c r="C233" s="13"/>
      <c r="D233" s="13"/>
      <c r="E233" s="13"/>
      <c r="F233" s="13"/>
      <c r="G233" s="13"/>
      <c r="H233" s="13"/>
      <c r="I233" s="117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 spans="1:26">
      <c r="A234" s="13"/>
      <c r="B234" s="13"/>
      <c r="C234" s="13"/>
      <c r="D234" s="13"/>
      <c r="E234" s="13"/>
      <c r="F234" s="13"/>
      <c r="G234" s="13"/>
      <c r="H234" s="13"/>
      <c r="I234" s="117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 spans="1:26">
      <c r="A235" s="13"/>
      <c r="B235" s="13"/>
      <c r="C235" s="13"/>
      <c r="D235" s="13"/>
      <c r="E235" s="13"/>
      <c r="F235" s="13"/>
      <c r="G235" s="13"/>
      <c r="H235" s="13"/>
      <c r="I235" s="117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 spans="1:26">
      <c r="A236" s="13"/>
      <c r="B236" s="13"/>
      <c r="C236" s="13"/>
      <c r="D236" s="13"/>
      <c r="E236" s="13"/>
      <c r="F236" s="13"/>
      <c r="G236" s="13"/>
      <c r="H236" s="13"/>
      <c r="I236" s="117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 spans="1:26">
      <c r="A237" s="13"/>
      <c r="B237" s="13"/>
      <c r="C237" s="13"/>
      <c r="D237" s="13"/>
      <c r="E237" s="13"/>
      <c r="F237" s="13"/>
      <c r="G237" s="13"/>
      <c r="H237" s="13"/>
      <c r="I237" s="117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 spans="1:26">
      <c r="A238" s="13"/>
      <c r="B238" s="13"/>
      <c r="C238" s="13"/>
      <c r="D238" s="13"/>
      <c r="E238" s="13"/>
      <c r="F238" s="13"/>
      <c r="G238" s="13"/>
      <c r="H238" s="13"/>
      <c r="I238" s="117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 spans="1:26">
      <c r="A239" s="13"/>
      <c r="B239" s="13"/>
      <c r="C239" s="13"/>
      <c r="D239" s="13"/>
      <c r="E239" s="13"/>
      <c r="F239" s="13"/>
      <c r="G239" s="13"/>
      <c r="H239" s="13"/>
      <c r="I239" s="117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 spans="1:26">
      <c r="A240" s="13"/>
      <c r="B240" s="13"/>
      <c r="C240" s="13"/>
      <c r="D240" s="13"/>
      <c r="E240" s="13"/>
      <c r="F240" s="13"/>
      <c r="G240" s="13"/>
      <c r="H240" s="13"/>
      <c r="I240" s="117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 spans="1:26">
      <c r="A241" s="13"/>
      <c r="B241" s="13"/>
      <c r="C241" s="13"/>
      <c r="D241" s="13"/>
      <c r="E241" s="13"/>
      <c r="F241" s="13"/>
      <c r="G241" s="13"/>
      <c r="H241" s="13"/>
      <c r="I241" s="117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 spans="1:26">
      <c r="A242" s="13"/>
      <c r="B242" s="13"/>
      <c r="C242" s="13"/>
      <c r="D242" s="13"/>
      <c r="E242" s="13"/>
      <c r="F242" s="13"/>
      <c r="G242" s="13"/>
      <c r="H242" s="13"/>
      <c r="I242" s="117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 spans="1:26">
      <c r="A243" s="13"/>
      <c r="B243" s="13"/>
      <c r="C243" s="13"/>
      <c r="D243" s="13"/>
      <c r="E243" s="13"/>
      <c r="F243" s="13"/>
      <c r="G243" s="13"/>
      <c r="H243" s="13"/>
      <c r="I243" s="117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 spans="1:26">
      <c r="A244" s="13"/>
      <c r="B244" s="13"/>
      <c r="C244" s="13"/>
      <c r="D244" s="13"/>
      <c r="E244" s="13"/>
      <c r="F244" s="13"/>
      <c r="G244" s="13"/>
      <c r="H244" s="13"/>
      <c r="I244" s="117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 spans="1:26">
      <c r="A245" s="13"/>
      <c r="B245" s="13"/>
      <c r="C245" s="13"/>
      <c r="D245" s="13"/>
      <c r="E245" s="13"/>
      <c r="F245" s="13"/>
      <c r="G245" s="13"/>
      <c r="H245" s="13"/>
      <c r="I245" s="117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 spans="1:26">
      <c r="A246" s="13"/>
      <c r="B246" s="13"/>
      <c r="C246" s="13"/>
      <c r="D246" s="13"/>
      <c r="E246" s="13"/>
      <c r="F246" s="13"/>
      <c r="G246" s="13"/>
      <c r="H246" s="13"/>
      <c r="I246" s="117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 spans="1:26">
      <c r="A247" s="13"/>
      <c r="B247" s="13"/>
      <c r="C247" s="13"/>
      <c r="D247" s="13"/>
      <c r="E247" s="13"/>
      <c r="F247" s="13"/>
      <c r="G247" s="13"/>
      <c r="H247" s="13"/>
      <c r="I247" s="117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 spans="1:26">
      <c r="A248" s="13"/>
      <c r="B248" s="13"/>
      <c r="C248" s="13"/>
      <c r="D248" s="13"/>
      <c r="E248" s="13"/>
      <c r="F248" s="13"/>
      <c r="G248" s="13"/>
      <c r="H248" s="13"/>
      <c r="I248" s="117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 spans="1:26">
      <c r="A249" s="13"/>
      <c r="B249" s="13"/>
      <c r="C249" s="13"/>
      <c r="D249" s="13"/>
      <c r="E249" s="13"/>
      <c r="F249" s="13"/>
      <c r="G249" s="13"/>
      <c r="H249" s="13"/>
      <c r="I249" s="117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 spans="1:26">
      <c r="A250" s="13"/>
      <c r="B250" s="13"/>
      <c r="C250" s="13"/>
      <c r="D250" s="13"/>
      <c r="E250" s="13"/>
      <c r="F250" s="13"/>
      <c r="G250" s="13"/>
      <c r="H250" s="13"/>
      <c r="I250" s="117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 spans="1:26">
      <c r="A251" s="13"/>
      <c r="B251" s="13"/>
      <c r="C251" s="13"/>
      <c r="D251" s="13"/>
      <c r="E251" s="13"/>
      <c r="F251" s="13"/>
      <c r="G251" s="13"/>
      <c r="H251" s="13"/>
      <c r="I251" s="117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 spans="1:26">
      <c r="A252" s="13"/>
      <c r="B252" s="13"/>
      <c r="C252" s="13"/>
      <c r="D252" s="13"/>
      <c r="E252" s="13"/>
      <c r="F252" s="13"/>
      <c r="G252" s="13"/>
      <c r="H252" s="13"/>
      <c r="I252" s="117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 spans="1:26">
      <c r="A253" s="13"/>
      <c r="B253" s="13"/>
      <c r="C253" s="13"/>
      <c r="D253" s="13"/>
      <c r="E253" s="13"/>
      <c r="F253" s="13"/>
      <c r="G253" s="13"/>
      <c r="H253" s="13"/>
      <c r="I253" s="117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 spans="1:26">
      <c r="A254" s="13"/>
      <c r="B254" s="13"/>
      <c r="C254" s="13"/>
      <c r="D254" s="13"/>
      <c r="E254" s="13"/>
      <c r="F254" s="13"/>
      <c r="G254" s="13"/>
      <c r="H254" s="13"/>
      <c r="I254" s="117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 spans="1:26">
      <c r="A255" s="13"/>
      <c r="B255" s="13"/>
      <c r="C255" s="13"/>
      <c r="D255" s="13"/>
      <c r="E255" s="13"/>
      <c r="F255" s="13"/>
      <c r="G255" s="13"/>
      <c r="H255" s="13"/>
      <c r="I255" s="117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 spans="1:26">
      <c r="A256" s="13"/>
      <c r="B256" s="13"/>
      <c r="C256" s="13"/>
      <c r="D256" s="13"/>
      <c r="E256" s="13"/>
      <c r="F256" s="13"/>
      <c r="G256" s="13"/>
      <c r="H256" s="13"/>
      <c r="I256" s="117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 spans="1:26">
      <c r="A257" s="13"/>
      <c r="B257" s="13"/>
      <c r="C257" s="13"/>
      <c r="D257" s="13"/>
      <c r="E257" s="13"/>
      <c r="F257" s="13"/>
      <c r="G257" s="13"/>
      <c r="H257" s="13"/>
      <c r="I257" s="117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 spans="1:26">
      <c r="A258" s="13"/>
      <c r="B258" s="13"/>
      <c r="C258" s="13"/>
      <c r="D258" s="13"/>
      <c r="E258" s="13"/>
      <c r="F258" s="13"/>
      <c r="G258" s="13"/>
      <c r="H258" s="13"/>
      <c r="I258" s="117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 spans="1:26">
      <c r="A259" s="13"/>
      <c r="B259" s="13"/>
      <c r="C259" s="13"/>
      <c r="D259" s="13"/>
      <c r="E259" s="13"/>
      <c r="F259" s="13"/>
      <c r="G259" s="13"/>
      <c r="H259" s="13"/>
      <c r="I259" s="117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 spans="1:26">
      <c r="A260" s="13"/>
      <c r="B260" s="13"/>
      <c r="C260" s="13"/>
      <c r="D260" s="13"/>
      <c r="E260" s="13"/>
      <c r="F260" s="13"/>
      <c r="G260" s="13"/>
      <c r="H260" s="13"/>
      <c r="I260" s="117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 spans="1:26">
      <c r="A261" s="13"/>
      <c r="B261" s="13"/>
      <c r="C261" s="13"/>
      <c r="D261" s="13"/>
      <c r="E261" s="13"/>
      <c r="F261" s="13"/>
      <c r="G261" s="13"/>
      <c r="H261" s="13"/>
      <c r="I261" s="117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 spans="1:26">
      <c r="A262" s="13"/>
      <c r="B262" s="13"/>
      <c r="C262" s="13"/>
      <c r="D262" s="13"/>
      <c r="E262" s="13"/>
      <c r="F262" s="13"/>
      <c r="G262" s="13"/>
      <c r="H262" s="13"/>
      <c r="I262" s="117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 spans="1:26">
      <c r="A263" s="13"/>
      <c r="B263" s="13"/>
      <c r="C263" s="13"/>
      <c r="D263" s="13"/>
      <c r="E263" s="13"/>
      <c r="F263" s="13"/>
      <c r="G263" s="13"/>
      <c r="H263" s="13"/>
      <c r="I263" s="117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 spans="1:26">
      <c r="A264" s="13"/>
      <c r="B264" s="13"/>
      <c r="C264" s="13"/>
      <c r="D264" s="13"/>
      <c r="E264" s="13"/>
      <c r="F264" s="13"/>
      <c r="G264" s="13"/>
      <c r="H264" s="13"/>
      <c r="I264" s="117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 spans="1:26">
      <c r="A265" s="13"/>
      <c r="B265" s="13"/>
      <c r="C265" s="13"/>
      <c r="D265" s="13"/>
      <c r="E265" s="13"/>
      <c r="F265" s="13"/>
      <c r="G265" s="13"/>
      <c r="H265" s="13"/>
      <c r="I265" s="117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 spans="1:26">
      <c r="A266" s="13"/>
      <c r="B266" s="13"/>
      <c r="C266" s="13"/>
      <c r="D266" s="13"/>
      <c r="E266" s="13"/>
      <c r="F266" s="13"/>
      <c r="G266" s="13"/>
      <c r="H266" s="13"/>
      <c r="I266" s="117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 spans="1:26">
      <c r="A267" s="13"/>
      <c r="B267" s="13"/>
      <c r="C267" s="13"/>
      <c r="D267" s="13"/>
      <c r="E267" s="13"/>
      <c r="F267" s="13"/>
      <c r="G267" s="13"/>
      <c r="H267" s="13"/>
      <c r="I267" s="117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 spans="1:26">
      <c r="A268" s="13"/>
      <c r="B268" s="13"/>
      <c r="C268" s="13"/>
      <c r="D268" s="13"/>
      <c r="E268" s="13"/>
      <c r="F268" s="13"/>
      <c r="G268" s="13"/>
      <c r="H268" s="13"/>
      <c r="I268" s="117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 spans="1:26">
      <c r="A269" s="13"/>
      <c r="B269" s="13"/>
      <c r="C269" s="13"/>
      <c r="D269" s="13"/>
      <c r="E269" s="13"/>
      <c r="F269" s="13"/>
      <c r="G269" s="13"/>
      <c r="H269" s="13"/>
      <c r="I269" s="117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 spans="1:26">
      <c r="A270" s="13"/>
      <c r="B270" s="13"/>
      <c r="C270" s="13"/>
      <c r="D270" s="13"/>
      <c r="E270" s="13"/>
      <c r="F270" s="13"/>
      <c r="G270" s="13"/>
      <c r="H270" s="13"/>
      <c r="I270" s="117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 spans="1:26">
      <c r="A271" s="13"/>
      <c r="B271" s="13"/>
      <c r="C271" s="13"/>
      <c r="D271" s="13"/>
      <c r="E271" s="13"/>
      <c r="F271" s="13"/>
      <c r="G271" s="13"/>
      <c r="H271" s="13"/>
      <c r="I271" s="117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 spans="1:26">
      <c r="A272" s="13"/>
      <c r="B272" s="13"/>
      <c r="C272" s="13"/>
      <c r="D272" s="13"/>
      <c r="E272" s="13"/>
      <c r="F272" s="13"/>
      <c r="G272" s="13"/>
      <c r="H272" s="13"/>
      <c r="I272" s="117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 spans="1:26">
      <c r="A273" s="13"/>
      <c r="B273" s="13"/>
      <c r="C273" s="13"/>
      <c r="D273" s="13"/>
      <c r="E273" s="13"/>
      <c r="F273" s="13"/>
      <c r="G273" s="13"/>
      <c r="H273" s="13"/>
      <c r="I273" s="117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 spans="1:26">
      <c r="A274" s="13"/>
      <c r="B274" s="13"/>
      <c r="C274" s="13"/>
      <c r="D274" s="13"/>
      <c r="E274" s="13"/>
      <c r="F274" s="13"/>
      <c r="G274" s="13"/>
      <c r="H274" s="13"/>
      <c r="I274" s="117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 spans="1:26">
      <c r="A275" s="13"/>
      <c r="B275" s="13"/>
      <c r="C275" s="13"/>
      <c r="D275" s="13"/>
      <c r="E275" s="13"/>
      <c r="F275" s="13"/>
      <c r="G275" s="13"/>
      <c r="H275" s="13"/>
      <c r="I275" s="117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 spans="1:26">
      <c r="A276" s="13"/>
      <c r="B276" s="13"/>
      <c r="C276" s="13"/>
      <c r="D276" s="13"/>
      <c r="E276" s="13"/>
      <c r="F276" s="13"/>
      <c r="G276" s="13"/>
      <c r="H276" s="13"/>
      <c r="I276" s="117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 spans="1:26">
      <c r="A277" s="13"/>
      <c r="B277" s="13"/>
      <c r="C277" s="13"/>
      <c r="D277" s="13"/>
      <c r="E277" s="13"/>
      <c r="F277" s="13"/>
      <c r="G277" s="13"/>
      <c r="H277" s="13"/>
      <c r="I277" s="117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 spans="1:26">
      <c r="A278" s="13"/>
      <c r="B278" s="13"/>
      <c r="C278" s="13"/>
      <c r="D278" s="13"/>
      <c r="E278" s="13"/>
      <c r="F278" s="13"/>
      <c r="G278" s="13"/>
      <c r="H278" s="13"/>
      <c r="I278" s="117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 spans="1:26">
      <c r="A279" s="13"/>
      <c r="B279" s="13"/>
      <c r="C279" s="13"/>
      <c r="D279" s="13"/>
      <c r="E279" s="13"/>
      <c r="F279" s="13"/>
      <c r="G279" s="13"/>
      <c r="H279" s="13"/>
      <c r="I279" s="117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 spans="1:26">
      <c r="A280" s="13"/>
      <c r="B280" s="13"/>
      <c r="C280" s="13"/>
      <c r="D280" s="13"/>
      <c r="E280" s="13"/>
      <c r="F280" s="13"/>
      <c r="G280" s="13"/>
      <c r="H280" s="13"/>
      <c r="I280" s="117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 spans="1:26">
      <c r="A281" s="13"/>
      <c r="B281" s="13"/>
      <c r="C281" s="13"/>
      <c r="D281" s="13"/>
      <c r="E281" s="13"/>
      <c r="F281" s="13"/>
      <c r="G281" s="13"/>
      <c r="H281" s="13"/>
      <c r="I281" s="117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 spans="1:26">
      <c r="A282" s="13"/>
      <c r="B282" s="13"/>
      <c r="C282" s="13"/>
      <c r="D282" s="13"/>
      <c r="E282" s="13"/>
      <c r="F282" s="13"/>
      <c r="G282" s="13"/>
      <c r="H282" s="13"/>
      <c r="I282" s="117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 spans="1:26">
      <c r="A283" s="13"/>
      <c r="B283" s="13"/>
      <c r="C283" s="13"/>
      <c r="D283" s="13"/>
      <c r="E283" s="13"/>
      <c r="F283" s="13"/>
      <c r="G283" s="13"/>
      <c r="H283" s="13"/>
      <c r="I283" s="117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 spans="1:26">
      <c r="A284" s="13"/>
      <c r="B284" s="13"/>
      <c r="C284" s="13"/>
      <c r="D284" s="13"/>
      <c r="E284" s="13"/>
      <c r="F284" s="13"/>
      <c r="G284" s="13"/>
      <c r="H284" s="13"/>
      <c r="I284" s="117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 spans="1:26">
      <c r="A285" s="13"/>
      <c r="B285" s="13"/>
      <c r="C285" s="13"/>
      <c r="D285" s="13"/>
      <c r="E285" s="13"/>
      <c r="F285" s="13"/>
      <c r="G285" s="13"/>
      <c r="H285" s="13"/>
      <c r="I285" s="117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 spans="1:26">
      <c r="A286" s="13"/>
      <c r="B286" s="13"/>
      <c r="C286" s="13"/>
      <c r="D286" s="13"/>
      <c r="E286" s="13"/>
      <c r="F286" s="13"/>
      <c r="G286" s="13"/>
      <c r="H286" s="13"/>
      <c r="I286" s="117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 spans="1:26">
      <c r="A287" s="13"/>
      <c r="B287" s="13"/>
      <c r="C287" s="13"/>
      <c r="D287" s="13"/>
      <c r="E287" s="13"/>
      <c r="F287" s="13"/>
      <c r="G287" s="13"/>
      <c r="H287" s="13"/>
      <c r="I287" s="117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 spans="1:26">
      <c r="A288" s="13"/>
      <c r="B288" s="13"/>
      <c r="C288" s="13"/>
      <c r="D288" s="13"/>
      <c r="E288" s="13"/>
      <c r="F288" s="13"/>
      <c r="G288" s="13"/>
      <c r="H288" s="13"/>
      <c r="I288" s="117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 spans="1:26">
      <c r="A289" s="13"/>
      <c r="B289" s="13"/>
      <c r="C289" s="13"/>
      <c r="D289" s="13"/>
      <c r="E289" s="13"/>
      <c r="F289" s="13"/>
      <c r="G289" s="13"/>
      <c r="H289" s="13"/>
      <c r="I289" s="117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 spans="1:26">
      <c r="A290" s="13"/>
      <c r="B290" s="13"/>
      <c r="C290" s="13"/>
      <c r="D290" s="13"/>
      <c r="E290" s="13"/>
      <c r="F290" s="13"/>
      <c r="G290" s="13"/>
      <c r="H290" s="13"/>
      <c r="I290" s="117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 spans="1:26">
      <c r="A291" s="13"/>
      <c r="B291" s="13"/>
      <c r="C291" s="13"/>
      <c r="D291" s="13"/>
      <c r="E291" s="13"/>
      <c r="F291" s="13"/>
      <c r="G291" s="13"/>
      <c r="H291" s="13"/>
      <c r="I291" s="117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 spans="1:26">
      <c r="A292" s="13"/>
      <c r="B292" s="13"/>
      <c r="C292" s="13"/>
      <c r="D292" s="13"/>
      <c r="E292" s="13"/>
      <c r="F292" s="13"/>
      <c r="G292" s="13"/>
      <c r="H292" s="13"/>
      <c r="I292" s="117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 spans="1:26">
      <c r="A293" s="13"/>
      <c r="B293" s="13"/>
      <c r="C293" s="13"/>
      <c r="D293" s="13"/>
      <c r="E293" s="13"/>
      <c r="F293" s="13"/>
      <c r="G293" s="13"/>
      <c r="H293" s="13"/>
      <c r="I293" s="117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 spans="1:26">
      <c r="A294" s="13"/>
      <c r="B294" s="13"/>
      <c r="C294" s="13"/>
      <c r="D294" s="13"/>
      <c r="E294" s="13"/>
      <c r="F294" s="13"/>
      <c r="G294" s="13"/>
      <c r="H294" s="13"/>
      <c r="I294" s="117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 spans="1:26">
      <c r="A295" s="13"/>
      <c r="B295" s="13"/>
      <c r="C295" s="13"/>
      <c r="D295" s="13"/>
      <c r="E295" s="13"/>
      <c r="F295" s="13"/>
      <c r="G295" s="13"/>
      <c r="H295" s="13"/>
      <c r="I295" s="117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 spans="1:26">
      <c r="A296" s="13"/>
      <c r="B296" s="13"/>
      <c r="C296" s="13"/>
      <c r="D296" s="13"/>
      <c r="E296" s="13"/>
      <c r="F296" s="13"/>
      <c r="G296" s="13"/>
      <c r="H296" s="13"/>
      <c r="I296" s="117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 spans="1:26">
      <c r="A297" s="13"/>
      <c r="B297" s="13"/>
      <c r="C297" s="13"/>
      <c r="D297" s="13"/>
      <c r="E297" s="13"/>
      <c r="F297" s="13"/>
      <c r="G297" s="13"/>
      <c r="H297" s="13"/>
      <c r="I297" s="117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 spans="1:26">
      <c r="A298" s="13"/>
      <c r="B298" s="13"/>
      <c r="C298" s="13"/>
      <c r="D298" s="13"/>
      <c r="E298" s="13"/>
      <c r="F298" s="13"/>
      <c r="G298" s="13"/>
      <c r="H298" s="13"/>
      <c r="I298" s="117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 spans="1:26">
      <c r="A299" s="13"/>
      <c r="B299" s="13"/>
      <c r="C299" s="13"/>
      <c r="D299" s="13"/>
      <c r="E299" s="13"/>
      <c r="F299" s="13"/>
      <c r="G299" s="13"/>
      <c r="H299" s="13"/>
      <c r="I299" s="117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 spans="1:26">
      <c r="A300" s="13"/>
      <c r="B300" s="13"/>
      <c r="C300" s="13"/>
      <c r="D300" s="13"/>
      <c r="E300" s="13"/>
      <c r="F300" s="13"/>
      <c r="G300" s="13"/>
      <c r="H300" s="13"/>
      <c r="I300" s="117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 spans="1:26">
      <c r="A301" s="13"/>
      <c r="B301" s="13"/>
      <c r="C301" s="13"/>
      <c r="D301" s="13"/>
      <c r="E301" s="13"/>
      <c r="F301" s="13"/>
      <c r="G301" s="13"/>
      <c r="H301" s="13"/>
      <c r="I301" s="117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 spans="1:26">
      <c r="A302" s="13"/>
      <c r="B302" s="13"/>
      <c r="C302" s="13"/>
      <c r="D302" s="13"/>
      <c r="E302" s="13"/>
      <c r="F302" s="13"/>
      <c r="G302" s="13"/>
      <c r="H302" s="13"/>
      <c r="I302" s="117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 spans="1:26">
      <c r="A303" s="13"/>
      <c r="B303" s="13"/>
      <c r="C303" s="13"/>
      <c r="D303" s="13"/>
      <c r="E303" s="13"/>
      <c r="F303" s="13"/>
      <c r="G303" s="13"/>
      <c r="H303" s="13"/>
      <c r="I303" s="117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 spans="1:26">
      <c r="A304" s="13"/>
      <c r="B304" s="13"/>
      <c r="C304" s="13"/>
      <c r="D304" s="13"/>
      <c r="E304" s="13"/>
      <c r="F304" s="13"/>
      <c r="G304" s="13"/>
      <c r="H304" s="13"/>
      <c r="I304" s="117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 spans="1:26">
      <c r="A305" s="13"/>
      <c r="B305" s="13"/>
      <c r="C305" s="13"/>
      <c r="D305" s="13"/>
      <c r="E305" s="13"/>
      <c r="F305" s="13"/>
      <c r="G305" s="13"/>
      <c r="H305" s="13"/>
      <c r="I305" s="117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 spans="1:26">
      <c r="A306" s="13"/>
      <c r="B306" s="13"/>
      <c r="C306" s="13"/>
      <c r="D306" s="13"/>
      <c r="E306" s="13"/>
      <c r="F306" s="13"/>
      <c r="G306" s="13"/>
      <c r="H306" s="13"/>
      <c r="I306" s="117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 spans="1:26">
      <c r="A307" s="13"/>
      <c r="B307" s="13"/>
      <c r="C307" s="13"/>
      <c r="D307" s="13"/>
      <c r="E307" s="13"/>
      <c r="F307" s="13"/>
      <c r="G307" s="13"/>
      <c r="H307" s="13"/>
      <c r="I307" s="117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 spans="1:26">
      <c r="A308" s="13"/>
      <c r="B308" s="13"/>
      <c r="C308" s="13"/>
      <c r="D308" s="13"/>
      <c r="E308" s="13"/>
      <c r="F308" s="13"/>
      <c r="G308" s="13"/>
      <c r="H308" s="13"/>
      <c r="I308" s="117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 spans="1:26">
      <c r="A309" s="13"/>
      <c r="B309" s="13"/>
      <c r="C309" s="13"/>
      <c r="D309" s="13"/>
      <c r="E309" s="13"/>
      <c r="F309" s="13"/>
      <c r="G309" s="13"/>
      <c r="H309" s="13"/>
      <c r="I309" s="117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 spans="1:26">
      <c r="A310" s="13"/>
      <c r="B310" s="13"/>
      <c r="C310" s="13"/>
      <c r="D310" s="13"/>
      <c r="E310" s="13"/>
      <c r="F310" s="13"/>
      <c r="G310" s="13"/>
      <c r="H310" s="13"/>
      <c r="I310" s="117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 spans="1:26">
      <c r="A311" s="13"/>
      <c r="B311" s="13"/>
      <c r="C311" s="13"/>
      <c r="D311" s="13"/>
      <c r="E311" s="13"/>
      <c r="F311" s="13"/>
      <c r="G311" s="13"/>
      <c r="H311" s="13"/>
      <c r="I311" s="117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 spans="1:26">
      <c r="A312" s="13"/>
      <c r="B312" s="13"/>
      <c r="C312" s="13"/>
      <c r="D312" s="13"/>
      <c r="E312" s="13"/>
      <c r="F312" s="13"/>
      <c r="G312" s="13"/>
      <c r="H312" s="13"/>
      <c r="I312" s="117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 spans="1:26">
      <c r="A313" s="13"/>
      <c r="B313" s="13"/>
      <c r="C313" s="13"/>
      <c r="D313" s="13"/>
      <c r="E313" s="13"/>
      <c r="F313" s="13"/>
      <c r="G313" s="13"/>
      <c r="H313" s="13"/>
      <c r="I313" s="117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 spans="1:26">
      <c r="A314" s="13"/>
      <c r="B314" s="13"/>
      <c r="C314" s="13"/>
      <c r="D314" s="13"/>
      <c r="E314" s="13"/>
      <c r="F314" s="13"/>
      <c r="G314" s="13"/>
      <c r="H314" s="13"/>
      <c r="I314" s="117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 spans="1:26">
      <c r="A315" s="13"/>
      <c r="B315" s="13"/>
      <c r="C315" s="13"/>
      <c r="D315" s="13"/>
      <c r="E315" s="13"/>
      <c r="F315" s="13"/>
      <c r="G315" s="13"/>
      <c r="H315" s="13"/>
      <c r="I315" s="117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 spans="1:26">
      <c r="A316" s="13"/>
      <c r="B316" s="13"/>
      <c r="C316" s="13"/>
      <c r="D316" s="13"/>
      <c r="E316" s="13"/>
      <c r="F316" s="13"/>
      <c r="G316" s="13"/>
      <c r="H316" s="13"/>
      <c r="I316" s="117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 spans="1:26">
      <c r="A317" s="13"/>
      <c r="B317" s="13"/>
      <c r="C317" s="13"/>
      <c r="D317" s="13"/>
      <c r="E317" s="13"/>
      <c r="F317" s="13"/>
      <c r="G317" s="13"/>
      <c r="H317" s="13"/>
      <c r="I317" s="117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 spans="1:26">
      <c r="A318" s="13"/>
      <c r="B318" s="13"/>
      <c r="C318" s="13"/>
      <c r="D318" s="13"/>
      <c r="E318" s="13"/>
      <c r="F318" s="13"/>
      <c r="G318" s="13"/>
      <c r="H318" s="13"/>
      <c r="I318" s="117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 spans="1:26">
      <c r="A319" s="13"/>
      <c r="B319" s="13"/>
      <c r="C319" s="13"/>
      <c r="D319" s="13"/>
      <c r="E319" s="13"/>
      <c r="F319" s="13"/>
      <c r="G319" s="13"/>
      <c r="H319" s="13"/>
      <c r="I319" s="117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 spans="1:26">
      <c r="A320" s="13"/>
      <c r="B320" s="13"/>
      <c r="C320" s="13"/>
      <c r="D320" s="13"/>
      <c r="E320" s="13"/>
      <c r="F320" s="13"/>
      <c r="G320" s="13"/>
      <c r="H320" s="13"/>
      <c r="I320" s="117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 spans="1:26">
      <c r="A321" s="13"/>
      <c r="B321" s="13"/>
      <c r="C321" s="13"/>
      <c r="D321" s="13"/>
      <c r="E321" s="13"/>
      <c r="F321" s="13"/>
      <c r="G321" s="13"/>
      <c r="H321" s="13"/>
      <c r="I321" s="117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 spans="1:26">
      <c r="A322" s="13"/>
      <c r="B322" s="13"/>
      <c r="C322" s="13"/>
      <c r="D322" s="13"/>
      <c r="E322" s="13"/>
      <c r="F322" s="13"/>
      <c r="G322" s="13"/>
      <c r="H322" s="13"/>
      <c r="I322" s="117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 spans="1:26">
      <c r="A323" s="13"/>
      <c r="B323" s="13"/>
      <c r="C323" s="13"/>
      <c r="D323" s="13"/>
      <c r="E323" s="13"/>
      <c r="F323" s="13"/>
      <c r="G323" s="13"/>
      <c r="H323" s="13"/>
      <c r="I323" s="117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 spans="1:26">
      <c r="A324" s="13"/>
      <c r="B324" s="13"/>
      <c r="C324" s="13"/>
      <c r="D324" s="13"/>
      <c r="E324" s="13"/>
      <c r="F324" s="13"/>
      <c r="G324" s="13"/>
      <c r="H324" s="13"/>
      <c r="I324" s="117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 spans="1:26">
      <c r="A325" s="13"/>
      <c r="B325" s="13"/>
      <c r="C325" s="13"/>
      <c r="D325" s="13"/>
      <c r="E325" s="13"/>
      <c r="F325" s="13"/>
      <c r="G325" s="13"/>
      <c r="H325" s="13"/>
      <c r="I325" s="117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 spans="1:26">
      <c r="A326" s="13"/>
      <c r="B326" s="13"/>
      <c r="C326" s="13"/>
      <c r="D326" s="13"/>
      <c r="E326" s="13"/>
      <c r="F326" s="13"/>
      <c r="G326" s="13"/>
      <c r="H326" s="13"/>
      <c r="I326" s="117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 spans="1:26">
      <c r="A327" s="13"/>
      <c r="B327" s="13"/>
      <c r="C327" s="13"/>
      <c r="D327" s="13"/>
      <c r="E327" s="13"/>
      <c r="F327" s="13"/>
      <c r="G327" s="13"/>
      <c r="H327" s="13"/>
      <c r="I327" s="117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 spans="1:26">
      <c r="A328" s="13"/>
      <c r="B328" s="13"/>
      <c r="C328" s="13"/>
      <c r="D328" s="13"/>
      <c r="E328" s="13"/>
      <c r="F328" s="13"/>
      <c r="G328" s="13"/>
      <c r="H328" s="13"/>
      <c r="I328" s="117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 spans="1:26">
      <c r="A329" s="13"/>
      <c r="B329" s="13"/>
      <c r="C329" s="13"/>
      <c r="D329" s="13"/>
      <c r="E329" s="13"/>
      <c r="F329" s="13"/>
      <c r="G329" s="13"/>
      <c r="H329" s="13"/>
      <c r="I329" s="117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 spans="1:26">
      <c r="A330" s="13"/>
      <c r="B330" s="13"/>
      <c r="C330" s="13"/>
      <c r="D330" s="13"/>
      <c r="E330" s="13"/>
      <c r="F330" s="13"/>
      <c r="G330" s="13"/>
      <c r="H330" s="13"/>
      <c r="I330" s="117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 spans="1:26">
      <c r="A331" s="13"/>
      <c r="B331" s="13"/>
      <c r="C331" s="13"/>
      <c r="D331" s="13"/>
      <c r="E331" s="13"/>
      <c r="F331" s="13"/>
      <c r="G331" s="13"/>
      <c r="H331" s="13"/>
      <c r="I331" s="117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 spans="1:26">
      <c r="A332" s="13"/>
      <c r="B332" s="13"/>
      <c r="C332" s="13"/>
      <c r="D332" s="13"/>
      <c r="E332" s="13"/>
      <c r="F332" s="13"/>
      <c r="G332" s="13"/>
      <c r="H332" s="13"/>
      <c r="I332" s="117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 spans="1:26">
      <c r="A333" s="13"/>
      <c r="B333" s="13"/>
      <c r="C333" s="13"/>
      <c r="D333" s="13"/>
      <c r="E333" s="13"/>
      <c r="F333" s="13"/>
      <c r="G333" s="13"/>
      <c r="H333" s="13"/>
      <c r="I333" s="117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 spans="1:26">
      <c r="A334" s="13"/>
      <c r="B334" s="13"/>
      <c r="C334" s="13"/>
      <c r="D334" s="13"/>
      <c r="E334" s="13"/>
      <c r="F334" s="13"/>
      <c r="G334" s="13"/>
      <c r="H334" s="13"/>
      <c r="I334" s="117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 spans="1:26">
      <c r="A335" s="13"/>
      <c r="B335" s="13"/>
      <c r="C335" s="13"/>
      <c r="D335" s="13"/>
      <c r="E335" s="13"/>
      <c r="F335" s="13"/>
      <c r="G335" s="13"/>
      <c r="H335" s="13"/>
      <c r="I335" s="117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 spans="1:26">
      <c r="A336" s="13"/>
      <c r="B336" s="13"/>
      <c r="C336" s="13"/>
      <c r="D336" s="13"/>
      <c r="E336" s="13"/>
      <c r="F336" s="13"/>
      <c r="G336" s="13"/>
      <c r="H336" s="13"/>
      <c r="I336" s="117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 spans="1:26">
      <c r="A337" s="13"/>
      <c r="B337" s="13"/>
      <c r="C337" s="13"/>
      <c r="D337" s="13"/>
      <c r="E337" s="13"/>
      <c r="F337" s="13"/>
      <c r="G337" s="13"/>
      <c r="H337" s="13"/>
      <c r="I337" s="117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 spans="1:26">
      <c r="A338" s="13"/>
      <c r="B338" s="13"/>
      <c r="C338" s="13"/>
      <c r="D338" s="13"/>
      <c r="E338" s="13"/>
      <c r="F338" s="13"/>
      <c r="G338" s="13"/>
      <c r="H338" s="13"/>
      <c r="I338" s="117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 spans="1:26">
      <c r="A339" s="13"/>
      <c r="B339" s="13"/>
      <c r="C339" s="13"/>
      <c r="D339" s="13"/>
      <c r="E339" s="13"/>
      <c r="F339" s="13"/>
      <c r="G339" s="13"/>
      <c r="H339" s="13"/>
      <c r="I339" s="117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 spans="1:26">
      <c r="A340" s="13"/>
      <c r="B340" s="13"/>
      <c r="C340" s="13"/>
      <c r="D340" s="13"/>
      <c r="E340" s="13"/>
      <c r="F340" s="13"/>
      <c r="G340" s="13"/>
      <c r="H340" s="13"/>
      <c r="I340" s="117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 spans="1:26">
      <c r="A341" s="13"/>
      <c r="B341" s="13"/>
      <c r="C341" s="13"/>
      <c r="D341" s="13"/>
      <c r="E341" s="13"/>
      <c r="F341" s="13"/>
      <c r="G341" s="13"/>
      <c r="H341" s="13"/>
      <c r="I341" s="117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 spans="1:26">
      <c r="A342" s="13"/>
      <c r="B342" s="13"/>
      <c r="C342" s="13"/>
      <c r="D342" s="13"/>
      <c r="E342" s="13"/>
      <c r="F342" s="13"/>
      <c r="G342" s="13"/>
      <c r="H342" s="13"/>
      <c r="I342" s="117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 spans="1:26">
      <c r="A343" s="13"/>
      <c r="B343" s="13"/>
      <c r="C343" s="13"/>
      <c r="D343" s="13"/>
      <c r="E343" s="13"/>
      <c r="F343" s="13"/>
      <c r="G343" s="13"/>
      <c r="H343" s="13"/>
      <c r="I343" s="117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 spans="1:26">
      <c r="A344" s="13"/>
      <c r="B344" s="13"/>
      <c r="C344" s="13"/>
      <c r="D344" s="13"/>
      <c r="E344" s="13"/>
      <c r="F344" s="13"/>
      <c r="G344" s="13"/>
      <c r="H344" s="13"/>
      <c r="I344" s="117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 spans="1:26">
      <c r="A345" s="13"/>
      <c r="B345" s="13"/>
      <c r="C345" s="13"/>
      <c r="D345" s="13"/>
      <c r="E345" s="13"/>
      <c r="F345" s="13"/>
      <c r="G345" s="13"/>
      <c r="H345" s="13"/>
      <c r="I345" s="117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 spans="1:26">
      <c r="A346" s="13"/>
      <c r="B346" s="13"/>
      <c r="C346" s="13"/>
      <c r="D346" s="13"/>
      <c r="E346" s="13"/>
      <c r="F346" s="13"/>
      <c r="G346" s="13"/>
      <c r="H346" s="13"/>
      <c r="I346" s="117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 spans="1:26">
      <c r="A347" s="13"/>
      <c r="B347" s="13"/>
      <c r="C347" s="13"/>
      <c r="D347" s="13"/>
      <c r="E347" s="13"/>
      <c r="F347" s="13"/>
      <c r="G347" s="13"/>
      <c r="H347" s="13"/>
      <c r="I347" s="117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 spans="1:26">
      <c r="A348" s="13"/>
      <c r="B348" s="13"/>
      <c r="C348" s="13"/>
      <c r="D348" s="13"/>
      <c r="E348" s="13"/>
      <c r="F348" s="13"/>
      <c r="G348" s="13"/>
      <c r="H348" s="13"/>
      <c r="I348" s="117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 spans="1:26">
      <c r="A349" s="13"/>
      <c r="B349" s="13"/>
      <c r="C349" s="13"/>
      <c r="D349" s="13"/>
      <c r="E349" s="13"/>
      <c r="F349" s="13"/>
      <c r="G349" s="13"/>
      <c r="H349" s="13"/>
      <c r="I349" s="117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 spans="1:26">
      <c r="A350" s="13"/>
      <c r="B350" s="13"/>
      <c r="C350" s="13"/>
      <c r="D350" s="13"/>
      <c r="E350" s="13"/>
      <c r="F350" s="13"/>
      <c r="G350" s="13"/>
      <c r="H350" s="13"/>
      <c r="I350" s="117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 spans="1:26">
      <c r="A351" s="13"/>
      <c r="B351" s="13"/>
      <c r="C351" s="13"/>
      <c r="D351" s="13"/>
      <c r="E351" s="13"/>
      <c r="F351" s="13"/>
      <c r="G351" s="13"/>
      <c r="H351" s="13"/>
      <c r="I351" s="117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 spans="1:26">
      <c r="A352" s="13"/>
      <c r="B352" s="13"/>
      <c r="C352" s="13"/>
      <c r="D352" s="13"/>
      <c r="E352" s="13"/>
      <c r="F352" s="13"/>
      <c r="G352" s="13"/>
      <c r="H352" s="13"/>
      <c r="I352" s="117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 spans="1:26">
      <c r="A353" s="13"/>
      <c r="B353" s="13"/>
      <c r="C353" s="13"/>
      <c r="D353" s="13"/>
      <c r="E353" s="13"/>
      <c r="F353" s="13"/>
      <c r="G353" s="13"/>
      <c r="H353" s="13"/>
      <c r="I353" s="117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 spans="1:26">
      <c r="A354" s="13"/>
      <c r="B354" s="13"/>
      <c r="C354" s="13"/>
      <c r="D354" s="13"/>
      <c r="E354" s="13"/>
      <c r="F354" s="13"/>
      <c r="G354" s="13"/>
      <c r="H354" s="13"/>
      <c r="I354" s="117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 spans="1:26">
      <c r="A355" s="13"/>
      <c r="B355" s="13"/>
      <c r="C355" s="13"/>
      <c r="D355" s="13"/>
      <c r="E355" s="13"/>
      <c r="F355" s="13"/>
      <c r="G355" s="13"/>
      <c r="H355" s="13"/>
      <c r="I355" s="117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 spans="1:26">
      <c r="A356" s="13"/>
      <c r="B356" s="13"/>
      <c r="C356" s="13"/>
      <c r="D356" s="13"/>
      <c r="E356" s="13"/>
      <c r="F356" s="13"/>
      <c r="G356" s="13"/>
      <c r="H356" s="13"/>
      <c r="I356" s="117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 spans="1:26">
      <c r="A357" s="13"/>
      <c r="B357" s="13"/>
      <c r="C357" s="13"/>
      <c r="D357" s="13"/>
      <c r="E357" s="13"/>
      <c r="F357" s="13"/>
      <c r="G357" s="13"/>
      <c r="H357" s="13"/>
      <c r="I357" s="117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 spans="1:26">
      <c r="A358" s="13"/>
      <c r="B358" s="13"/>
      <c r="C358" s="13"/>
      <c r="D358" s="13"/>
      <c r="E358" s="13"/>
      <c r="F358" s="13"/>
      <c r="G358" s="13"/>
      <c r="H358" s="13"/>
      <c r="I358" s="117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 spans="1:26">
      <c r="A359" s="13"/>
      <c r="B359" s="13"/>
      <c r="C359" s="13"/>
      <c r="D359" s="13"/>
      <c r="E359" s="13"/>
      <c r="F359" s="13"/>
      <c r="G359" s="13"/>
      <c r="H359" s="13"/>
      <c r="I359" s="117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 spans="1:26">
      <c r="A360" s="13"/>
      <c r="B360" s="13"/>
      <c r="C360" s="13"/>
      <c r="D360" s="13"/>
      <c r="E360" s="13"/>
      <c r="F360" s="13"/>
      <c r="G360" s="13"/>
      <c r="H360" s="13"/>
      <c r="I360" s="117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 spans="1:26">
      <c r="A361" s="13"/>
      <c r="B361" s="13"/>
      <c r="C361" s="13"/>
      <c r="D361" s="13"/>
      <c r="E361" s="13"/>
      <c r="F361" s="13"/>
      <c r="G361" s="13"/>
      <c r="H361" s="13"/>
      <c r="I361" s="117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 spans="1:26">
      <c r="A362" s="13"/>
      <c r="B362" s="13"/>
      <c r="C362" s="13"/>
      <c r="D362" s="13"/>
      <c r="E362" s="13"/>
      <c r="F362" s="13"/>
      <c r="G362" s="13"/>
      <c r="H362" s="13"/>
      <c r="I362" s="117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 spans="1:26">
      <c r="A363" s="13"/>
      <c r="B363" s="13"/>
      <c r="C363" s="13"/>
      <c r="D363" s="13"/>
      <c r="E363" s="13"/>
      <c r="F363" s="13"/>
      <c r="G363" s="13"/>
      <c r="H363" s="13"/>
      <c r="I363" s="117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 spans="1:26">
      <c r="A364" s="13"/>
      <c r="B364" s="13"/>
      <c r="C364" s="13"/>
      <c r="D364" s="13"/>
      <c r="E364" s="13"/>
      <c r="F364" s="13"/>
      <c r="G364" s="13"/>
      <c r="H364" s="13"/>
      <c r="I364" s="117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 spans="1:26">
      <c r="A365" s="13"/>
      <c r="B365" s="13"/>
      <c r="C365" s="13"/>
      <c r="D365" s="13"/>
      <c r="E365" s="13"/>
      <c r="F365" s="13"/>
      <c r="G365" s="13"/>
      <c r="H365" s="13"/>
      <c r="I365" s="117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 spans="1:26">
      <c r="A366" s="13"/>
      <c r="B366" s="13"/>
      <c r="C366" s="13"/>
      <c r="D366" s="13"/>
      <c r="E366" s="13"/>
      <c r="F366" s="13"/>
      <c r="G366" s="13"/>
      <c r="H366" s="13"/>
      <c r="I366" s="117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 spans="1:26">
      <c r="A367" s="13"/>
      <c r="B367" s="13"/>
      <c r="C367" s="13"/>
      <c r="D367" s="13"/>
      <c r="E367" s="13"/>
      <c r="F367" s="13"/>
      <c r="G367" s="13"/>
      <c r="H367" s="13"/>
      <c r="I367" s="117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 spans="1:26">
      <c r="A368" s="13"/>
      <c r="B368" s="13"/>
      <c r="C368" s="13"/>
      <c r="D368" s="13"/>
      <c r="E368" s="13"/>
      <c r="F368" s="13"/>
      <c r="G368" s="13"/>
      <c r="H368" s="13"/>
      <c r="I368" s="117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 spans="1:26">
      <c r="A369" s="13"/>
      <c r="B369" s="13"/>
      <c r="C369" s="13"/>
      <c r="D369" s="13"/>
      <c r="E369" s="13"/>
      <c r="F369" s="13"/>
      <c r="G369" s="13"/>
      <c r="H369" s="13"/>
      <c r="I369" s="117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 spans="1:26">
      <c r="A370" s="13"/>
      <c r="B370" s="13"/>
      <c r="C370" s="13"/>
      <c r="D370" s="13"/>
      <c r="E370" s="13"/>
      <c r="F370" s="13"/>
      <c r="G370" s="13"/>
      <c r="H370" s="13"/>
      <c r="I370" s="117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 spans="1:26">
      <c r="A371" s="13"/>
      <c r="B371" s="13"/>
      <c r="C371" s="13"/>
      <c r="D371" s="13"/>
      <c r="E371" s="13"/>
      <c r="F371" s="13"/>
      <c r="G371" s="13"/>
      <c r="H371" s="13"/>
      <c r="I371" s="117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 spans="1:26">
      <c r="A372" s="13"/>
      <c r="B372" s="13"/>
      <c r="C372" s="13"/>
      <c r="D372" s="13"/>
      <c r="E372" s="13"/>
      <c r="F372" s="13"/>
      <c r="G372" s="13"/>
      <c r="H372" s="13"/>
      <c r="I372" s="117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 spans="1:26">
      <c r="A373" s="13"/>
      <c r="B373" s="13"/>
      <c r="C373" s="13"/>
      <c r="D373" s="13"/>
      <c r="E373" s="13"/>
      <c r="F373" s="13"/>
      <c r="G373" s="13"/>
      <c r="H373" s="13"/>
      <c r="I373" s="117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 spans="1:26">
      <c r="A374" s="13"/>
      <c r="B374" s="13"/>
      <c r="C374" s="13"/>
      <c r="D374" s="13"/>
      <c r="E374" s="13"/>
      <c r="F374" s="13"/>
      <c r="G374" s="13"/>
      <c r="H374" s="13"/>
      <c r="I374" s="117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 spans="1:26">
      <c r="A375" s="13"/>
      <c r="B375" s="13"/>
      <c r="C375" s="13"/>
      <c r="D375" s="13"/>
      <c r="E375" s="13"/>
      <c r="F375" s="13"/>
      <c r="G375" s="13"/>
      <c r="H375" s="13"/>
      <c r="I375" s="117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 spans="1:26">
      <c r="A376" s="13"/>
      <c r="B376" s="13"/>
      <c r="C376" s="13"/>
      <c r="D376" s="13"/>
      <c r="E376" s="13"/>
      <c r="F376" s="13"/>
      <c r="G376" s="13"/>
      <c r="H376" s="13"/>
      <c r="I376" s="117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 spans="1:26">
      <c r="A377" s="13"/>
      <c r="B377" s="13"/>
      <c r="C377" s="13"/>
      <c r="D377" s="13"/>
      <c r="E377" s="13"/>
      <c r="F377" s="13"/>
      <c r="G377" s="13"/>
      <c r="H377" s="13"/>
      <c r="I377" s="117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 spans="1:26">
      <c r="A378" s="13"/>
      <c r="B378" s="13"/>
      <c r="C378" s="13"/>
      <c r="D378" s="13"/>
      <c r="E378" s="13"/>
      <c r="F378" s="13"/>
      <c r="G378" s="13"/>
      <c r="H378" s="13"/>
      <c r="I378" s="117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 spans="1:26">
      <c r="A379" s="13"/>
      <c r="B379" s="13"/>
      <c r="C379" s="13"/>
      <c r="D379" s="13"/>
      <c r="E379" s="13"/>
      <c r="F379" s="13"/>
      <c r="G379" s="13"/>
      <c r="H379" s="13"/>
      <c r="I379" s="117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 spans="1:26">
      <c r="A380" s="13"/>
      <c r="B380" s="13"/>
      <c r="C380" s="13"/>
      <c r="D380" s="13"/>
      <c r="E380" s="13"/>
      <c r="F380" s="13"/>
      <c r="G380" s="13"/>
      <c r="H380" s="13"/>
      <c r="I380" s="117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 spans="1:26">
      <c r="A381" s="13"/>
      <c r="B381" s="13"/>
      <c r="C381" s="13"/>
      <c r="D381" s="13"/>
      <c r="E381" s="13"/>
      <c r="F381" s="13"/>
      <c r="G381" s="13"/>
      <c r="H381" s="13"/>
      <c r="I381" s="117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 spans="1:26">
      <c r="A382" s="13"/>
      <c r="B382" s="13"/>
      <c r="C382" s="13"/>
      <c r="D382" s="13"/>
      <c r="E382" s="13"/>
      <c r="F382" s="13"/>
      <c r="G382" s="13"/>
      <c r="H382" s="13"/>
      <c r="I382" s="117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 spans="1:26">
      <c r="A383" s="13"/>
      <c r="B383" s="13"/>
      <c r="C383" s="13"/>
      <c r="D383" s="13"/>
      <c r="E383" s="13"/>
      <c r="F383" s="13"/>
      <c r="G383" s="13"/>
      <c r="H383" s="13"/>
      <c r="I383" s="117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 spans="1:26">
      <c r="A384" s="13"/>
      <c r="B384" s="13"/>
      <c r="C384" s="13"/>
      <c r="D384" s="13"/>
      <c r="E384" s="13"/>
      <c r="F384" s="13"/>
      <c r="G384" s="13"/>
      <c r="H384" s="13"/>
      <c r="I384" s="117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 spans="1:26">
      <c r="A385" s="13"/>
      <c r="B385" s="13"/>
      <c r="C385" s="13"/>
      <c r="D385" s="13"/>
      <c r="E385" s="13"/>
      <c r="F385" s="13"/>
      <c r="G385" s="13"/>
      <c r="H385" s="13"/>
      <c r="I385" s="117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 spans="1:26">
      <c r="A386" s="13"/>
      <c r="B386" s="13"/>
      <c r="C386" s="13"/>
      <c r="D386" s="13"/>
      <c r="E386" s="13"/>
      <c r="F386" s="13"/>
      <c r="G386" s="13"/>
      <c r="H386" s="13"/>
      <c r="I386" s="117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 spans="1:26">
      <c r="A387" s="13"/>
      <c r="B387" s="13"/>
      <c r="C387" s="13"/>
      <c r="D387" s="13"/>
      <c r="E387" s="13"/>
      <c r="F387" s="13"/>
      <c r="G387" s="13"/>
      <c r="H387" s="13"/>
      <c r="I387" s="117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 spans="1:26">
      <c r="A388" s="13"/>
      <c r="B388" s="13"/>
      <c r="C388" s="13"/>
      <c r="D388" s="13"/>
      <c r="E388" s="13"/>
      <c r="F388" s="13"/>
      <c r="G388" s="13"/>
      <c r="H388" s="13"/>
      <c r="I388" s="117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 spans="1:26">
      <c r="A389" s="13"/>
      <c r="B389" s="13"/>
      <c r="C389" s="13"/>
      <c r="D389" s="13"/>
      <c r="E389" s="13"/>
      <c r="F389" s="13"/>
      <c r="G389" s="13"/>
      <c r="H389" s="13"/>
      <c r="I389" s="117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 spans="1:26">
      <c r="A390" s="13"/>
      <c r="B390" s="13"/>
      <c r="C390" s="13"/>
      <c r="D390" s="13"/>
      <c r="E390" s="13"/>
      <c r="F390" s="13"/>
      <c r="G390" s="13"/>
      <c r="H390" s="13"/>
      <c r="I390" s="117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 spans="1:26">
      <c r="A391" s="13"/>
      <c r="B391" s="13"/>
      <c r="C391" s="13"/>
      <c r="D391" s="13"/>
      <c r="E391" s="13"/>
      <c r="F391" s="13"/>
      <c r="G391" s="13"/>
      <c r="H391" s="13"/>
      <c r="I391" s="117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 spans="1:26">
      <c r="A392" s="13"/>
      <c r="B392" s="13"/>
      <c r="C392" s="13"/>
      <c r="D392" s="13"/>
      <c r="E392" s="13"/>
      <c r="F392" s="13"/>
      <c r="G392" s="13"/>
      <c r="H392" s="13"/>
      <c r="I392" s="117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 spans="1:26">
      <c r="A393" s="13"/>
      <c r="B393" s="13"/>
      <c r="C393" s="13"/>
      <c r="D393" s="13"/>
      <c r="E393" s="13"/>
      <c r="F393" s="13"/>
      <c r="G393" s="13"/>
      <c r="H393" s="13"/>
      <c r="I393" s="117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 spans="1:26">
      <c r="A394" s="13"/>
      <c r="B394" s="13"/>
      <c r="C394" s="13"/>
      <c r="D394" s="13"/>
      <c r="E394" s="13"/>
      <c r="F394" s="13"/>
      <c r="G394" s="13"/>
      <c r="H394" s="13"/>
      <c r="I394" s="117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 spans="1:26">
      <c r="A395" s="13"/>
      <c r="B395" s="13"/>
      <c r="C395" s="13"/>
      <c r="D395" s="13"/>
      <c r="E395" s="13"/>
      <c r="F395" s="13"/>
      <c r="G395" s="13"/>
      <c r="H395" s="13"/>
      <c r="I395" s="117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 spans="1:26">
      <c r="A396" s="13"/>
      <c r="B396" s="13"/>
      <c r="C396" s="13"/>
      <c r="D396" s="13"/>
      <c r="E396" s="13"/>
      <c r="F396" s="13"/>
      <c r="G396" s="13"/>
      <c r="H396" s="13"/>
      <c r="I396" s="117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 spans="1:26">
      <c r="A397" s="13"/>
      <c r="B397" s="13"/>
      <c r="C397" s="13"/>
      <c r="D397" s="13"/>
      <c r="E397" s="13"/>
      <c r="F397" s="13"/>
      <c r="G397" s="13"/>
      <c r="H397" s="13"/>
      <c r="I397" s="117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 spans="1:26">
      <c r="A398" s="13"/>
      <c r="B398" s="13"/>
      <c r="C398" s="13"/>
      <c r="D398" s="13"/>
      <c r="E398" s="13"/>
      <c r="F398" s="13"/>
      <c r="G398" s="13"/>
      <c r="H398" s="13"/>
      <c r="I398" s="117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 spans="1:26">
      <c r="A399" s="13"/>
      <c r="B399" s="13"/>
      <c r="C399" s="13"/>
      <c r="D399" s="13"/>
      <c r="E399" s="13"/>
      <c r="F399" s="13"/>
      <c r="G399" s="13"/>
      <c r="H399" s="13"/>
      <c r="I399" s="117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 spans="1:26">
      <c r="A400" s="13"/>
      <c r="B400" s="13"/>
      <c r="C400" s="13"/>
      <c r="D400" s="13"/>
      <c r="E400" s="13"/>
      <c r="F400" s="13"/>
      <c r="G400" s="13"/>
      <c r="H400" s="13"/>
      <c r="I400" s="117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 spans="1:26">
      <c r="A401" s="13"/>
      <c r="B401" s="13"/>
      <c r="C401" s="13"/>
      <c r="D401" s="13"/>
      <c r="E401" s="13"/>
      <c r="F401" s="13"/>
      <c r="G401" s="13"/>
      <c r="H401" s="13"/>
      <c r="I401" s="117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 spans="1:26">
      <c r="A402" s="13"/>
      <c r="B402" s="13"/>
      <c r="C402" s="13"/>
      <c r="D402" s="13"/>
      <c r="E402" s="13"/>
      <c r="F402" s="13"/>
      <c r="G402" s="13"/>
      <c r="H402" s="13"/>
      <c r="I402" s="117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 spans="1:26">
      <c r="A403" s="13"/>
      <c r="B403" s="13"/>
      <c r="C403" s="13"/>
      <c r="D403" s="13"/>
      <c r="E403" s="13"/>
      <c r="F403" s="13"/>
      <c r="G403" s="13"/>
      <c r="H403" s="13"/>
      <c r="I403" s="117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 spans="1:26">
      <c r="A404" s="13"/>
      <c r="B404" s="13"/>
      <c r="C404" s="13"/>
      <c r="D404" s="13"/>
      <c r="E404" s="13"/>
      <c r="F404" s="13"/>
      <c r="G404" s="13"/>
      <c r="H404" s="13"/>
      <c r="I404" s="117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 spans="1:26">
      <c r="A405" s="13"/>
      <c r="B405" s="13"/>
      <c r="C405" s="13"/>
      <c r="D405" s="13"/>
      <c r="E405" s="13"/>
      <c r="F405" s="13"/>
      <c r="G405" s="13"/>
      <c r="H405" s="13"/>
      <c r="I405" s="117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 spans="1:26">
      <c r="A406" s="13"/>
      <c r="B406" s="13"/>
      <c r="C406" s="13"/>
      <c r="D406" s="13"/>
      <c r="E406" s="13"/>
      <c r="F406" s="13"/>
      <c r="G406" s="13"/>
      <c r="H406" s="13"/>
      <c r="I406" s="117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 spans="1:26">
      <c r="A407" s="13"/>
      <c r="B407" s="13"/>
      <c r="C407" s="13"/>
      <c r="D407" s="13"/>
      <c r="E407" s="13"/>
      <c r="F407" s="13"/>
      <c r="G407" s="13"/>
      <c r="H407" s="13"/>
      <c r="I407" s="117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 spans="1:26">
      <c r="A408" s="13"/>
      <c r="B408" s="13"/>
      <c r="C408" s="13"/>
      <c r="D408" s="13"/>
      <c r="E408" s="13"/>
      <c r="F408" s="13"/>
      <c r="G408" s="13"/>
      <c r="H408" s="13"/>
      <c r="I408" s="117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 spans="1:26">
      <c r="A409" s="13"/>
      <c r="B409" s="13"/>
      <c r="C409" s="13"/>
      <c r="D409" s="13"/>
      <c r="E409" s="13"/>
      <c r="F409" s="13"/>
      <c r="G409" s="13"/>
      <c r="H409" s="13"/>
      <c r="I409" s="117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 spans="1:26">
      <c r="A410" s="13"/>
      <c r="B410" s="13"/>
      <c r="C410" s="13"/>
      <c r="D410" s="13"/>
      <c r="E410" s="13"/>
      <c r="F410" s="13"/>
      <c r="G410" s="13"/>
      <c r="H410" s="13"/>
      <c r="I410" s="117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 spans="1:26">
      <c r="A411" s="13"/>
      <c r="B411" s="13"/>
      <c r="C411" s="13"/>
      <c r="D411" s="13"/>
      <c r="E411" s="13"/>
      <c r="F411" s="13"/>
      <c r="G411" s="13"/>
      <c r="H411" s="13"/>
      <c r="I411" s="117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 spans="1:26">
      <c r="A412" s="13"/>
      <c r="B412" s="13"/>
      <c r="C412" s="13"/>
      <c r="D412" s="13"/>
      <c r="E412" s="13"/>
      <c r="F412" s="13"/>
      <c r="G412" s="13"/>
      <c r="H412" s="13"/>
      <c r="I412" s="117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 spans="1:26">
      <c r="A413" s="13"/>
      <c r="B413" s="13"/>
      <c r="C413" s="13"/>
      <c r="D413" s="13"/>
      <c r="E413" s="13"/>
      <c r="F413" s="13"/>
      <c r="G413" s="13"/>
      <c r="H413" s="13"/>
      <c r="I413" s="117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 spans="1:26">
      <c r="A414" s="13"/>
      <c r="B414" s="13"/>
      <c r="C414" s="13"/>
      <c r="D414" s="13"/>
      <c r="E414" s="13"/>
      <c r="F414" s="13"/>
      <c r="G414" s="13"/>
      <c r="H414" s="13"/>
      <c r="I414" s="117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 spans="1:26">
      <c r="A415" s="13"/>
      <c r="B415" s="13"/>
      <c r="C415" s="13"/>
      <c r="D415" s="13"/>
      <c r="E415" s="13"/>
      <c r="F415" s="13"/>
      <c r="G415" s="13"/>
      <c r="H415" s="13"/>
      <c r="I415" s="117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 spans="1:26">
      <c r="A416" s="13"/>
      <c r="B416" s="13"/>
      <c r="C416" s="13"/>
      <c r="D416" s="13"/>
      <c r="E416" s="13"/>
      <c r="F416" s="13"/>
      <c r="G416" s="13"/>
      <c r="H416" s="13"/>
      <c r="I416" s="117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 spans="1:26">
      <c r="A417" s="13"/>
      <c r="B417" s="13"/>
      <c r="C417" s="13"/>
      <c r="D417" s="13"/>
      <c r="E417" s="13"/>
      <c r="F417" s="13"/>
      <c r="G417" s="13"/>
      <c r="H417" s="13"/>
      <c r="I417" s="117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 spans="1:26">
      <c r="A418" s="13"/>
      <c r="B418" s="13"/>
      <c r="C418" s="13"/>
      <c r="D418" s="13"/>
      <c r="E418" s="13"/>
      <c r="F418" s="13"/>
      <c r="G418" s="13"/>
      <c r="H418" s="13"/>
      <c r="I418" s="117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 spans="1:26">
      <c r="A419" s="13"/>
      <c r="B419" s="13"/>
      <c r="C419" s="13"/>
      <c r="D419" s="13"/>
      <c r="E419" s="13"/>
      <c r="F419" s="13"/>
      <c r="G419" s="13"/>
      <c r="H419" s="13"/>
      <c r="I419" s="117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 spans="1:26">
      <c r="A420" s="13"/>
      <c r="B420" s="13"/>
      <c r="C420" s="13"/>
      <c r="D420" s="13"/>
      <c r="E420" s="13"/>
      <c r="F420" s="13"/>
      <c r="G420" s="13"/>
      <c r="H420" s="13"/>
      <c r="I420" s="117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 spans="1:26">
      <c r="A421" s="13"/>
      <c r="B421" s="13"/>
      <c r="C421" s="13"/>
      <c r="D421" s="13"/>
      <c r="E421" s="13"/>
      <c r="F421" s="13"/>
      <c r="G421" s="13"/>
      <c r="H421" s="13"/>
      <c r="I421" s="117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 spans="1:26">
      <c r="A422" s="13"/>
      <c r="B422" s="13"/>
      <c r="C422" s="13"/>
      <c r="D422" s="13"/>
      <c r="E422" s="13"/>
      <c r="F422" s="13"/>
      <c r="G422" s="13"/>
      <c r="H422" s="13"/>
      <c r="I422" s="117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 spans="1:26">
      <c r="A423" s="13"/>
      <c r="B423" s="13"/>
      <c r="C423" s="13"/>
      <c r="D423" s="13"/>
      <c r="E423" s="13"/>
      <c r="F423" s="13"/>
      <c r="G423" s="13"/>
      <c r="H423" s="13"/>
      <c r="I423" s="117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 spans="1:26">
      <c r="A424" s="13"/>
      <c r="B424" s="13"/>
      <c r="C424" s="13"/>
      <c r="D424" s="13"/>
      <c r="E424" s="13"/>
      <c r="F424" s="13"/>
      <c r="G424" s="13"/>
      <c r="H424" s="13"/>
      <c r="I424" s="117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 spans="1:26">
      <c r="A425" s="13"/>
      <c r="B425" s="13"/>
      <c r="C425" s="13"/>
      <c r="D425" s="13"/>
      <c r="E425" s="13"/>
      <c r="F425" s="13"/>
      <c r="G425" s="13"/>
      <c r="H425" s="13"/>
      <c r="I425" s="117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 spans="1:26">
      <c r="A426" s="13"/>
      <c r="B426" s="13"/>
      <c r="C426" s="13"/>
      <c r="D426" s="13"/>
      <c r="E426" s="13"/>
      <c r="F426" s="13"/>
      <c r="G426" s="13"/>
      <c r="H426" s="13"/>
      <c r="I426" s="117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 spans="1:26">
      <c r="A427" s="13"/>
      <c r="B427" s="13"/>
      <c r="C427" s="13"/>
      <c r="D427" s="13"/>
      <c r="E427" s="13"/>
      <c r="F427" s="13"/>
      <c r="G427" s="13"/>
      <c r="H427" s="13"/>
      <c r="I427" s="117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 spans="1:26">
      <c r="A428" s="13"/>
      <c r="B428" s="13"/>
      <c r="C428" s="13"/>
      <c r="D428" s="13"/>
      <c r="E428" s="13"/>
      <c r="F428" s="13"/>
      <c r="G428" s="13"/>
      <c r="H428" s="13"/>
      <c r="I428" s="117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 spans="1:26">
      <c r="A429" s="13"/>
      <c r="B429" s="13"/>
      <c r="C429" s="13"/>
      <c r="D429" s="13"/>
      <c r="E429" s="13"/>
      <c r="F429" s="13"/>
      <c r="G429" s="13"/>
      <c r="H429" s="13"/>
      <c r="I429" s="117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 spans="1:26">
      <c r="A430" s="13"/>
      <c r="B430" s="13"/>
      <c r="C430" s="13"/>
      <c r="D430" s="13"/>
      <c r="E430" s="13"/>
      <c r="F430" s="13"/>
      <c r="G430" s="13"/>
      <c r="H430" s="13"/>
      <c r="I430" s="117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 spans="1:26">
      <c r="A431" s="13"/>
      <c r="B431" s="13"/>
      <c r="C431" s="13"/>
      <c r="D431" s="13"/>
      <c r="E431" s="13"/>
      <c r="F431" s="13"/>
      <c r="G431" s="13"/>
      <c r="H431" s="13"/>
      <c r="I431" s="117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 spans="1:26">
      <c r="A432" s="13"/>
      <c r="B432" s="13"/>
      <c r="C432" s="13"/>
      <c r="D432" s="13"/>
      <c r="E432" s="13"/>
      <c r="F432" s="13"/>
      <c r="G432" s="13"/>
      <c r="H432" s="13"/>
      <c r="I432" s="117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 spans="1:26">
      <c r="A433" s="13"/>
      <c r="B433" s="13"/>
      <c r="C433" s="13"/>
      <c r="D433" s="13"/>
      <c r="E433" s="13"/>
      <c r="F433" s="13"/>
      <c r="G433" s="13"/>
      <c r="H433" s="13"/>
      <c r="I433" s="117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 spans="1:26">
      <c r="A434" s="13"/>
      <c r="B434" s="13"/>
      <c r="C434" s="13"/>
      <c r="D434" s="13"/>
      <c r="E434" s="13"/>
      <c r="F434" s="13"/>
      <c r="G434" s="13"/>
      <c r="H434" s="13"/>
      <c r="I434" s="117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 spans="1:26">
      <c r="A435" s="13"/>
      <c r="B435" s="13"/>
      <c r="C435" s="13"/>
      <c r="D435" s="13"/>
      <c r="E435" s="13"/>
      <c r="F435" s="13"/>
      <c r="G435" s="13"/>
      <c r="H435" s="13"/>
      <c r="I435" s="117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 spans="1:26">
      <c r="A436" s="13"/>
      <c r="B436" s="13"/>
      <c r="C436" s="13"/>
      <c r="D436" s="13"/>
      <c r="E436" s="13"/>
      <c r="F436" s="13"/>
      <c r="G436" s="13"/>
      <c r="H436" s="13"/>
      <c r="I436" s="117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 spans="1:26">
      <c r="A437" s="13"/>
      <c r="B437" s="13"/>
      <c r="C437" s="13"/>
      <c r="D437" s="13"/>
      <c r="E437" s="13"/>
      <c r="F437" s="13"/>
      <c r="G437" s="13"/>
      <c r="H437" s="13"/>
      <c r="I437" s="117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 spans="1:26">
      <c r="A438" s="13"/>
      <c r="B438" s="13"/>
      <c r="C438" s="13"/>
      <c r="D438" s="13"/>
      <c r="E438" s="13"/>
      <c r="F438" s="13"/>
      <c r="G438" s="13"/>
      <c r="H438" s="13"/>
      <c r="I438" s="117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 spans="1:26">
      <c r="A439" s="13"/>
      <c r="B439" s="13"/>
      <c r="C439" s="13"/>
      <c r="D439" s="13"/>
      <c r="E439" s="13"/>
      <c r="F439" s="13"/>
      <c r="G439" s="13"/>
      <c r="H439" s="13"/>
      <c r="I439" s="117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 spans="1:26">
      <c r="A440" s="13"/>
      <c r="B440" s="13"/>
      <c r="C440" s="13"/>
      <c r="D440" s="13"/>
      <c r="E440" s="13"/>
      <c r="F440" s="13"/>
      <c r="G440" s="13"/>
      <c r="H440" s="13"/>
      <c r="I440" s="117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 spans="1:26">
      <c r="A441" s="13"/>
      <c r="B441" s="13"/>
      <c r="C441" s="13"/>
      <c r="D441" s="13"/>
      <c r="E441" s="13"/>
      <c r="F441" s="13"/>
      <c r="G441" s="13"/>
      <c r="H441" s="13"/>
      <c r="I441" s="117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 spans="1:26">
      <c r="A442" s="13"/>
      <c r="B442" s="13"/>
      <c r="C442" s="13"/>
      <c r="D442" s="13"/>
      <c r="E442" s="13"/>
      <c r="F442" s="13"/>
      <c r="G442" s="13"/>
      <c r="H442" s="13"/>
      <c r="I442" s="117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 spans="1:26">
      <c r="A443" s="13"/>
      <c r="B443" s="13"/>
      <c r="C443" s="13"/>
      <c r="D443" s="13"/>
      <c r="E443" s="13"/>
      <c r="F443" s="13"/>
      <c r="G443" s="13"/>
      <c r="H443" s="13"/>
      <c r="I443" s="117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 spans="1:26">
      <c r="A444" s="13"/>
      <c r="B444" s="13"/>
      <c r="C444" s="13"/>
      <c r="D444" s="13"/>
      <c r="E444" s="13"/>
      <c r="F444" s="13"/>
      <c r="G444" s="13"/>
      <c r="H444" s="13"/>
      <c r="I444" s="117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 spans="1:26">
      <c r="A445" s="13"/>
      <c r="B445" s="13"/>
      <c r="C445" s="13"/>
      <c r="D445" s="13"/>
      <c r="E445" s="13"/>
      <c r="F445" s="13"/>
      <c r="G445" s="13"/>
      <c r="H445" s="13"/>
      <c r="I445" s="117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 spans="1:26">
      <c r="A446" s="13"/>
      <c r="B446" s="13"/>
      <c r="C446" s="13"/>
      <c r="D446" s="13"/>
      <c r="E446" s="13"/>
      <c r="F446" s="13"/>
      <c r="G446" s="13"/>
      <c r="H446" s="13"/>
      <c r="I446" s="117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 spans="1:26">
      <c r="A447" s="13"/>
      <c r="B447" s="13"/>
      <c r="C447" s="13"/>
      <c r="D447" s="13"/>
      <c r="E447" s="13"/>
      <c r="F447" s="13"/>
      <c r="G447" s="13"/>
      <c r="H447" s="13"/>
      <c r="I447" s="117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 spans="1:26">
      <c r="A448" s="13"/>
      <c r="B448" s="13"/>
      <c r="C448" s="13"/>
      <c r="D448" s="13"/>
      <c r="E448" s="13"/>
      <c r="F448" s="13"/>
      <c r="G448" s="13"/>
      <c r="H448" s="13"/>
      <c r="I448" s="117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 spans="1:26">
      <c r="A449" s="13"/>
      <c r="B449" s="13"/>
      <c r="C449" s="13"/>
      <c r="D449" s="13"/>
      <c r="E449" s="13"/>
      <c r="F449" s="13"/>
      <c r="G449" s="13"/>
      <c r="H449" s="13"/>
      <c r="I449" s="117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 spans="1:26">
      <c r="A450" s="13"/>
      <c r="B450" s="13"/>
      <c r="C450" s="13"/>
      <c r="D450" s="13"/>
      <c r="E450" s="13"/>
      <c r="F450" s="13"/>
      <c r="G450" s="13"/>
      <c r="H450" s="13"/>
      <c r="I450" s="117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 spans="1:26">
      <c r="A451" s="13"/>
      <c r="B451" s="13"/>
      <c r="C451" s="13"/>
      <c r="D451" s="13"/>
      <c r="E451" s="13"/>
      <c r="F451" s="13"/>
      <c r="G451" s="13"/>
      <c r="H451" s="13"/>
      <c r="I451" s="117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 spans="1:26">
      <c r="A452" s="13"/>
      <c r="B452" s="13"/>
      <c r="C452" s="13"/>
      <c r="D452" s="13"/>
      <c r="E452" s="13"/>
      <c r="F452" s="13"/>
      <c r="G452" s="13"/>
      <c r="H452" s="13"/>
      <c r="I452" s="117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 spans="1:26">
      <c r="A453" s="13"/>
      <c r="B453" s="13"/>
      <c r="C453" s="13"/>
      <c r="D453" s="13"/>
      <c r="E453" s="13"/>
      <c r="F453" s="13"/>
      <c r="G453" s="13"/>
      <c r="H453" s="13"/>
      <c r="I453" s="117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 spans="1:26">
      <c r="A454" s="13"/>
      <c r="B454" s="13"/>
      <c r="C454" s="13"/>
      <c r="D454" s="13"/>
      <c r="E454" s="13"/>
      <c r="F454" s="13"/>
      <c r="G454" s="13"/>
      <c r="H454" s="13"/>
      <c r="I454" s="117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 spans="1:26">
      <c r="A455" s="13"/>
      <c r="B455" s="13"/>
      <c r="C455" s="13"/>
      <c r="D455" s="13"/>
      <c r="E455" s="13"/>
      <c r="F455" s="13"/>
      <c r="G455" s="13"/>
      <c r="H455" s="13"/>
      <c r="I455" s="117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 spans="1:26">
      <c r="A456" s="13"/>
      <c r="B456" s="13"/>
      <c r="C456" s="13"/>
      <c r="D456" s="13"/>
      <c r="E456" s="13"/>
      <c r="F456" s="13"/>
      <c r="G456" s="13"/>
      <c r="H456" s="13"/>
      <c r="I456" s="117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 spans="1:26">
      <c r="A457" s="13"/>
      <c r="B457" s="13"/>
      <c r="C457" s="13"/>
      <c r="D457" s="13"/>
      <c r="E457" s="13"/>
      <c r="F457" s="13"/>
      <c r="G457" s="13"/>
      <c r="H457" s="13"/>
      <c r="I457" s="117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 spans="1:26">
      <c r="A458" s="13"/>
      <c r="B458" s="13"/>
      <c r="C458" s="13"/>
      <c r="D458" s="13"/>
      <c r="E458" s="13"/>
      <c r="F458" s="13"/>
      <c r="G458" s="13"/>
      <c r="H458" s="13"/>
      <c r="I458" s="117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 spans="1:26">
      <c r="A459" s="13"/>
      <c r="B459" s="13"/>
      <c r="C459" s="13"/>
      <c r="D459" s="13"/>
      <c r="E459" s="13"/>
      <c r="F459" s="13"/>
      <c r="G459" s="13"/>
      <c r="H459" s="13"/>
      <c r="I459" s="117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 spans="1:26">
      <c r="A460" s="13"/>
      <c r="B460" s="13"/>
      <c r="C460" s="13"/>
      <c r="D460" s="13"/>
      <c r="E460" s="13"/>
      <c r="F460" s="13"/>
      <c r="G460" s="13"/>
      <c r="H460" s="13"/>
      <c r="I460" s="117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 spans="1:26">
      <c r="A461" s="13"/>
      <c r="B461" s="13"/>
      <c r="C461" s="13"/>
      <c r="D461" s="13"/>
      <c r="E461" s="13"/>
      <c r="F461" s="13"/>
      <c r="G461" s="13"/>
      <c r="H461" s="13"/>
      <c r="I461" s="117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 spans="1:26">
      <c r="A462" s="13"/>
      <c r="B462" s="13"/>
      <c r="C462" s="13"/>
      <c r="D462" s="13"/>
      <c r="E462" s="13"/>
      <c r="F462" s="13"/>
      <c r="G462" s="13"/>
      <c r="H462" s="13"/>
      <c r="I462" s="117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 spans="1:26">
      <c r="A463" s="13"/>
      <c r="B463" s="13"/>
      <c r="C463" s="13"/>
      <c r="D463" s="13"/>
      <c r="E463" s="13"/>
      <c r="F463" s="13"/>
      <c r="G463" s="13"/>
      <c r="H463" s="13"/>
      <c r="I463" s="117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 spans="1:26">
      <c r="A464" s="13"/>
      <c r="B464" s="13"/>
      <c r="C464" s="13"/>
      <c r="D464" s="13"/>
      <c r="E464" s="13"/>
      <c r="F464" s="13"/>
      <c r="G464" s="13"/>
      <c r="H464" s="13"/>
      <c r="I464" s="117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 spans="1:26">
      <c r="A465" s="13"/>
      <c r="B465" s="13"/>
      <c r="C465" s="13"/>
      <c r="D465" s="13"/>
      <c r="E465" s="13"/>
      <c r="F465" s="13"/>
      <c r="G465" s="13"/>
      <c r="H465" s="13"/>
      <c r="I465" s="117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 spans="1:26">
      <c r="A466" s="13"/>
      <c r="B466" s="13"/>
      <c r="C466" s="13"/>
      <c r="D466" s="13"/>
      <c r="E466" s="13"/>
      <c r="F466" s="13"/>
      <c r="G466" s="13"/>
      <c r="H466" s="13"/>
      <c r="I466" s="117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 spans="1:26">
      <c r="A467" s="13"/>
      <c r="B467" s="13"/>
      <c r="C467" s="13"/>
      <c r="D467" s="13"/>
      <c r="E467" s="13"/>
      <c r="F467" s="13"/>
      <c r="G467" s="13"/>
      <c r="H467" s="13"/>
      <c r="I467" s="117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 spans="1:26">
      <c r="A468" s="13"/>
      <c r="B468" s="13"/>
      <c r="C468" s="13"/>
      <c r="D468" s="13"/>
      <c r="E468" s="13"/>
      <c r="F468" s="13"/>
      <c r="G468" s="13"/>
      <c r="H468" s="13"/>
      <c r="I468" s="117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 spans="1:26">
      <c r="A469" s="13"/>
      <c r="B469" s="13"/>
      <c r="C469" s="13"/>
      <c r="D469" s="13"/>
      <c r="E469" s="13"/>
      <c r="F469" s="13"/>
      <c r="G469" s="13"/>
      <c r="H469" s="13"/>
      <c r="I469" s="117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 spans="1:26">
      <c r="A470" s="13"/>
      <c r="B470" s="13"/>
      <c r="C470" s="13"/>
      <c r="D470" s="13"/>
      <c r="E470" s="13"/>
      <c r="F470" s="13"/>
      <c r="G470" s="13"/>
      <c r="H470" s="13"/>
      <c r="I470" s="117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 spans="1:26">
      <c r="A471" s="13"/>
      <c r="B471" s="13"/>
      <c r="C471" s="13"/>
      <c r="D471" s="13"/>
      <c r="E471" s="13"/>
      <c r="F471" s="13"/>
      <c r="G471" s="13"/>
      <c r="H471" s="13"/>
      <c r="I471" s="117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 spans="1:26">
      <c r="A472" s="13"/>
      <c r="B472" s="13"/>
      <c r="C472" s="13"/>
      <c r="D472" s="13"/>
      <c r="E472" s="13"/>
      <c r="F472" s="13"/>
      <c r="G472" s="13"/>
      <c r="H472" s="13"/>
      <c r="I472" s="117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 spans="1:26">
      <c r="A473" s="13"/>
      <c r="B473" s="13"/>
      <c r="C473" s="13"/>
      <c r="D473" s="13"/>
      <c r="E473" s="13"/>
      <c r="F473" s="13"/>
      <c r="G473" s="13"/>
      <c r="H473" s="13"/>
      <c r="I473" s="117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 spans="1:26">
      <c r="A474" s="13"/>
      <c r="B474" s="13"/>
      <c r="C474" s="13"/>
      <c r="D474" s="13"/>
      <c r="E474" s="13"/>
      <c r="F474" s="13"/>
      <c r="G474" s="13"/>
      <c r="H474" s="13"/>
      <c r="I474" s="117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 spans="1:26">
      <c r="A475" s="13"/>
      <c r="B475" s="13"/>
      <c r="C475" s="13"/>
      <c r="D475" s="13"/>
      <c r="E475" s="13"/>
      <c r="F475" s="13"/>
      <c r="G475" s="13"/>
      <c r="H475" s="13"/>
      <c r="I475" s="117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 spans="1:26">
      <c r="A476" s="13"/>
      <c r="B476" s="13"/>
      <c r="C476" s="13"/>
      <c r="D476" s="13"/>
      <c r="E476" s="13"/>
      <c r="F476" s="13"/>
      <c r="G476" s="13"/>
      <c r="H476" s="13"/>
      <c r="I476" s="117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 spans="1:26">
      <c r="A477" s="13"/>
      <c r="B477" s="13"/>
      <c r="C477" s="13"/>
      <c r="D477" s="13"/>
      <c r="E477" s="13"/>
      <c r="F477" s="13"/>
      <c r="G477" s="13"/>
      <c r="H477" s="13"/>
      <c r="I477" s="117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 spans="1:26">
      <c r="A478" s="13"/>
      <c r="B478" s="13"/>
      <c r="C478" s="13"/>
      <c r="D478" s="13"/>
      <c r="E478" s="13"/>
      <c r="F478" s="13"/>
      <c r="G478" s="13"/>
      <c r="H478" s="13"/>
      <c r="I478" s="117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 spans="1:26">
      <c r="A479" s="13"/>
      <c r="B479" s="13"/>
      <c r="C479" s="13"/>
      <c r="D479" s="13"/>
      <c r="E479" s="13"/>
      <c r="F479" s="13"/>
      <c r="G479" s="13"/>
      <c r="H479" s="13"/>
      <c r="I479" s="117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 spans="1:26">
      <c r="A480" s="13"/>
      <c r="B480" s="13"/>
      <c r="C480" s="13"/>
      <c r="D480" s="13"/>
      <c r="E480" s="13"/>
      <c r="F480" s="13"/>
      <c r="G480" s="13"/>
      <c r="H480" s="13"/>
      <c r="I480" s="117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 spans="1:26">
      <c r="A481" s="13"/>
      <c r="B481" s="13"/>
      <c r="C481" s="13"/>
      <c r="D481" s="13"/>
      <c r="E481" s="13"/>
      <c r="F481" s="13"/>
      <c r="G481" s="13"/>
      <c r="H481" s="13"/>
      <c r="I481" s="117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 spans="1:26">
      <c r="A482" s="13"/>
      <c r="B482" s="13"/>
      <c r="C482" s="13"/>
      <c r="D482" s="13"/>
      <c r="E482" s="13"/>
      <c r="F482" s="13"/>
      <c r="G482" s="13"/>
      <c r="H482" s="13"/>
      <c r="I482" s="117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 spans="1:26">
      <c r="A483" s="13"/>
      <c r="B483" s="13"/>
      <c r="C483" s="13"/>
      <c r="D483" s="13"/>
      <c r="E483" s="13"/>
      <c r="F483" s="13"/>
      <c r="G483" s="13"/>
      <c r="H483" s="13"/>
      <c r="I483" s="117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 spans="1:26">
      <c r="A484" s="13"/>
      <c r="B484" s="13"/>
      <c r="C484" s="13"/>
      <c r="D484" s="13"/>
      <c r="E484" s="13"/>
      <c r="F484" s="13"/>
      <c r="G484" s="13"/>
      <c r="H484" s="13"/>
      <c r="I484" s="117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 spans="1:26">
      <c r="A485" s="13"/>
      <c r="B485" s="13"/>
      <c r="C485" s="13"/>
      <c r="D485" s="13"/>
      <c r="E485" s="13"/>
      <c r="F485" s="13"/>
      <c r="G485" s="13"/>
      <c r="H485" s="13"/>
      <c r="I485" s="117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 spans="1:26">
      <c r="A486" s="13"/>
      <c r="B486" s="13"/>
      <c r="C486" s="13"/>
      <c r="D486" s="13"/>
      <c r="E486" s="13"/>
      <c r="F486" s="13"/>
      <c r="G486" s="13"/>
      <c r="H486" s="13"/>
      <c r="I486" s="117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 spans="1:26">
      <c r="A487" s="13"/>
      <c r="B487" s="13"/>
      <c r="C487" s="13"/>
      <c r="D487" s="13"/>
      <c r="E487" s="13"/>
      <c r="F487" s="13"/>
      <c r="G487" s="13"/>
      <c r="H487" s="13"/>
      <c r="I487" s="117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 spans="1:26">
      <c r="A488" s="13"/>
      <c r="B488" s="13"/>
      <c r="C488" s="13"/>
      <c r="D488" s="13"/>
      <c r="E488" s="13"/>
      <c r="F488" s="13"/>
      <c r="G488" s="13"/>
      <c r="H488" s="13"/>
      <c r="I488" s="117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 spans="1:26">
      <c r="A489" s="13"/>
      <c r="B489" s="13"/>
      <c r="C489" s="13"/>
      <c r="D489" s="13"/>
      <c r="E489" s="13"/>
      <c r="F489" s="13"/>
      <c r="G489" s="13"/>
      <c r="H489" s="13"/>
      <c r="I489" s="117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 spans="1:26">
      <c r="A490" s="13"/>
      <c r="B490" s="13"/>
      <c r="C490" s="13"/>
      <c r="D490" s="13"/>
      <c r="E490" s="13"/>
      <c r="F490" s="13"/>
      <c r="G490" s="13"/>
      <c r="H490" s="13"/>
      <c r="I490" s="117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 spans="1:26">
      <c r="A491" s="13"/>
      <c r="B491" s="13"/>
      <c r="C491" s="13"/>
      <c r="D491" s="13"/>
      <c r="E491" s="13"/>
      <c r="F491" s="13"/>
      <c r="G491" s="13"/>
      <c r="H491" s="13"/>
      <c r="I491" s="117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 spans="1:26">
      <c r="A492" s="13"/>
      <c r="B492" s="13"/>
      <c r="C492" s="13"/>
      <c r="D492" s="13"/>
      <c r="E492" s="13"/>
      <c r="F492" s="13"/>
      <c r="G492" s="13"/>
      <c r="H492" s="13"/>
      <c r="I492" s="117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 spans="1:26">
      <c r="A493" s="13"/>
      <c r="B493" s="13"/>
      <c r="C493" s="13"/>
      <c r="D493" s="13"/>
      <c r="E493" s="13"/>
      <c r="F493" s="13"/>
      <c r="G493" s="13"/>
      <c r="H493" s="13"/>
      <c r="I493" s="117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 spans="1:26">
      <c r="A494" s="13"/>
      <c r="B494" s="13"/>
      <c r="C494" s="13"/>
      <c r="D494" s="13"/>
      <c r="E494" s="13"/>
      <c r="F494" s="13"/>
      <c r="G494" s="13"/>
      <c r="H494" s="13"/>
      <c r="I494" s="117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 spans="1:26">
      <c r="A495" s="13"/>
      <c r="B495" s="13"/>
      <c r="C495" s="13"/>
      <c r="D495" s="13"/>
      <c r="E495" s="13"/>
      <c r="F495" s="13"/>
      <c r="G495" s="13"/>
      <c r="H495" s="13"/>
      <c r="I495" s="117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 spans="1:26">
      <c r="A496" s="13"/>
      <c r="B496" s="13"/>
      <c r="C496" s="13"/>
      <c r="D496" s="13"/>
      <c r="E496" s="13"/>
      <c r="F496" s="13"/>
      <c r="G496" s="13"/>
      <c r="H496" s="13"/>
      <c r="I496" s="117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 spans="1:26">
      <c r="A497" s="13"/>
      <c r="B497" s="13"/>
      <c r="C497" s="13"/>
      <c r="D497" s="13"/>
      <c r="E497" s="13"/>
      <c r="F497" s="13"/>
      <c r="G497" s="13"/>
      <c r="H497" s="13"/>
      <c r="I497" s="117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 spans="1:26">
      <c r="A498" s="13"/>
      <c r="B498" s="13"/>
      <c r="C498" s="13"/>
      <c r="D498" s="13"/>
      <c r="E498" s="13"/>
      <c r="F498" s="13"/>
      <c r="G498" s="13"/>
      <c r="H498" s="13"/>
      <c r="I498" s="117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 spans="1:26">
      <c r="A499" s="13"/>
      <c r="B499" s="13"/>
      <c r="C499" s="13"/>
      <c r="D499" s="13"/>
      <c r="E499" s="13"/>
      <c r="F499" s="13"/>
      <c r="G499" s="13"/>
      <c r="H499" s="13"/>
      <c r="I499" s="117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 spans="1:26">
      <c r="A500" s="13"/>
      <c r="B500" s="13"/>
      <c r="C500" s="13"/>
      <c r="D500" s="13"/>
      <c r="E500" s="13"/>
      <c r="F500" s="13"/>
      <c r="G500" s="13"/>
      <c r="H500" s="13"/>
      <c r="I500" s="117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 spans="1:26">
      <c r="A501" s="13"/>
      <c r="B501" s="13"/>
      <c r="C501" s="13"/>
      <c r="D501" s="13"/>
      <c r="E501" s="13"/>
      <c r="F501" s="13"/>
      <c r="G501" s="13"/>
      <c r="H501" s="13"/>
      <c r="I501" s="117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 spans="1:26">
      <c r="A502" s="13"/>
      <c r="B502" s="13"/>
      <c r="C502" s="13"/>
      <c r="D502" s="13"/>
      <c r="E502" s="13"/>
      <c r="F502" s="13"/>
      <c r="G502" s="13"/>
      <c r="H502" s="13"/>
      <c r="I502" s="117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 spans="1:26">
      <c r="A503" s="13"/>
      <c r="B503" s="13"/>
      <c r="C503" s="13"/>
      <c r="D503" s="13"/>
      <c r="E503" s="13"/>
      <c r="F503" s="13"/>
      <c r="G503" s="13"/>
      <c r="H503" s="13"/>
      <c r="I503" s="117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 spans="1:26">
      <c r="A504" s="13"/>
      <c r="B504" s="13"/>
      <c r="C504" s="13"/>
      <c r="D504" s="13"/>
      <c r="E504" s="13"/>
      <c r="F504" s="13"/>
      <c r="G504" s="13"/>
      <c r="H504" s="13"/>
      <c r="I504" s="117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 spans="1:26">
      <c r="A505" s="13"/>
      <c r="B505" s="13"/>
      <c r="C505" s="13"/>
      <c r="D505" s="13"/>
      <c r="E505" s="13"/>
      <c r="F505" s="13"/>
      <c r="G505" s="13"/>
      <c r="H505" s="13"/>
      <c r="I505" s="117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 spans="1:26">
      <c r="A506" s="13"/>
      <c r="B506" s="13"/>
      <c r="C506" s="13"/>
      <c r="D506" s="13"/>
      <c r="E506" s="13"/>
      <c r="F506" s="13"/>
      <c r="G506" s="13"/>
      <c r="H506" s="13"/>
      <c r="I506" s="117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 spans="1:26">
      <c r="A507" s="13"/>
      <c r="B507" s="13"/>
      <c r="C507" s="13"/>
      <c r="D507" s="13"/>
      <c r="E507" s="13"/>
      <c r="F507" s="13"/>
      <c r="G507" s="13"/>
      <c r="H507" s="13"/>
      <c r="I507" s="117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 spans="1:26">
      <c r="A508" s="13"/>
      <c r="B508" s="13"/>
      <c r="C508" s="13"/>
      <c r="D508" s="13"/>
      <c r="E508" s="13"/>
      <c r="F508" s="13"/>
      <c r="G508" s="13"/>
      <c r="H508" s="13"/>
      <c r="I508" s="117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 spans="1:26">
      <c r="A509" s="13"/>
      <c r="B509" s="13"/>
      <c r="C509" s="13"/>
      <c r="D509" s="13"/>
      <c r="E509" s="13"/>
      <c r="F509" s="13"/>
      <c r="G509" s="13"/>
      <c r="H509" s="13"/>
      <c r="I509" s="117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 spans="1:26">
      <c r="A510" s="13"/>
      <c r="B510" s="13"/>
      <c r="C510" s="13"/>
      <c r="D510" s="13"/>
      <c r="E510" s="13"/>
      <c r="F510" s="13"/>
      <c r="G510" s="13"/>
      <c r="H510" s="13"/>
      <c r="I510" s="117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 spans="1:26">
      <c r="A511" s="13"/>
      <c r="B511" s="13"/>
      <c r="C511" s="13"/>
      <c r="D511" s="13"/>
      <c r="E511" s="13"/>
      <c r="F511" s="13"/>
      <c r="G511" s="13"/>
      <c r="H511" s="13"/>
      <c r="I511" s="117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 spans="1:26">
      <c r="A512" s="13"/>
      <c r="B512" s="13"/>
      <c r="C512" s="13"/>
      <c r="D512" s="13"/>
      <c r="E512" s="13"/>
      <c r="F512" s="13"/>
      <c r="G512" s="13"/>
      <c r="H512" s="13"/>
      <c r="I512" s="117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 spans="1:26">
      <c r="A513" s="13"/>
      <c r="B513" s="13"/>
      <c r="C513" s="13"/>
      <c r="D513" s="13"/>
      <c r="E513" s="13"/>
      <c r="F513" s="13"/>
      <c r="G513" s="13"/>
      <c r="H513" s="13"/>
      <c r="I513" s="117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 spans="1:26">
      <c r="A514" s="13"/>
      <c r="B514" s="13"/>
      <c r="C514" s="13"/>
      <c r="D514" s="13"/>
      <c r="E514" s="13"/>
      <c r="F514" s="13"/>
      <c r="G514" s="13"/>
      <c r="H514" s="13"/>
      <c r="I514" s="117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 spans="1:26">
      <c r="A515" s="13"/>
      <c r="B515" s="13"/>
      <c r="C515" s="13"/>
      <c r="D515" s="13"/>
      <c r="E515" s="13"/>
      <c r="F515" s="13"/>
      <c r="G515" s="13"/>
      <c r="H515" s="13"/>
      <c r="I515" s="117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 spans="1:26">
      <c r="A516" s="13"/>
      <c r="B516" s="13"/>
      <c r="C516" s="13"/>
      <c r="D516" s="13"/>
      <c r="E516" s="13"/>
      <c r="F516" s="13"/>
      <c r="G516" s="13"/>
      <c r="H516" s="13"/>
      <c r="I516" s="117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 spans="1:26">
      <c r="A517" s="13"/>
      <c r="B517" s="13"/>
      <c r="C517" s="13"/>
      <c r="D517" s="13"/>
      <c r="E517" s="13"/>
      <c r="F517" s="13"/>
      <c r="G517" s="13"/>
      <c r="H517" s="13"/>
      <c r="I517" s="117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 spans="1:26">
      <c r="A518" s="13"/>
      <c r="B518" s="13"/>
      <c r="C518" s="13"/>
      <c r="D518" s="13"/>
      <c r="E518" s="13"/>
      <c r="F518" s="13"/>
      <c r="G518" s="13"/>
      <c r="H518" s="13"/>
      <c r="I518" s="117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 spans="1:26">
      <c r="A519" s="13"/>
      <c r="B519" s="13"/>
      <c r="C519" s="13"/>
      <c r="D519" s="13"/>
      <c r="E519" s="13"/>
      <c r="F519" s="13"/>
      <c r="G519" s="13"/>
      <c r="H519" s="13"/>
      <c r="I519" s="117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 spans="1:26">
      <c r="A520" s="13"/>
      <c r="B520" s="13"/>
      <c r="C520" s="13"/>
      <c r="D520" s="13"/>
      <c r="E520" s="13"/>
      <c r="F520" s="13"/>
      <c r="G520" s="13"/>
      <c r="H520" s="13"/>
      <c r="I520" s="117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 spans="1:26">
      <c r="A521" s="13"/>
      <c r="B521" s="13"/>
      <c r="C521" s="13"/>
      <c r="D521" s="13"/>
      <c r="E521" s="13"/>
      <c r="F521" s="13"/>
      <c r="G521" s="13"/>
      <c r="H521" s="13"/>
      <c r="I521" s="117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 spans="1:26">
      <c r="A522" s="13"/>
      <c r="B522" s="13"/>
      <c r="C522" s="13"/>
      <c r="D522" s="13"/>
      <c r="E522" s="13"/>
      <c r="F522" s="13"/>
      <c r="G522" s="13"/>
      <c r="H522" s="13"/>
      <c r="I522" s="117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 spans="1:26">
      <c r="A523" s="13"/>
      <c r="B523" s="13"/>
      <c r="C523" s="13"/>
      <c r="D523" s="13"/>
      <c r="E523" s="13"/>
      <c r="F523" s="13"/>
      <c r="G523" s="13"/>
      <c r="H523" s="13"/>
      <c r="I523" s="117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 spans="1:26">
      <c r="A524" s="13"/>
      <c r="B524" s="13"/>
      <c r="C524" s="13"/>
      <c r="D524" s="13"/>
      <c r="E524" s="13"/>
      <c r="F524" s="13"/>
      <c r="G524" s="13"/>
      <c r="H524" s="13"/>
      <c r="I524" s="117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 spans="1:26">
      <c r="A525" s="13"/>
      <c r="B525" s="13"/>
      <c r="C525" s="13"/>
      <c r="D525" s="13"/>
      <c r="E525" s="13"/>
      <c r="F525" s="13"/>
      <c r="G525" s="13"/>
      <c r="H525" s="13"/>
      <c r="I525" s="117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 spans="1:26">
      <c r="A526" s="13"/>
      <c r="B526" s="13"/>
      <c r="C526" s="13"/>
      <c r="D526" s="13"/>
      <c r="E526" s="13"/>
      <c r="F526" s="13"/>
      <c r="G526" s="13"/>
      <c r="H526" s="13"/>
      <c r="I526" s="117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 spans="1:26">
      <c r="A527" s="13"/>
      <c r="B527" s="13"/>
      <c r="C527" s="13"/>
      <c r="D527" s="13"/>
      <c r="E527" s="13"/>
      <c r="F527" s="13"/>
      <c r="G527" s="13"/>
      <c r="H527" s="13"/>
      <c r="I527" s="117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 spans="1:26">
      <c r="A528" s="13"/>
      <c r="B528" s="13"/>
      <c r="C528" s="13"/>
      <c r="D528" s="13"/>
      <c r="E528" s="13"/>
      <c r="F528" s="13"/>
      <c r="G528" s="13"/>
      <c r="H528" s="13"/>
      <c r="I528" s="117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 spans="1:26">
      <c r="A529" s="13"/>
      <c r="B529" s="13"/>
      <c r="C529" s="13"/>
      <c r="D529" s="13"/>
      <c r="E529" s="13"/>
      <c r="F529" s="13"/>
      <c r="G529" s="13"/>
      <c r="H529" s="13"/>
      <c r="I529" s="117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 spans="1:26">
      <c r="A530" s="13"/>
      <c r="B530" s="13"/>
      <c r="C530" s="13"/>
      <c r="D530" s="13"/>
      <c r="E530" s="13"/>
      <c r="F530" s="13"/>
      <c r="G530" s="13"/>
      <c r="H530" s="13"/>
      <c r="I530" s="117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 spans="1:26">
      <c r="A531" s="13"/>
      <c r="B531" s="13"/>
      <c r="C531" s="13"/>
      <c r="D531" s="13"/>
      <c r="E531" s="13"/>
      <c r="F531" s="13"/>
      <c r="G531" s="13"/>
      <c r="H531" s="13"/>
      <c r="I531" s="117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 spans="1:26">
      <c r="A532" s="13"/>
      <c r="B532" s="13"/>
      <c r="C532" s="13"/>
      <c r="D532" s="13"/>
      <c r="E532" s="13"/>
      <c r="F532" s="13"/>
      <c r="G532" s="13"/>
      <c r="H532" s="13"/>
      <c r="I532" s="117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 spans="1:26">
      <c r="A533" s="13"/>
      <c r="B533" s="13"/>
      <c r="C533" s="13"/>
      <c r="D533" s="13"/>
      <c r="E533" s="13"/>
      <c r="F533" s="13"/>
      <c r="G533" s="13"/>
      <c r="H533" s="13"/>
      <c r="I533" s="117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 spans="1:26">
      <c r="A534" s="13"/>
      <c r="B534" s="13"/>
      <c r="C534" s="13"/>
      <c r="D534" s="13"/>
      <c r="E534" s="13"/>
      <c r="F534" s="13"/>
      <c r="G534" s="13"/>
      <c r="H534" s="13"/>
      <c r="I534" s="117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 spans="1:26">
      <c r="A535" s="13"/>
      <c r="B535" s="13"/>
      <c r="C535" s="13"/>
      <c r="D535" s="13"/>
      <c r="E535" s="13"/>
      <c r="F535" s="13"/>
      <c r="G535" s="13"/>
      <c r="H535" s="13"/>
      <c r="I535" s="117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 spans="1:26">
      <c r="A536" s="13"/>
      <c r="B536" s="13"/>
      <c r="C536" s="13"/>
      <c r="D536" s="13"/>
      <c r="E536" s="13"/>
      <c r="F536" s="13"/>
      <c r="G536" s="13"/>
      <c r="H536" s="13"/>
      <c r="I536" s="117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 spans="1:26">
      <c r="A537" s="13"/>
      <c r="B537" s="13"/>
      <c r="C537" s="13"/>
      <c r="D537" s="13"/>
      <c r="E537" s="13"/>
      <c r="F537" s="13"/>
      <c r="G537" s="13"/>
      <c r="H537" s="13"/>
      <c r="I537" s="117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 spans="1:26">
      <c r="A538" s="13"/>
      <c r="B538" s="13"/>
      <c r="C538" s="13"/>
      <c r="D538" s="13"/>
      <c r="E538" s="13"/>
      <c r="F538" s="13"/>
      <c r="G538" s="13"/>
      <c r="H538" s="13"/>
      <c r="I538" s="117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 spans="1:26">
      <c r="A539" s="13"/>
      <c r="B539" s="13"/>
      <c r="C539" s="13"/>
      <c r="D539" s="13"/>
      <c r="E539" s="13"/>
      <c r="F539" s="13"/>
      <c r="G539" s="13"/>
      <c r="H539" s="13"/>
      <c r="I539" s="117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 spans="1:26">
      <c r="A540" s="13"/>
      <c r="B540" s="13"/>
      <c r="C540" s="13"/>
      <c r="D540" s="13"/>
      <c r="E540" s="13"/>
      <c r="F540" s="13"/>
      <c r="G540" s="13"/>
      <c r="H540" s="13"/>
      <c r="I540" s="117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 spans="1:26">
      <c r="A541" s="13"/>
      <c r="B541" s="13"/>
      <c r="C541" s="13"/>
      <c r="D541" s="13"/>
      <c r="E541" s="13"/>
      <c r="F541" s="13"/>
      <c r="G541" s="13"/>
      <c r="H541" s="13"/>
      <c r="I541" s="117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 spans="1:26">
      <c r="A542" s="13"/>
      <c r="B542" s="13"/>
      <c r="C542" s="13"/>
      <c r="D542" s="13"/>
      <c r="E542" s="13"/>
      <c r="F542" s="13"/>
      <c r="G542" s="13"/>
      <c r="H542" s="13"/>
      <c r="I542" s="117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 spans="1:26">
      <c r="A543" s="13"/>
      <c r="B543" s="13"/>
      <c r="C543" s="13"/>
      <c r="D543" s="13"/>
      <c r="E543" s="13"/>
      <c r="F543" s="13"/>
      <c r="G543" s="13"/>
      <c r="H543" s="13"/>
      <c r="I543" s="117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 spans="1:26">
      <c r="A544" s="13"/>
      <c r="B544" s="13"/>
      <c r="C544" s="13"/>
      <c r="D544" s="13"/>
      <c r="E544" s="13"/>
      <c r="F544" s="13"/>
      <c r="G544" s="13"/>
      <c r="H544" s="13"/>
      <c r="I544" s="117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 spans="1:26">
      <c r="A545" s="13"/>
      <c r="B545" s="13"/>
      <c r="C545" s="13"/>
      <c r="D545" s="13"/>
      <c r="E545" s="13"/>
      <c r="F545" s="13"/>
      <c r="G545" s="13"/>
      <c r="H545" s="13"/>
      <c r="I545" s="117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 spans="1:26">
      <c r="A546" s="13"/>
      <c r="B546" s="13"/>
      <c r="C546" s="13"/>
      <c r="D546" s="13"/>
      <c r="E546" s="13"/>
      <c r="F546" s="13"/>
      <c r="G546" s="13"/>
      <c r="H546" s="13"/>
      <c r="I546" s="117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 spans="1:26">
      <c r="A547" s="13"/>
      <c r="B547" s="13"/>
      <c r="C547" s="13"/>
      <c r="D547" s="13"/>
      <c r="E547" s="13"/>
      <c r="F547" s="13"/>
      <c r="G547" s="13"/>
      <c r="H547" s="13"/>
      <c r="I547" s="117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 spans="1:26">
      <c r="A548" s="13"/>
      <c r="B548" s="13"/>
      <c r="C548" s="13"/>
      <c r="D548" s="13"/>
      <c r="E548" s="13"/>
      <c r="F548" s="13"/>
      <c r="G548" s="13"/>
      <c r="H548" s="13"/>
      <c r="I548" s="117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 spans="1:26">
      <c r="A549" s="13"/>
      <c r="B549" s="13"/>
      <c r="C549" s="13"/>
      <c r="D549" s="13"/>
      <c r="E549" s="13"/>
      <c r="F549" s="13"/>
      <c r="G549" s="13"/>
      <c r="H549" s="13"/>
      <c r="I549" s="117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 spans="1:26">
      <c r="A550" s="13"/>
      <c r="B550" s="13"/>
      <c r="C550" s="13"/>
      <c r="D550" s="13"/>
      <c r="E550" s="13"/>
      <c r="F550" s="13"/>
      <c r="G550" s="13"/>
      <c r="H550" s="13"/>
      <c r="I550" s="117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 spans="1:26">
      <c r="A551" s="13"/>
      <c r="B551" s="13"/>
      <c r="C551" s="13"/>
      <c r="D551" s="13"/>
      <c r="E551" s="13"/>
      <c r="F551" s="13"/>
      <c r="G551" s="13"/>
      <c r="H551" s="13"/>
      <c r="I551" s="117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 spans="1:26">
      <c r="A552" s="13"/>
      <c r="B552" s="13"/>
      <c r="C552" s="13"/>
      <c r="D552" s="13"/>
      <c r="E552" s="13"/>
      <c r="F552" s="13"/>
      <c r="G552" s="13"/>
      <c r="H552" s="13"/>
      <c r="I552" s="117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 spans="1:26">
      <c r="A553" s="13"/>
      <c r="B553" s="13"/>
      <c r="C553" s="13"/>
      <c r="D553" s="13"/>
      <c r="E553" s="13"/>
      <c r="F553" s="13"/>
      <c r="G553" s="13"/>
      <c r="H553" s="13"/>
      <c r="I553" s="117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 spans="1:26">
      <c r="A554" s="13"/>
      <c r="B554" s="13"/>
      <c r="C554" s="13"/>
      <c r="D554" s="13"/>
      <c r="E554" s="13"/>
      <c r="F554" s="13"/>
      <c r="G554" s="13"/>
      <c r="H554" s="13"/>
      <c r="I554" s="117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 spans="1:26">
      <c r="A555" s="13"/>
      <c r="B555" s="13"/>
      <c r="C555" s="13"/>
      <c r="D555" s="13"/>
      <c r="E555" s="13"/>
      <c r="F555" s="13"/>
      <c r="G555" s="13"/>
      <c r="H555" s="13"/>
      <c r="I555" s="117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 spans="1:26">
      <c r="A556" s="13"/>
      <c r="B556" s="13"/>
      <c r="C556" s="13"/>
      <c r="D556" s="13"/>
      <c r="E556" s="13"/>
      <c r="F556" s="13"/>
      <c r="G556" s="13"/>
      <c r="H556" s="13"/>
      <c r="I556" s="117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 spans="1:26">
      <c r="A557" s="13"/>
      <c r="B557" s="13"/>
      <c r="C557" s="13"/>
      <c r="D557" s="13"/>
      <c r="E557" s="13"/>
      <c r="F557" s="13"/>
      <c r="G557" s="13"/>
      <c r="H557" s="13"/>
      <c r="I557" s="117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 spans="1:26">
      <c r="A558" s="13"/>
      <c r="B558" s="13"/>
      <c r="C558" s="13"/>
      <c r="D558" s="13"/>
      <c r="E558" s="13"/>
      <c r="F558" s="13"/>
      <c r="G558" s="13"/>
      <c r="H558" s="13"/>
      <c r="I558" s="117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 spans="1:26">
      <c r="A559" s="13"/>
      <c r="B559" s="13"/>
      <c r="C559" s="13"/>
      <c r="D559" s="13"/>
      <c r="E559" s="13"/>
      <c r="F559" s="13"/>
      <c r="G559" s="13"/>
      <c r="H559" s="13"/>
      <c r="I559" s="117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 spans="1:26">
      <c r="A560" s="13"/>
      <c r="B560" s="13"/>
      <c r="C560" s="13"/>
      <c r="D560" s="13"/>
      <c r="E560" s="13"/>
      <c r="F560" s="13"/>
      <c r="G560" s="13"/>
      <c r="H560" s="13"/>
      <c r="I560" s="117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 spans="1:26">
      <c r="A561" s="13"/>
      <c r="B561" s="13"/>
      <c r="C561" s="13"/>
      <c r="D561" s="13"/>
      <c r="E561" s="13"/>
      <c r="F561" s="13"/>
      <c r="G561" s="13"/>
      <c r="H561" s="13"/>
      <c r="I561" s="117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 spans="1:26">
      <c r="A562" s="13"/>
      <c r="B562" s="13"/>
      <c r="C562" s="13"/>
      <c r="D562" s="13"/>
      <c r="E562" s="13"/>
      <c r="F562" s="13"/>
      <c r="G562" s="13"/>
      <c r="H562" s="13"/>
      <c r="I562" s="117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 spans="1:26">
      <c r="A563" s="13"/>
      <c r="B563" s="13"/>
      <c r="C563" s="13"/>
      <c r="D563" s="13"/>
      <c r="E563" s="13"/>
      <c r="F563" s="13"/>
      <c r="G563" s="13"/>
      <c r="H563" s="13"/>
      <c r="I563" s="117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 spans="1:26">
      <c r="A564" s="13"/>
      <c r="B564" s="13"/>
      <c r="C564" s="13"/>
      <c r="D564" s="13"/>
      <c r="E564" s="13"/>
      <c r="F564" s="13"/>
      <c r="G564" s="13"/>
      <c r="H564" s="13"/>
      <c r="I564" s="117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 spans="1:26">
      <c r="A565" s="13"/>
      <c r="B565" s="13"/>
      <c r="C565" s="13"/>
      <c r="D565" s="13"/>
      <c r="E565" s="13"/>
      <c r="F565" s="13"/>
      <c r="G565" s="13"/>
      <c r="H565" s="13"/>
      <c r="I565" s="117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 spans="1:26">
      <c r="A566" s="13"/>
      <c r="B566" s="13"/>
      <c r="C566" s="13"/>
      <c r="D566" s="13"/>
      <c r="E566" s="13"/>
      <c r="F566" s="13"/>
      <c r="G566" s="13"/>
      <c r="H566" s="13"/>
      <c r="I566" s="117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 spans="1:26">
      <c r="A567" s="13"/>
      <c r="B567" s="13"/>
      <c r="C567" s="13"/>
      <c r="D567" s="13"/>
      <c r="E567" s="13"/>
      <c r="F567" s="13"/>
      <c r="G567" s="13"/>
      <c r="H567" s="13"/>
      <c r="I567" s="117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 spans="1:26">
      <c r="A568" s="13"/>
      <c r="B568" s="13"/>
      <c r="C568" s="13"/>
      <c r="D568" s="13"/>
      <c r="E568" s="13"/>
      <c r="F568" s="13"/>
      <c r="G568" s="13"/>
      <c r="H568" s="13"/>
      <c r="I568" s="117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 spans="1:26">
      <c r="A569" s="13"/>
      <c r="B569" s="13"/>
      <c r="C569" s="13"/>
      <c r="D569" s="13"/>
      <c r="E569" s="13"/>
      <c r="F569" s="13"/>
      <c r="G569" s="13"/>
      <c r="H569" s="13"/>
      <c r="I569" s="117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 spans="1:26">
      <c r="A570" s="13"/>
      <c r="B570" s="13"/>
      <c r="C570" s="13"/>
      <c r="D570" s="13"/>
      <c r="E570" s="13"/>
      <c r="F570" s="13"/>
      <c r="G570" s="13"/>
      <c r="H570" s="13"/>
      <c r="I570" s="117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 spans="1:26">
      <c r="A571" s="13"/>
      <c r="B571" s="13"/>
      <c r="C571" s="13"/>
      <c r="D571" s="13"/>
      <c r="E571" s="13"/>
      <c r="F571" s="13"/>
      <c r="G571" s="13"/>
      <c r="H571" s="13"/>
      <c r="I571" s="117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 spans="1:26">
      <c r="A572" s="13"/>
      <c r="B572" s="13"/>
      <c r="C572" s="13"/>
      <c r="D572" s="13"/>
      <c r="E572" s="13"/>
      <c r="F572" s="13"/>
      <c r="G572" s="13"/>
      <c r="H572" s="13"/>
      <c r="I572" s="117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 spans="1:26">
      <c r="A573" s="13"/>
      <c r="B573" s="13"/>
      <c r="C573" s="13"/>
      <c r="D573" s="13"/>
      <c r="E573" s="13"/>
      <c r="F573" s="13"/>
      <c r="G573" s="13"/>
      <c r="H573" s="13"/>
      <c r="I573" s="117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 spans="1:26">
      <c r="A574" s="13"/>
      <c r="B574" s="13"/>
      <c r="C574" s="13"/>
      <c r="D574" s="13"/>
      <c r="E574" s="13"/>
      <c r="F574" s="13"/>
      <c r="G574" s="13"/>
      <c r="H574" s="13"/>
      <c r="I574" s="117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 spans="1:26">
      <c r="A575" s="13"/>
      <c r="B575" s="13"/>
      <c r="C575" s="13"/>
      <c r="D575" s="13"/>
      <c r="E575" s="13"/>
      <c r="F575" s="13"/>
      <c r="G575" s="13"/>
      <c r="H575" s="13"/>
      <c r="I575" s="117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 spans="1:26">
      <c r="A576" s="13"/>
      <c r="B576" s="13"/>
      <c r="C576" s="13"/>
      <c r="D576" s="13"/>
      <c r="E576" s="13"/>
      <c r="F576" s="13"/>
      <c r="G576" s="13"/>
      <c r="H576" s="13"/>
      <c r="I576" s="117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 spans="1:26">
      <c r="A577" s="13"/>
      <c r="B577" s="13"/>
      <c r="C577" s="13"/>
      <c r="D577" s="13"/>
      <c r="E577" s="13"/>
      <c r="F577" s="13"/>
      <c r="G577" s="13"/>
      <c r="H577" s="13"/>
      <c r="I577" s="117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 spans="1:26">
      <c r="A578" s="13"/>
      <c r="B578" s="13"/>
      <c r="C578" s="13"/>
      <c r="D578" s="13"/>
      <c r="E578" s="13"/>
      <c r="F578" s="13"/>
      <c r="G578" s="13"/>
      <c r="H578" s="13"/>
      <c r="I578" s="117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 spans="1:26">
      <c r="A579" s="13"/>
      <c r="B579" s="13"/>
      <c r="C579" s="13"/>
      <c r="D579" s="13"/>
      <c r="E579" s="13"/>
      <c r="F579" s="13"/>
      <c r="G579" s="13"/>
      <c r="H579" s="13"/>
      <c r="I579" s="117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 spans="1:26">
      <c r="A580" s="13"/>
      <c r="B580" s="13"/>
      <c r="C580" s="13"/>
      <c r="D580" s="13"/>
      <c r="E580" s="13"/>
      <c r="F580" s="13"/>
      <c r="G580" s="13"/>
      <c r="H580" s="13"/>
      <c r="I580" s="117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 spans="1:26">
      <c r="A581" s="13"/>
      <c r="B581" s="13"/>
      <c r="C581" s="13"/>
      <c r="D581" s="13"/>
      <c r="E581" s="13"/>
      <c r="F581" s="13"/>
      <c r="G581" s="13"/>
      <c r="H581" s="13"/>
      <c r="I581" s="117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 spans="1:26">
      <c r="A582" s="13"/>
      <c r="B582" s="13"/>
      <c r="C582" s="13"/>
      <c r="D582" s="13"/>
      <c r="E582" s="13"/>
      <c r="F582" s="13"/>
      <c r="G582" s="13"/>
      <c r="H582" s="13"/>
      <c r="I582" s="117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 spans="1:26">
      <c r="A583" s="13"/>
      <c r="B583" s="13"/>
      <c r="C583" s="13"/>
      <c r="D583" s="13"/>
      <c r="E583" s="13"/>
      <c r="F583" s="13"/>
      <c r="G583" s="13"/>
      <c r="H583" s="13"/>
      <c r="I583" s="117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 spans="1:26">
      <c r="A584" s="13"/>
      <c r="B584" s="13"/>
      <c r="C584" s="13"/>
      <c r="D584" s="13"/>
      <c r="E584" s="13"/>
      <c r="F584" s="13"/>
      <c r="G584" s="13"/>
      <c r="H584" s="13"/>
      <c r="I584" s="117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 spans="1:26">
      <c r="A585" s="13"/>
      <c r="B585" s="13"/>
      <c r="C585" s="13"/>
      <c r="D585" s="13"/>
      <c r="E585" s="13"/>
      <c r="F585" s="13"/>
      <c r="G585" s="13"/>
      <c r="H585" s="13"/>
      <c r="I585" s="117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 spans="1:26">
      <c r="A586" s="13"/>
      <c r="B586" s="13"/>
      <c r="C586" s="13"/>
      <c r="D586" s="13"/>
      <c r="E586" s="13"/>
      <c r="F586" s="13"/>
      <c r="G586" s="13"/>
      <c r="H586" s="13"/>
      <c r="I586" s="117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 spans="1:26">
      <c r="A587" s="13"/>
      <c r="B587" s="13"/>
      <c r="C587" s="13"/>
      <c r="D587" s="13"/>
      <c r="E587" s="13"/>
      <c r="F587" s="13"/>
      <c r="G587" s="13"/>
      <c r="H587" s="13"/>
      <c r="I587" s="117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 spans="1:26">
      <c r="A588" s="13"/>
      <c r="B588" s="13"/>
      <c r="C588" s="13"/>
      <c r="D588" s="13"/>
      <c r="E588" s="13"/>
      <c r="F588" s="13"/>
      <c r="G588" s="13"/>
      <c r="H588" s="13"/>
      <c r="I588" s="117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 spans="1:26">
      <c r="A589" s="13"/>
      <c r="B589" s="13"/>
      <c r="C589" s="13"/>
      <c r="D589" s="13"/>
      <c r="E589" s="13"/>
      <c r="F589" s="13"/>
      <c r="G589" s="13"/>
      <c r="H589" s="13"/>
      <c r="I589" s="117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 spans="1:26">
      <c r="A590" s="13"/>
      <c r="B590" s="13"/>
      <c r="C590" s="13"/>
      <c r="D590" s="13"/>
      <c r="E590" s="13"/>
      <c r="F590" s="13"/>
      <c r="G590" s="13"/>
      <c r="H590" s="13"/>
      <c r="I590" s="117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 spans="1:26">
      <c r="A591" s="13"/>
      <c r="B591" s="13"/>
      <c r="C591" s="13"/>
      <c r="D591" s="13"/>
      <c r="E591" s="13"/>
      <c r="F591" s="13"/>
      <c r="G591" s="13"/>
      <c r="H591" s="13"/>
      <c r="I591" s="117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 spans="1:26">
      <c r="A592" s="13"/>
      <c r="B592" s="13"/>
      <c r="C592" s="13"/>
      <c r="D592" s="13"/>
      <c r="E592" s="13"/>
      <c r="F592" s="13"/>
      <c r="G592" s="13"/>
      <c r="H592" s="13"/>
      <c r="I592" s="117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 spans="1:26">
      <c r="A593" s="13"/>
      <c r="B593" s="13"/>
      <c r="C593" s="13"/>
      <c r="D593" s="13"/>
      <c r="E593" s="13"/>
      <c r="F593" s="13"/>
      <c r="G593" s="13"/>
      <c r="H593" s="13"/>
      <c r="I593" s="117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 spans="1:26">
      <c r="A594" s="13"/>
      <c r="B594" s="13"/>
      <c r="C594" s="13"/>
      <c r="D594" s="13"/>
      <c r="E594" s="13"/>
      <c r="F594" s="13"/>
      <c r="G594" s="13"/>
      <c r="H594" s="13"/>
      <c r="I594" s="117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 spans="1:26">
      <c r="A595" s="13"/>
      <c r="B595" s="13"/>
      <c r="C595" s="13"/>
      <c r="D595" s="13"/>
      <c r="E595" s="13"/>
      <c r="F595" s="13"/>
      <c r="G595" s="13"/>
      <c r="H595" s="13"/>
      <c r="I595" s="117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 spans="1:26">
      <c r="A596" s="13"/>
      <c r="B596" s="13"/>
      <c r="C596" s="13"/>
      <c r="D596" s="13"/>
      <c r="E596" s="13"/>
      <c r="F596" s="13"/>
      <c r="G596" s="13"/>
      <c r="H596" s="13"/>
      <c r="I596" s="117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 spans="1:26">
      <c r="A597" s="13"/>
      <c r="B597" s="13"/>
      <c r="C597" s="13"/>
      <c r="D597" s="13"/>
      <c r="E597" s="13"/>
      <c r="F597" s="13"/>
      <c r="G597" s="13"/>
      <c r="H597" s="13"/>
      <c r="I597" s="117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 spans="1:26">
      <c r="A598" s="13"/>
      <c r="B598" s="13"/>
      <c r="C598" s="13"/>
      <c r="D598" s="13"/>
      <c r="E598" s="13"/>
      <c r="F598" s="13"/>
      <c r="G598" s="13"/>
      <c r="H598" s="13"/>
      <c r="I598" s="117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 spans="1:26">
      <c r="A599" s="13"/>
      <c r="B599" s="13"/>
      <c r="C599" s="13"/>
      <c r="D599" s="13"/>
      <c r="E599" s="13"/>
      <c r="F599" s="13"/>
      <c r="G599" s="13"/>
      <c r="H599" s="13"/>
      <c r="I599" s="117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 spans="1:26">
      <c r="A600" s="13"/>
      <c r="B600" s="13"/>
      <c r="C600" s="13"/>
      <c r="D600" s="13"/>
      <c r="E600" s="13"/>
      <c r="F600" s="13"/>
      <c r="G600" s="13"/>
      <c r="H600" s="13"/>
      <c r="I600" s="117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 spans="1:26">
      <c r="A601" s="13"/>
      <c r="B601" s="13"/>
      <c r="C601" s="13"/>
      <c r="D601" s="13"/>
      <c r="E601" s="13"/>
      <c r="F601" s="13"/>
      <c r="G601" s="13"/>
      <c r="H601" s="13"/>
      <c r="I601" s="117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 spans="1:26">
      <c r="A602" s="13"/>
      <c r="B602" s="13"/>
      <c r="C602" s="13"/>
      <c r="D602" s="13"/>
      <c r="E602" s="13"/>
      <c r="F602" s="13"/>
      <c r="G602" s="13"/>
      <c r="H602" s="13"/>
      <c r="I602" s="117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 spans="1:26">
      <c r="A603" s="13"/>
      <c r="B603" s="13"/>
      <c r="C603" s="13"/>
      <c r="D603" s="13"/>
      <c r="E603" s="13"/>
      <c r="F603" s="13"/>
      <c r="G603" s="13"/>
      <c r="H603" s="13"/>
      <c r="I603" s="117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 spans="1:26">
      <c r="A604" s="13"/>
      <c r="B604" s="13"/>
      <c r="C604" s="13"/>
      <c r="D604" s="13"/>
      <c r="E604" s="13"/>
      <c r="F604" s="13"/>
      <c r="G604" s="13"/>
      <c r="H604" s="13"/>
      <c r="I604" s="117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 spans="1:26">
      <c r="A605" s="13"/>
      <c r="B605" s="13"/>
      <c r="C605" s="13"/>
      <c r="D605" s="13"/>
      <c r="E605" s="13"/>
      <c r="F605" s="13"/>
      <c r="G605" s="13"/>
      <c r="H605" s="13"/>
      <c r="I605" s="117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 spans="1:26">
      <c r="A606" s="13"/>
      <c r="B606" s="13"/>
      <c r="C606" s="13"/>
      <c r="D606" s="13"/>
      <c r="E606" s="13"/>
      <c r="F606" s="13"/>
      <c r="G606" s="13"/>
      <c r="H606" s="13"/>
      <c r="I606" s="117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 spans="1:26">
      <c r="A607" s="13"/>
      <c r="B607" s="13"/>
      <c r="C607" s="13"/>
      <c r="D607" s="13"/>
      <c r="E607" s="13"/>
      <c r="F607" s="13"/>
      <c r="G607" s="13"/>
      <c r="H607" s="13"/>
      <c r="I607" s="117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 spans="1:26">
      <c r="A608" s="13"/>
      <c r="B608" s="13"/>
      <c r="C608" s="13"/>
      <c r="D608" s="13"/>
      <c r="E608" s="13"/>
      <c r="F608" s="13"/>
      <c r="G608" s="13"/>
      <c r="H608" s="13"/>
      <c r="I608" s="117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 spans="1:26">
      <c r="A609" s="13"/>
      <c r="B609" s="13"/>
      <c r="C609" s="13"/>
      <c r="D609" s="13"/>
      <c r="E609" s="13"/>
      <c r="F609" s="13"/>
      <c r="G609" s="13"/>
      <c r="H609" s="13"/>
      <c r="I609" s="117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 spans="1:26">
      <c r="A610" s="13"/>
      <c r="B610" s="13"/>
      <c r="C610" s="13"/>
      <c r="D610" s="13"/>
      <c r="E610" s="13"/>
      <c r="F610" s="13"/>
      <c r="G610" s="13"/>
      <c r="H610" s="13"/>
      <c r="I610" s="117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 spans="1:26">
      <c r="A611" s="13"/>
      <c r="B611" s="13"/>
      <c r="C611" s="13"/>
      <c r="D611" s="13"/>
      <c r="E611" s="13"/>
      <c r="F611" s="13"/>
      <c r="G611" s="13"/>
      <c r="H611" s="13"/>
      <c r="I611" s="117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 spans="1:26">
      <c r="A612" s="13"/>
      <c r="B612" s="13"/>
      <c r="C612" s="13"/>
      <c r="D612" s="13"/>
      <c r="E612" s="13"/>
      <c r="F612" s="13"/>
      <c r="G612" s="13"/>
      <c r="H612" s="13"/>
      <c r="I612" s="117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 spans="1:26">
      <c r="A613" s="13"/>
      <c r="B613" s="13"/>
      <c r="C613" s="13"/>
      <c r="D613" s="13"/>
      <c r="E613" s="13"/>
      <c r="F613" s="13"/>
      <c r="G613" s="13"/>
      <c r="H613" s="13"/>
      <c r="I613" s="117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 spans="1:26">
      <c r="A614" s="13"/>
      <c r="B614" s="13"/>
      <c r="C614" s="13"/>
      <c r="D614" s="13"/>
      <c r="E614" s="13"/>
      <c r="F614" s="13"/>
      <c r="G614" s="13"/>
      <c r="H614" s="13"/>
      <c r="I614" s="117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 spans="1:26">
      <c r="A615" s="13"/>
      <c r="B615" s="13"/>
      <c r="C615" s="13"/>
      <c r="D615" s="13"/>
      <c r="E615" s="13"/>
      <c r="F615" s="13"/>
      <c r="G615" s="13"/>
      <c r="H615" s="13"/>
      <c r="I615" s="117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 spans="1:26">
      <c r="A616" s="13"/>
      <c r="B616" s="13"/>
      <c r="C616" s="13"/>
      <c r="D616" s="13"/>
      <c r="E616" s="13"/>
      <c r="F616" s="13"/>
      <c r="G616" s="13"/>
      <c r="H616" s="13"/>
      <c r="I616" s="117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 spans="1:26">
      <c r="A617" s="13"/>
      <c r="B617" s="13"/>
      <c r="C617" s="13"/>
      <c r="D617" s="13"/>
      <c r="E617" s="13"/>
      <c r="F617" s="13"/>
      <c r="G617" s="13"/>
      <c r="H617" s="13"/>
      <c r="I617" s="117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 spans="1:26">
      <c r="A618" s="13"/>
      <c r="B618" s="13"/>
      <c r="C618" s="13"/>
      <c r="D618" s="13"/>
      <c r="E618" s="13"/>
      <c r="F618" s="13"/>
      <c r="G618" s="13"/>
      <c r="H618" s="13"/>
      <c r="I618" s="117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 spans="1:26">
      <c r="A619" s="13"/>
      <c r="B619" s="13"/>
      <c r="C619" s="13"/>
      <c r="D619" s="13"/>
      <c r="E619" s="13"/>
      <c r="F619" s="13"/>
      <c r="G619" s="13"/>
      <c r="H619" s="13"/>
      <c r="I619" s="117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 spans="1:26">
      <c r="A620" s="13"/>
      <c r="B620" s="13"/>
      <c r="C620" s="13"/>
      <c r="D620" s="13"/>
      <c r="E620" s="13"/>
      <c r="F620" s="13"/>
      <c r="G620" s="13"/>
      <c r="H620" s="13"/>
      <c r="I620" s="117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 spans="1:26">
      <c r="A621" s="13"/>
      <c r="B621" s="13"/>
      <c r="C621" s="13"/>
      <c r="D621" s="13"/>
      <c r="E621" s="13"/>
      <c r="F621" s="13"/>
      <c r="G621" s="13"/>
      <c r="H621" s="13"/>
      <c r="I621" s="117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 spans="1:26">
      <c r="A622" s="13"/>
      <c r="B622" s="13"/>
      <c r="C622" s="13"/>
      <c r="D622" s="13"/>
      <c r="E622" s="13"/>
      <c r="F622" s="13"/>
      <c r="G622" s="13"/>
      <c r="H622" s="13"/>
      <c r="I622" s="117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 spans="1:26">
      <c r="A623" s="13"/>
      <c r="B623" s="13"/>
      <c r="C623" s="13"/>
      <c r="D623" s="13"/>
      <c r="E623" s="13"/>
      <c r="F623" s="13"/>
      <c r="G623" s="13"/>
      <c r="H623" s="13"/>
      <c r="I623" s="117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 spans="1:26">
      <c r="A624" s="13"/>
      <c r="B624" s="13"/>
      <c r="C624" s="13"/>
      <c r="D624" s="13"/>
      <c r="E624" s="13"/>
      <c r="F624" s="13"/>
      <c r="G624" s="13"/>
      <c r="H624" s="13"/>
      <c r="I624" s="117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 spans="1:26">
      <c r="A625" s="13"/>
      <c r="B625" s="13"/>
      <c r="C625" s="13"/>
      <c r="D625" s="13"/>
      <c r="E625" s="13"/>
      <c r="F625" s="13"/>
      <c r="G625" s="13"/>
      <c r="H625" s="13"/>
      <c r="I625" s="117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 spans="1:26">
      <c r="A626" s="13"/>
      <c r="B626" s="13"/>
      <c r="C626" s="13"/>
      <c r="D626" s="13"/>
      <c r="E626" s="13"/>
      <c r="F626" s="13"/>
      <c r="G626" s="13"/>
      <c r="H626" s="13"/>
      <c r="I626" s="117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 spans="1:26">
      <c r="A627" s="13"/>
      <c r="B627" s="13"/>
      <c r="C627" s="13"/>
      <c r="D627" s="13"/>
      <c r="E627" s="13"/>
      <c r="F627" s="13"/>
      <c r="G627" s="13"/>
      <c r="H627" s="13"/>
      <c r="I627" s="117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 spans="1:26">
      <c r="A628" s="13"/>
      <c r="B628" s="13"/>
      <c r="C628" s="13"/>
      <c r="D628" s="13"/>
      <c r="E628" s="13"/>
      <c r="F628" s="13"/>
      <c r="G628" s="13"/>
      <c r="H628" s="13"/>
      <c r="I628" s="117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 spans="1:26">
      <c r="A629" s="13"/>
      <c r="B629" s="13"/>
      <c r="C629" s="13"/>
      <c r="D629" s="13"/>
      <c r="E629" s="13"/>
      <c r="F629" s="13"/>
      <c r="G629" s="13"/>
      <c r="H629" s="13"/>
      <c r="I629" s="117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 spans="1:26">
      <c r="A630" s="13"/>
      <c r="B630" s="13"/>
      <c r="C630" s="13"/>
      <c r="D630" s="13"/>
      <c r="E630" s="13"/>
      <c r="F630" s="13"/>
      <c r="G630" s="13"/>
      <c r="H630" s="13"/>
      <c r="I630" s="117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 spans="1:26">
      <c r="A631" s="13"/>
      <c r="B631" s="13"/>
      <c r="C631" s="13"/>
      <c r="D631" s="13"/>
      <c r="E631" s="13"/>
      <c r="F631" s="13"/>
      <c r="G631" s="13"/>
      <c r="H631" s="13"/>
      <c r="I631" s="117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 spans="1:26">
      <c r="A632" s="13"/>
      <c r="B632" s="13"/>
      <c r="C632" s="13"/>
      <c r="D632" s="13"/>
      <c r="E632" s="13"/>
      <c r="F632" s="13"/>
      <c r="G632" s="13"/>
      <c r="H632" s="13"/>
      <c r="I632" s="117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 spans="1:26">
      <c r="A633" s="13"/>
      <c r="B633" s="13"/>
      <c r="C633" s="13"/>
      <c r="D633" s="13"/>
      <c r="E633" s="13"/>
      <c r="F633" s="13"/>
      <c r="G633" s="13"/>
      <c r="H633" s="13"/>
      <c r="I633" s="117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 spans="1:26">
      <c r="A634" s="13"/>
      <c r="B634" s="13"/>
      <c r="C634" s="13"/>
      <c r="D634" s="13"/>
      <c r="E634" s="13"/>
      <c r="F634" s="13"/>
      <c r="G634" s="13"/>
      <c r="H634" s="13"/>
      <c r="I634" s="117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 spans="1:26">
      <c r="A635" s="13"/>
      <c r="B635" s="13"/>
      <c r="C635" s="13"/>
      <c r="D635" s="13"/>
      <c r="E635" s="13"/>
      <c r="F635" s="13"/>
      <c r="G635" s="13"/>
      <c r="H635" s="13"/>
      <c r="I635" s="117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 spans="1:26">
      <c r="A636" s="13"/>
      <c r="B636" s="13"/>
      <c r="C636" s="13"/>
      <c r="D636" s="13"/>
      <c r="E636" s="13"/>
      <c r="F636" s="13"/>
      <c r="G636" s="13"/>
      <c r="H636" s="13"/>
      <c r="I636" s="117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 spans="1:26">
      <c r="A637" s="13"/>
      <c r="B637" s="13"/>
      <c r="C637" s="13"/>
      <c r="D637" s="13"/>
      <c r="E637" s="13"/>
      <c r="F637" s="13"/>
      <c r="G637" s="13"/>
      <c r="H637" s="13"/>
      <c r="I637" s="117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 spans="1:26">
      <c r="A638" s="13"/>
      <c r="B638" s="13"/>
      <c r="C638" s="13"/>
      <c r="D638" s="13"/>
      <c r="E638" s="13"/>
      <c r="F638" s="13"/>
      <c r="G638" s="13"/>
      <c r="H638" s="13"/>
      <c r="I638" s="117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 spans="1:26">
      <c r="A639" s="13"/>
      <c r="B639" s="13"/>
      <c r="C639" s="13"/>
      <c r="D639" s="13"/>
      <c r="E639" s="13"/>
      <c r="F639" s="13"/>
      <c r="G639" s="13"/>
      <c r="H639" s="13"/>
      <c r="I639" s="117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 spans="1:26">
      <c r="A640" s="13"/>
      <c r="B640" s="13"/>
      <c r="C640" s="13"/>
      <c r="D640" s="13"/>
      <c r="E640" s="13"/>
      <c r="F640" s="13"/>
      <c r="G640" s="13"/>
      <c r="H640" s="13"/>
      <c r="I640" s="117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 spans="1:26">
      <c r="A641" s="13"/>
      <c r="B641" s="13"/>
      <c r="C641" s="13"/>
      <c r="D641" s="13"/>
      <c r="E641" s="13"/>
      <c r="F641" s="13"/>
      <c r="G641" s="13"/>
      <c r="H641" s="13"/>
      <c r="I641" s="117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 spans="1:26">
      <c r="A642" s="13"/>
      <c r="B642" s="13"/>
      <c r="C642" s="13"/>
      <c r="D642" s="13"/>
      <c r="E642" s="13"/>
      <c r="F642" s="13"/>
      <c r="G642" s="13"/>
      <c r="H642" s="13"/>
      <c r="I642" s="117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 spans="1:26">
      <c r="A643" s="13"/>
      <c r="B643" s="13"/>
      <c r="C643" s="13"/>
      <c r="D643" s="13"/>
      <c r="E643" s="13"/>
      <c r="F643" s="13"/>
      <c r="G643" s="13"/>
      <c r="H643" s="13"/>
      <c r="I643" s="117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 spans="1:26">
      <c r="A644" s="13"/>
      <c r="B644" s="13"/>
      <c r="C644" s="13"/>
      <c r="D644" s="13"/>
      <c r="E644" s="13"/>
      <c r="F644" s="13"/>
      <c r="G644" s="13"/>
      <c r="H644" s="13"/>
      <c r="I644" s="117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 spans="1:26">
      <c r="A645" s="13"/>
      <c r="B645" s="13"/>
      <c r="C645" s="13"/>
      <c r="D645" s="13"/>
      <c r="E645" s="13"/>
      <c r="F645" s="13"/>
      <c r="G645" s="13"/>
      <c r="H645" s="13"/>
      <c r="I645" s="117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 spans="1:26">
      <c r="A646" s="13"/>
      <c r="B646" s="13"/>
      <c r="C646" s="13"/>
      <c r="D646" s="13"/>
      <c r="E646" s="13"/>
      <c r="F646" s="13"/>
      <c r="G646" s="13"/>
      <c r="H646" s="13"/>
      <c r="I646" s="117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 spans="1:26">
      <c r="A647" s="13"/>
      <c r="B647" s="13"/>
      <c r="C647" s="13"/>
      <c r="D647" s="13"/>
      <c r="E647" s="13"/>
      <c r="F647" s="13"/>
      <c r="G647" s="13"/>
      <c r="H647" s="13"/>
      <c r="I647" s="117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 spans="1:26">
      <c r="A648" s="13"/>
      <c r="B648" s="13"/>
      <c r="C648" s="13"/>
      <c r="D648" s="13"/>
      <c r="E648" s="13"/>
      <c r="F648" s="13"/>
      <c r="G648" s="13"/>
      <c r="H648" s="13"/>
      <c r="I648" s="117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 spans="1:26">
      <c r="A649" s="13"/>
      <c r="B649" s="13"/>
      <c r="C649" s="13"/>
      <c r="D649" s="13"/>
      <c r="E649" s="13"/>
      <c r="F649" s="13"/>
      <c r="G649" s="13"/>
      <c r="H649" s="13"/>
      <c r="I649" s="117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 spans="1:26">
      <c r="A650" s="13"/>
      <c r="B650" s="13"/>
      <c r="C650" s="13"/>
      <c r="D650" s="13"/>
      <c r="E650" s="13"/>
      <c r="F650" s="13"/>
      <c r="G650" s="13"/>
      <c r="H650" s="13"/>
      <c r="I650" s="117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 spans="1:26">
      <c r="A651" s="13"/>
      <c r="B651" s="13"/>
      <c r="C651" s="13"/>
      <c r="D651" s="13"/>
      <c r="E651" s="13"/>
      <c r="F651" s="13"/>
      <c r="G651" s="13"/>
      <c r="H651" s="13"/>
      <c r="I651" s="117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 spans="1:26">
      <c r="A652" s="13"/>
      <c r="B652" s="13"/>
      <c r="C652" s="13"/>
      <c r="D652" s="13"/>
      <c r="E652" s="13"/>
      <c r="F652" s="13"/>
      <c r="G652" s="13"/>
      <c r="H652" s="13"/>
      <c r="I652" s="117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 spans="1:26">
      <c r="A653" s="13"/>
      <c r="B653" s="13"/>
      <c r="C653" s="13"/>
      <c r="D653" s="13"/>
      <c r="E653" s="13"/>
      <c r="F653" s="13"/>
      <c r="G653" s="13"/>
      <c r="H653" s="13"/>
      <c r="I653" s="117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 spans="1:26">
      <c r="A654" s="13"/>
      <c r="B654" s="13"/>
      <c r="C654" s="13"/>
      <c r="D654" s="13"/>
      <c r="E654" s="13"/>
      <c r="F654" s="13"/>
      <c r="G654" s="13"/>
      <c r="H654" s="13"/>
      <c r="I654" s="117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 spans="1:26">
      <c r="A655" s="13"/>
      <c r="B655" s="13"/>
      <c r="C655" s="13"/>
      <c r="D655" s="13"/>
      <c r="E655" s="13"/>
      <c r="F655" s="13"/>
      <c r="G655" s="13"/>
      <c r="H655" s="13"/>
      <c r="I655" s="117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 spans="1:26">
      <c r="A656" s="13"/>
      <c r="B656" s="13"/>
      <c r="C656" s="13"/>
      <c r="D656" s="13"/>
      <c r="E656" s="13"/>
      <c r="F656" s="13"/>
      <c r="G656" s="13"/>
      <c r="H656" s="13"/>
      <c r="I656" s="117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 spans="1:26">
      <c r="A657" s="13"/>
      <c r="B657" s="13"/>
      <c r="C657" s="13"/>
      <c r="D657" s="13"/>
      <c r="E657" s="13"/>
      <c r="F657" s="13"/>
      <c r="G657" s="13"/>
      <c r="H657" s="13"/>
      <c r="I657" s="117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 spans="1:26">
      <c r="A658" s="13"/>
      <c r="B658" s="13"/>
      <c r="C658" s="13"/>
      <c r="D658" s="13"/>
      <c r="E658" s="13"/>
      <c r="F658" s="13"/>
      <c r="G658" s="13"/>
      <c r="H658" s="13"/>
      <c r="I658" s="117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 spans="1:26">
      <c r="A659" s="13"/>
      <c r="B659" s="13"/>
      <c r="C659" s="13"/>
      <c r="D659" s="13"/>
      <c r="E659" s="13"/>
      <c r="F659" s="13"/>
      <c r="G659" s="13"/>
      <c r="H659" s="13"/>
      <c r="I659" s="117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 spans="1:26">
      <c r="A660" s="13"/>
      <c r="B660" s="13"/>
      <c r="C660" s="13"/>
      <c r="D660" s="13"/>
      <c r="E660" s="13"/>
      <c r="F660" s="13"/>
      <c r="G660" s="13"/>
      <c r="H660" s="13"/>
      <c r="I660" s="117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 spans="1:26">
      <c r="A661" s="13"/>
      <c r="B661" s="13"/>
      <c r="C661" s="13"/>
      <c r="D661" s="13"/>
      <c r="E661" s="13"/>
      <c r="F661" s="13"/>
      <c r="G661" s="13"/>
      <c r="H661" s="13"/>
      <c r="I661" s="117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 spans="1:26">
      <c r="A662" s="13"/>
      <c r="B662" s="13"/>
      <c r="C662" s="13"/>
      <c r="D662" s="13"/>
      <c r="E662" s="13"/>
      <c r="F662" s="13"/>
      <c r="G662" s="13"/>
      <c r="H662" s="13"/>
      <c r="I662" s="117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 spans="1:26">
      <c r="A663" s="13"/>
      <c r="B663" s="13"/>
      <c r="C663" s="13"/>
      <c r="D663" s="13"/>
      <c r="E663" s="13"/>
      <c r="F663" s="13"/>
      <c r="G663" s="13"/>
      <c r="H663" s="13"/>
      <c r="I663" s="117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 spans="1:26">
      <c r="A664" s="13"/>
      <c r="B664" s="13"/>
      <c r="C664" s="13"/>
      <c r="D664" s="13"/>
      <c r="E664" s="13"/>
      <c r="F664" s="13"/>
      <c r="G664" s="13"/>
      <c r="H664" s="13"/>
      <c r="I664" s="117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 spans="1:26">
      <c r="A665" s="13"/>
      <c r="B665" s="13"/>
      <c r="C665" s="13"/>
      <c r="D665" s="13"/>
      <c r="E665" s="13"/>
      <c r="F665" s="13"/>
      <c r="G665" s="13"/>
      <c r="H665" s="13"/>
      <c r="I665" s="117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 spans="1:26">
      <c r="A666" s="13"/>
      <c r="B666" s="13"/>
      <c r="C666" s="13"/>
      <c r="D666" s="13"/>
      <c r="E666" s="13"/>
      <c r="F666" s="13"/>
      <c r="G666" s="13"/>
      <c r="H666" s="13"/>
      <c r="I666" s="117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 spans="1:26">
      <c r="A667" s="13"/>
      <c r="B667" s="13"/>
      <c r="C667" s="13"/>
      <c r="D667" s="13"/>
      <c r="E667" s="13"/>
      <c r="F667" s="13"/>
      <c r="G667" s="13"/>
      <c r="H667" s="13"/>
      <c r="I667" s="117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 spans="1:26">
      <c r="A668" s="13"/>
      <c r="B668" s="13"/>
      <c r="C668" s="13"/>
      <c r="D668" s="13"/>
      <c r="E668" s="13"/>
      <c r="F668" s="13"/>
      <c r="G668" s="13"/>
      <c r="H668" s="13"/>
      <c r="I668" s="117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 spans="1:26">
      <c r="A669" s="13"/>
      <c r="B669" s="13"/>
      <c r="C669" s="13"/>
      <c r="D669" s="13"/>
      <c r="E669" s="13"/>
      <c r="F669" s="13"/>
      <c r="G669" s="13"/>
      <c r="H669" s="13"/>
      <c r="I669" s="117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 spans="1:26">
      <c r="A670" s="13"/>
      <c r="B670" s="13"/>
      <c r="C670" s="13"/>
      <c r="D670" s="13"/>
      <c r="E670" s="13"/>
      <c r="F670" s="13"/>
      <c r="G670" s="13"/>
      <c r="H670" s="13"/>
      <c r="I670" s="117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 spans="1:26">
      <c r="A671" s="13"/>
      <c r="B671" s="13"/>
      <c r="C671" s="13"/>
      <c r="D671" s="13"/>
      <c r="E671" s="13"/>
      <c r="F671" s="13"/>
      <c r="G671" s="13"/>
      <c r="H671" s="13"/>
      <c r="I671" s="117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 spans="1:26">
      <c r="A672" s="13"/>
      <c r="B672" s="13"/>
      <c r="C672" s="13"/>
      <c r="D672" s="13"/>
      <c r="E672" s="13"/>
      <c r="F672" s="13"/>
      <c r="G672" s="13"/>
      <c r="H672" s="13"/>
      <c r="I672" s="117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 spans="1:26">
      <c r="A673" s="13"/>
      <c r="B673" s="13"/>
      <c r="C673" s="13"/>
      <c r="D673" s="13"/>
      <c r="E673" s="13"/>
      <c r="F673" s="13"/>
      <c r="G673" s="13"/>
      <c r="H673" s="13"/>
      <c r="I673" s="117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 spans="1:26">
      <c r="A674" s="13"/>
      <c r="B674" s="13"/>
      <c r="C674" s="13"/>
      <c r="D674" s="13"/>
      <c r="E674" s="13"/>
      <c r="F674" s="13"/>
      <c r="G674" s="13"/>
      <c r="H674" s="13"/>
      <c r="I674" s="117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 spans="1:26">
      <c r="A675" s="13"/>
      <c r="B675" s="13"/>
      <c r="C675" s="13"/>
      <c r="D675" s="13"/>
      <c r="E675" s="13"/>
      <c r="F675" s="13"/>
      <c r="G675" s="13"/>
      <c r="H675" s="13"/>
      <c r="I675" s="117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 spans="1:26">
      <c r="A676" s="13"/>
      <c r="B676" s="13"/>
      <c r="C676" s="13"/>
      <c r="D676" s="13"/>
      <c r="E676" s="13"/>
      <c r="F676" s="13"/>
      <c r="G676" s="13"/>
      <c r="H676" s="13"/>
      <c r="I676" s="117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 spans="1:26">
      <c r="A677" s="13"/>
      <c r="B677" s="13"/>
      <c r="C677" s="13"/>
      <c r="D677" s="13"/>
      <c r="E677" s="13"/>
      <c r="F677" s="13"/>
      <c r="G677" s="13"/>
      <c r="H677" s="13"/>
      <c r="I677" s="117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 spans="1:26">
      <c r="A678" s="13"/>
      <c r="B678" s="13"/>
      <c r="C678" s="13"/>
      <c r="D678" s="13"/>
      <c r="E678" s="13"/>
      <c r="F678" s="13"/>
      <c r="G678" s="13"/>
      <c r="H678" s="13"/>
      <c r="I678" s="117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 spans="1:26">
      <c r="A679" s="13"/>
      <c r="B679" s="13"/>
      <c r="C679" s="13"/>
      <c r="D679" s="13"/>
      <c r="E679" s="13"/>
      <c r="F679" s="13"/>
      <c r="G679" s="13"/>
      <c r="H679" s="13"/>
      <c r="I679" s="117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 spans="1:26">
      <c r="A680" s="13"/>
      <c r="B680" s="13"/>
      <c r="C680" s="13"/>
      <c r="D680" s="13"/>
      <c r="E680" s="13"/>
      <c r="F680" s="13"/>
      <c r="G680" s="13"/>
      <c r="H680" s="13"/>
      <c r="I680" s="117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 spans="1:26">
      <c r="A681" s="13"/>
      <c r="B681" s="13"/>
      <c r="C681" s="13"/>
      <c r="D681" s="13"/>
      <c r="E681" s="13"/>
      <c r="F681" s="13"/>
      <c r="G681" s="13"/>
      <c r="H681" s="13"/>
      <c r="I681" s="117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 spans="1:26">
      <c r="A682" s="13"/>
      <c r="B682" s="13"/>
      <c r="C682" s="13"/>
      <c r="D682" s="13"/>
      <c r="E682" s="13"/>
      <c r="F682" s="13"/>
      <c r="G682" s="13"/>
      <c r="H682" s="13"/>
      <c r="I682" s="117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 spans="1:26">
      <c r="A683" s="13"/>
      <c r="B683" s="13"/>
      <c r="C683" s="13"/>
      <c r="D683" s="13"/>
      <c r="E683" s="13"/>
      <c r="F683" s="13"/>
      <c r="G683" s="13"/>
      <c r="H683" s="13"/>
      <c r="I683" s="117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 spans="1:26">
      <c r="A684" s="13"/>
      <c r="B684" s="13"/>
      <c r="C684" s="13"/>
      <c r="D684" s="13"/>
      <c r="E684" s="13"/>
      <c r="F684" s="13"/>
      <c r="G684" s="13"/>
      <c r="H684" s="13"/>
      <c r="I684" s="117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 spans="1:26">
      <c r="A685" s="13"/>
      <c r="B685" s="13"/>
      <c r="C685" s="13"/>
      <c r="D685" s="13"/>
      <c r="E685" s="13"/>
      <c r="F685" s="13"/>
      <c r="G685" s="13"/>
      <c r="H685" s="13"/>
      <c r="I685" s="117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 spans="1:26">
      <c r="A686" s="13"/>
      <c r="B686" s="13"/>
      <c r="C686" s="13"/>
      <c r="D686" s="13"/>
      <c r="E686" s="13"/>
      <c r="F686" s="13"/>
      <c r="G686" s="13"/>
      <c r="H686" s="13"/>
      <c r="I686" s="117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 spans="1:26">
      <c r="A687" s="13"/>
      <c r="B687" s="13"/>
      <c r="C687" s="13"/>
      <c r="D687" s="13"/>
      <c r="E687" s="13"/>
      <c r="F687" s="13"/>
      <c r="G687" s="13"/>
      <c r="H687" s="13"/>
      <c r="I687" s="117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 spans="1:26">
      <c r="A688" s="13"/>
      <c r="B688" s="13"/>
      <c r="C688" s="13"/>
      <c r="D688" s="13"/>
      <c r="E688" s="13"/>
      <c r="F688" s="13"/>
      <c r="G688" s="13"/>
      <c r="H688" s="13"/>
      <c r="I688" s="117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 spans="1:26">
      <c r="A689" s="13"/>
      <c r="B689" s="13"/>
      <c r="C689" s="13"/>
      <c r="D689" s="13"/>
      <c r="E689" s="13"/>
      <c r="F689" s="13"/>
      <c r="G689" s="13"/>
      <c r="H689" s="13"/>
      <c r="I689" s="117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 spans="1:26">
      <c r="A690" s="13"/>
      <c r="B690" s="13"/>
      <c r="C690" s="13"/>
      <c r="D690" s="13"/>
      <c r="E690" s="13"/>
      <c r="F690" s="13"/>
      <c r="G690" s="13"/>
      <c r="H690" s="13"/>
      <c r="I690" s="117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 spans="1:26">
      <c r="A691" s="13"/>
      <c r="B691" s="13"/>
      <c r="C691" s="13"/>
      <c r="D691" s="13"/>
      <c r="E691" s="13"/>
      <c r="F691" s="13"/>
      <c r="G691" s="13"/>
      <c r="H691" s="13"/>
      <c r="I691" s="117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 spans="1:26">
      <c r="A692" s="13"/>
      <c r="B692" s="13"/>
      <c r="C692" s="13"/>
      <c r="D692" s="13"/>
      <c r="E692" s="13"/>
      <c r="F692" s="13"/>
      <c r="G692" s="13"/>
      <c r="H692" s="13"/>
      <c r="I692" s="117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 spans="1:26">
      <c r="A693" s="13"/>
      <c r="B693" s="13"/>
      <c r="C693" s="13"/>
      <c r="D693" s="13"/>
      <c r="E693" s="13"/>
      <c r="F693" s="13"/>
      <c r="G693" s="13"/>
      <c r="H693" s="13"/>
      <c r="I693" s="117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 spans="1:26">
      <c r="A694" s="13"/>
      <c r="B694" s="13"/>
      <c r="C694" s="13"/>
      <c r="D694" s="13"/>
      <c r="E694" s="13"/>
      <c r="F694" s="13"/>
      <c r="G694" s="13"/>
      <c r="H694" s="13"/>
      <c r="I694" s="117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 spans="1:26">
      <c r="A695" s="13"/>
      <c r="B695" s="13"/>
      <c r="C695" s="13"/>
      <c r="D695" s="13"/>
      <c r="E695" s="13"/>
      <c r="F695" s="13"/>
      <c r="G695" s="13"/>
      <c r="H695" s="13"/>
      <c r="I695" s="117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 spans="1:26">
      <c r="A696" s="13"/>
      <c r="B696" s="13"/>
      <c r="C696" s="13"/>
      <c r="D696" s="13"/>
      <c r="E696" s="13"/>
      <c r="F696" s="13"/>
      <c r="G696" s="13"/>
      <c r="H696" s="13"/>
      <c r="I696" s="117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 spans="1:26">
      <c r="A697" s="13"/>
      <c r="B697" s="13"/>
      <c r="C697" s="13"/>
      <c r="D697" s="13"/>
      <c r="E697" s="13"/>
      <c r="F697" s="13"/>
      <c r="G697" s="13"/>
      <c r="H697" s="13"/>
      <c r="I697" s="117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 spans="1:26">
      <c r="A698" s="13"/>
      <c r="B698" s="13"/>
      <c r="C698" s="13"/>
      <c r="D698" s="13"/>
      <c r="E698" s="13"/>
      <c r="F698" s="13"/>
      <c r="G698" s="13"/>
      <c r="H698" s="13"/>
      <c r="I698" s="117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 spans="1:26">
      <c r="A699" s="13"/>
      <c r="B699" s="13"/>
      <c r="C699" s="13"/>
      <c r="D699" s="13"/>
      <c r="E699" s="13"/>
      <c r="F699" s="13"/>
      <c r="G699" s="13"/>
      <c r="H699" s="13"/>
      <c r="I699" s="117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 spans="1:26">
      <c r="A700" s="13"/>
      <c r="B700" s="13"/>
      <c r="C700" s="13"/>
      <c r="D700" s="13"/>
      <c r="E700" s="13"/>
      <c r="F700" s="13"/>
      <c r="G700" s="13"/>
      <c r="H700" s="13"/>
      <c r="I700" s="117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 spans="1:26">
      <c r="A701" s="13"/>
      <c r="B701" s="13"/>
      <c r="C701" s="13"/>
      <c r="D701" s="13"/>
      <c r="E701" s="13"/>
      <c r="F701" s="13"/>
      <c r="G701" s="13"/>
      <c r="H701" s="13"/>
      <c r="I701" s="117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 spans="1:26">
      <c r="A702" s="13"/>
      <c r="B702" s="13"/>
      <c r="C702" s="13"/>
      <c r="D702" s="13"/>
      <c r="E702" s="13"/>
      <c r="F702" s="13"/>
      <c r="G702" s="13"/>
      <c r="H702" s="13"/>
      <c r="I702" s="117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 spans="1:26">
      <c r="A703" s="13"/>
      <c r="B703" s="13"/>
      <c r="C703" s="13"/>
      <c r="D703" s="13"/>
      <c r="E703" s="13"/>
      <c r="F703" s="13"/>
      <c r="G703" s="13"/>
      <c r="H703" s="13"/>
      <c r="I703" s="117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 spans="1:26">
      <c r="A704" s="13"/>
      <c r="B704" s="13"/>
      <c r="C704" s="13"/>
      <c r="D704" s="13"/>
      <c r="E704" s="13"/>
      <c r="F704" s="13"/>
      <c r="G704" s="13"/>
      <c r="H704" s="13"/>
      <c r="I704" s="117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 spans="1:26">
      <c r="A705" s="13"/>
      <c r="B705" s="13"/>
      <c r="C705" s="13"/>
      <c r="D705" s="13"/>
      <c r="E705" s="13"/>
      <c r="F705" s="13"/>
      <c r="G705" s="13"/>
      <c r="H705" s="13"/>
      <c r="I705" s="117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 spans="1:26">
      <c r="A706" s="13"/>
      <c r="B706" s="13"/>
      <c r="C706" s="13"/>
      <c r="D706" s="13"/>
      <c r="E706" s="13"/>
      <c r="F706" s="13"/>
      <c r="G706" s="13"/>
      <c r="H706" s="13"/>
      <c r="I706" s="117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 spans="1:26">
      <c r="A707" s="13"/>
      <c r="B707" s="13"/>
      <c r="C707" s="13"/>
      <c r="D707" s="13"/>
      <c r="E707" s="13"/>
      <c r="F707" s="13"/>
      <c r="G707" s="13"/>
      <c r="H707" s="13"/>
      <c r="I707" s="117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 spans="1:26">
      <c r="A708" s="13"/>
      <c r="B708" s="13"/>
      <c r="C708" s="13"/>
      <c r="D708" s="13"/>
      <c r="E708" s="13"/>
      <c r="F708" s="13"/>
      <c r="G708" s="13"/>
      <c r="H708" s="13"/>
      <c r="I708" s="117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 spans="1:26">
      <c r="A709" s="13"/>
      <c r="B709" s="13"/>
      <c r="C709" s="13"/>
      <c r="D709" s="13"/>
      <c r="E709" s="13"/>
      <c r="F709" s="13"/>
      <c r="G709" s="13"/>
      <c r="H709" s="13"/>
      <c r="I709" s="117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 spans="1:26">
      <c r="A710" s="13"/>
      <c r="B710" s="13"/>
      <c r="C710" s="13"/>
      <c r="D710" s="13"/>
      <c r="E710" s="13"/>
      <c r="F710" s="13"/>
      <c r="G710" s="13"/>
      <c r="H710" s="13"/>
      <c r="I710" s="117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 spans="1:26">
      <c r="A711" s="13"/>
      <c r="B711" s="13"/>
      <c r="C711" s="13"/>
      <c r="D711" s="13"/>
      <c r="E711" s="13"/>
      <c r="F711" s="13"/>
      <c r="G711" s="13"/>
      <c r="H711" s="13"/>
      <c r="I711" s="117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 spans="1:26">
      <c r="A712" s="13"/>
      <c r="B712" s="13"/>
      <c r="C712" s="13"/>
      <c r="D712" s="13"/>
      <c r="E712" s="13"/>
      <c r="F712" s="13"/>
      <c r="G712" s="13"/>
      <c r="H712" s="13"/>
      <c r="I712" s="117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 spans="1:26">
      <c r="A713" s="13"/>
      <c r="B713" s="13"/>
      <c r="C713" s="13"/>
      <c r="D713" s="13"/>
      <c r="E713" s="13"/>
      <c r="F713" s="13"/>
      <c r="G713" s="13"/>
      <c r="H713" s="13"/>
      <c r="I713" s="117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 spans="1:26">
      <c r="A714" s="13"/>
      <c r="B714" s="13"/>
      <c r="C714" s="13"/>
      <c r="D714" s="13"/>
      <c r="E714" s="13"/>
      <c r="F714" s="13"/>
      <c r="G714" s="13"/>
      <c r="H714" s="13"/>
      <c r="I714" s="117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 spans="1:26">
      <c r="A715" s="13"/>
      <c r="B715" s="13"/>
      <c r="C715" s="13"/>
      <c r="D715" s="13"/>
      <c r="E715" s="13"/>
      <c r="F715" s="13"/>
      <c r="G715" s="13"/>
      <c r="H715" s="13"/>
      <c r="I715" s="117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 spans="1:26">
      <c r="A716" s="13"/>
      <c r="B716" s="13"/>
      <c r="C716" s="13"/>
      <c r="D716" s="13"/>
      <c r="E716" s="13"/>
      <c r="F716" s="13"/>
      <c r="G716" s="13"/>
      <c r="H716" s="13"/>
      <c r="I716" s="117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 spans="1:26">
      <c r="A717" s="13"/>
      <c r="B717" s="13"/>
      <c r="C717" s="13"/>
      <c r="D717" s="13"/>
      <c r="E717" s="13"/>
      <c r="F717" s="13"/>
      <c r="G717" s="13"/>
      <c r="H717" s="13"/>
      <c r="I717" s="117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 spans="1:26">
      <c r="A718" s="13"/>
      <c r="B718" s="13"/>
      <c r="C718" s="13"/>
      <c r="D718" s="13"/>
      <c r="E718" s="13"/>
      <c r="F718" s="13"/>
      <c r="G718" s="13"/>
      <c r="H718" s="13"/>
      <c r="I718" s="117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 spans="1:26">
      <c r="A719" s="13"/>
      <c r="B719" s="13"/>
      <c r="C719" s="13"/>
      <c r="D719" s="13"/>
      <c r="E719" s="13"/>
      <c r="F719" s="13"/>
      <c r="G719" s="13"/>
      <c r="H719" s="13"/>
      <c r="I719" s="117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 spans="1:26">
      <c r="A720" s="13"/>
      <c r="B720" s="13"/>
      <c r="C720" s="13"/>
      <c r="D720" s="13"/>
      <c r="E720" s="13"/>
      <c r="F720" s="13"/>
      <c r="G720" s="13"/>
      <c r="H720" s="13"/>
      <c r="I720" s="117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 spans="1:26">
      <c r="A721" s="13"/>
      <c r="B721" s="13"/>
      <c r="C721" s="13"/>
      <c r="D721" s="13"/>
      <c r="E721" s="13"/>
      <c r="F721" s="13"/>
      <c r="G721" s="13"/>
      <c r="H721" s="13"/>
      <c r="I721" s="117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 spans="1:26">
      <c r="A722" s="13"/>
      <c r="B722" s="13"/>
      <c r="C722" s="13"/>
      <c r="D722" s="13"/>
      <c r="E722" s="13"/>
      <c r="F722" s="13"/>
      <c r="G722" s="13"/>
      <c r="H722" s="13"/>
      <c r="I722" s="117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 spans="1:26">
      <c r="A723" s="13"/>
      <c r="B723" s="13"/>
      <c r="C723" s="13"/>
      <c r="D723" s="13"/>
      <c r="E723" s="13"/>
      <c r="F723" s="13"/>
      <c r="G723" s="13"/>
      <c r="H723" s="13"/>
      <c r="I723" s="117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 spans="1:26">
      <c r="A724" s="13"/>
      <c r="B724" s="13"/>
      <c r="C724" s="13"/>
      <c r="D724" s="13"/>
      <c r="E724" s="13"/>
      <c r="F724" s="13"/>
      <c r="G724" s="13"/>
      <c r="H724" s="13"/>
      <c r="I724" s="117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 spans="1:26">
      <c r="A725" s="13"/>
      <c r="B725" s="13"/>
      <c r="C725" s="13"/>
      <c r="D725" s="13"/>
      <c r="E725" s="13"/>
      <c r="F725" s="13"/>
      <c r="G725" s="13"/>
      <c r="H725" s="13"/>
      <c r="I725" s="117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 spans="1:26">
      <c r="A726" s="13"/>
      <c r="B726" s="13"/>
      <c r="C726" s="13"/>
      <c r="D726" s="13"/>
      <c r="E726" s="13"/>
      <c r="F726" s="13"/>
      <c r="G726" s="13"/>
      <c r="H726" s="13"/>
      <c r="I726" s="117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 spans="1:26">
      <c r="A727" s="13"/>
      <c r="B727" s="13"/>
      <c r="C727" s="13"/>
      <c r="D727" s="13"/>
      <c r="E727" s="13"/>
      <c r="F727" s="13"/>
      <c r="G727" s="13"/>
      <c r="H727" s="13"/>
      <c r="I727" s="117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 spans="1:26">
      <c r="A728" s="13"/>
      <c r="B728" s="13"/>
      <c r="C728" s="13"/>
      <c r="D728" s="13"/>
      <c r="E728" s="13"/>
      <c r="F728" s="13"/>
      <c r="G728" s="13"/>
      <c r="H728" s="13"/>
      <c r="I728" s="117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 spans="1:26">
      <c r="A729" s="13"/>
      <c r="B729" s="13"/>
      <c r="C729" s="13"/>
      <c r="D729" s="13"/>
      <c r="E729" s="13"/>
      <c r="F729" s="13"/>
      <c r="G729" s="13"/>
      <c r="H729" s="13"/>
      <c r="I729" s="117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 spans="1:26">
      <c r="A730" s="13"/>
      <c r="B730" s="13"/>
      <c r="C730" s="13"/>
      <c r="D730" s="13"/>
      <c r="E730" s="13"/>
      <c r="F730" s="13"/>
      <c r="G730" s="13"/>
      <c r="H730" s="13"/>
      <c r="I730" s="117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 spans="1:26">
      <c r="A731" s="13"/>
      <c r="B731" s="13"/>
      <c r="C731" s="13"/>
      <c r="D731" s="13"/>
      <c r="E731" s="13"/>
      <c r="F731" s="13"/>
      <c r="G731" s="13"/>
      <c r="H731" s="13"/>
      <c r="I731" s="117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 spans="1:26">
      <c r="A732" s="13"/>
      <c r="B732" s="13"/>
      <c r="C732" s="13"/>
      <c r="D732" s="13"/>
      <c r="E732" s="13"/>
      <c r="F732" s="13"/>
      <c r="G732" s="13"/>
      <c r="H732" s="13"/>
      <c r="I732" s="117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 spans="1:26">
      <c r="A733" s="13"/>
      <c r="B733" s="13"/>
      <c r="C733" s="13"/>
      <c r="D733" s="13"/>
      <c r="E733" s="13"/>
      <c r="F733" s="13"/>
      <c r="G733" s="13"/>
      <c r="H733" s="13"/>
      <c r="I733" s="117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 spans="1:26">
      <c r="A734" s="13"/>
      <c r="B734" s="13"/>
      <c r="C734" s="13"/>
      <c r="D734" s="13"/>
      <c r="E734" s="13"/>
      <c r="F734" s="13"/>
      <c r="G734" s="13"/>
      <c r="H734" s="13"/>
      <c r="I734" s="117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 spans="1:26">
      <c r="A735" s="13"/>
      <c r="B735" s="13"/>
      <c r="C735" s="13"/>
      <c r="D735" s="13"/>
      <c r="E735" s="13"/>
      <c r="F735" s="13"/>
      <c r="G735" s="13"/>
      <c r="H735" s="13"/>
      <c r="I735" s="117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 spans="1:26">
      <c r="A736" s="13"/>
      <c r="B736" s="13"/>
      <c r="C736" s="13"/>
      <c r="D736" s="13"/>
      <c r="E736" s="13"/>
      <c r="F736" s="13"/>
      <c r="G736" s="13"/>
      <c r="H736" s="13"/>
      <c r="I736" s="117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 spans="1:26">
      <c r="A737" s="13"/>
      <c r="B737" s="13"/>
      <c r="C737" s="13"/>
      <c r="D737" s="13"/>
      <c r="E737" s="13"/>
      <c r="F737" s="13"/>
      <c r="G737" s="13"/>
      <c r="H737" s="13"/>
      <c r="I737" s="117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 spans="1:26">
      <c r="A738" s="13"/>
      <c r="B738" s="13"/>
      <c r="C738" s="13"/>
      <c r="D738" s="13"/>
      <c r="E738" s="13"/>
      <c r="F738" s="13"/>
      <c r="G738" s="13"/>
      <c r="H738" s="13"/>
      <c r="I738" s="117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 spans="1:26">
      <c r="A739" s="13"/>
      <c r="B739" s="13"/>
      <c r="C739" s="13"/>
      <c r="D739" s="13"/>
      <c r="E739" s="13"/>
      <c r="F739" s="13"/>
      <c r="G739" s="13"/>
      <c r="H739" s="13"/>
      <c r="I739" s="117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 spans="1:26">
      <c r="A740" s="13"/>
      <c r="B740" s="13"/>
      <c r="C740" s="13"/>
      <c r="D740" s="13"/>
      <c r="E740" s="13"/>
      <c r="F740" s="13"/>
      <c r="G740" s="13"/>
      <c r="H740" s="13"/>
      <c r="I740" s="117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 spans="1:26">
      <c r="A741" s="13"/>
      <c r="B741" s="13"/>
      <c r="C741" s="13"/>
      <c r="D741" s="13"/>
      <c r="E741" s="13"/>
      <c r="F741" s="13"/>
      <c r="G741" s="13"/>
      <c r="H741" s="13"/>
      <c r="I741" s="117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 spans="1:26">
      <c r="A742" s="13"/>
      <c r="B742" s="13"/>
      <c r="C742" s="13"/>
      <c r="D742" s="13"/>
      <c r="E742" s="13"/>
      <c r="F742" s="13"/>
      <c r="G742" s="13"/>
      <c r="H742" s="13"/>
      <c r="I742" s="117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 spans="1:26">
      <c r="A743" s="13"/>
      <c r="B743" s="13"/>
      <c r="C743" s="13"/>
      <c r="D743" s="13"/>
      <c r="E743" s="13"/>
      <c r="F743" s="13"/>
      <c r="G743" s="13"/>
      <c r="H743" s="13"/>
      <c r="I743" s="117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 spans="1:26">
      <c r="A744" s="13"/>
      <c r="B744" s="13"/>
      <c r="C744" s="13"/>
      <c r="D744" s="13"/>
      <c r="E744" s="13"/>
      <c r="F744" s="13"/>
      <c r="G744" s="13"/>
      <c r="H744" s="13"/>
      <c r="I744" s="117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 spans="1:26">
      <c r="A745" s="13"/>
      <c r="B745" s="13"/>
      <c r="C745" s="13"/>
      <c r="D745" s="13"/>
      <c r="E745" s="13"/>
      <c r="F745" s="13"/>
      <c r="G745" s="13"/>
      <c r="H745" s="13"/>
      <c r="I745" s="117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 spans="1:26">
      <c r="A746" s="13"/>
      <c r="B746" s="13"/>
      <c r="C746" s="13"/>
      <c r="D746" s="13"/>
      <c r="E746" s="13"/>
      <c r="F746" s="13"/>
      <c r="G746" s="13"/>
      <c r="H746" s="13"/>
      <c r="I746" s="117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 spans="1:26">
      <c r="A747" s="13"/>
      <c r="B747" s="13"/>
      <c r="C747" s="13"/>
      <c r="D747" s="13"/>
      <c r="E747" s="13"/>
      <c r="F747" s="13"/>
      <c r="G747" s="13"/>
      <c r="H747" s="13"/>
      <c r="I747" s="117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 spans="1:26">
      <c r="A748" s="13"/>
      <c r="B748" s="13"/>
      <c r="C748" s="13"/>
      <c r="D748" s="13"/>
      <c r="E748" s="13"/>
      <c r="F748" s="13"/>
      <c r="G748" s="13"/>
      <c r="H748" s="13"/>
      <c r="I748" s="117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 spans="1:26">
      <c r="A749" s="13"/>
      <c r="B749" s="13"/>
      <c r="C749" s="13"/>
      <c r="D749" s="13"/>
      <c r="E749" s="13"/>
      <c r="F749" s="13"/>
      <c r="G749" s="13"/>
      <c r="H749" s="13"/>
      <c r="I749" s="117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 spans="1:26">
      <c r="A750" s="13"/>
      <c r="B750" s="13"/>
      <c r="C750" s="13"/>
      <c r="D750" s="13"/>
      <c r="E750" s="13"/>
      <c r="F750" s="13"/>
      <c r="G750" s="13"/>
      <c r="H750" s="13"/>
      <c r="I750" s="117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 spans="1:26">
      <c r="A751" s="13"/>
      <c r="B751" s="13"/>
      <c r="C751" s="13"/>
      <c r="D751" s="13"/>
      <c r="E751" s="13"/>
      <c r="F751" s="13"/>
      <c r="G751" s="13"/>
      <c r="H751" s="13"/>
      <c r="I751" s="117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 spans="1:26">
      <c r="A752" s="13"/>
      <c r="B752" s="13"/>
      <c r="C752" s="13"/>
      <c r="D752" s="13"/>
      <c r="E752" s="13"/>
      <c r="F752" s="13"/>
      <c r="G752" s="13"/>
      <c r="H752" s="13"/>
      <c r="I752" s="117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 spans="1:26">
      <c r="A753" s="13"/>
      <c r="B753" s="13"/>
      <c r="C753" s="13"/>
      <c r="D753" s="13"/>
      <c r="E753" s="13"/>
      <c r="F753" s="13"/>
      <c r="G753" s="13"/>
      <c r="H753" s="13"/>
      <c r="I753" s="117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 spans="1:26">
      <c r="A754" s="13"/>
      <c r="B754" s="13"/>
      <c r="C754" s="13"/>
      <c r="D754" s="13"/>
      <c r="E754" s="13"/>
      <c r="F754" s="13"/>
      <c r="G754" s="13"/>
      <c r="H754" s="13"/>
      <c r="I754" s="117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 spans="1:26">
      <c r="A755" s="13"/>
      <c r="B755" s="13"/>
      <c r="C755" s="13"/>
      <c r="D755" s="13"/>
      <c r="E755" s="13"/>
      <c r="F755" s="13"/>
      <c r="G755" s="13"/>
      <c r="H755" s="13"/>
      <c r="I755" s="117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 spans="1:26">
      <c r="A756" s="13"/>
      <c r="B756" s="13"/>
      <c r="C756" s="13"/>
      <c r="D756" s="13"/>
      <c r="E756" s="13"/>
      <c r="F756" s="13"/>
      <c r="G756" s="13"/>
      <c r="H756" s="13"/>
      <c r="I756" s="117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 spans="1:26">
      <c r="A757" s="13"/>
      <c r="B757" s="13"/>
      <c r="C757" s="13"/>
      <c r="D757" s="13"/>
      <c r="E757" s="13"/>
      <c r="F757" s="13"/>
      <c r="G757" s="13"/>
      <c r="H757" s="13"/>
      <c r="I757" s="117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 spans="1:26">
      <c r="A758" s="13"/>
      <c r="B758" s="13"/>
      <c r="C758" s="13"/>
      <c r="D758" s="13"/>
      <c r="E758" s="13"/>
      <c r="F758" s="13"/>
      <c r="G758" s="13"/>
      <c r="H758" s="13"/>
      <c r="I758" s="117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 spans="1:26">
      <c r="A759" s="13"/>
      <c r="B759" s="13"/>
      <c r="C759" s="13"/>
      <c r="D759" s="13"/>
      <c r="E759" s="13"/>
      <c r="F759" s="13"/>
      <c r="G759" s="13"/>
      <c r="H759" s="13"/>
      <c r="I759" s="117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 spans="1:26">
      <c r="A760" s="13"/>
      <c r="B760" s="13"/>
      <c r="C760" s="13"/>
      <c r="D760" s="13"/>
      <c r="E760" s="13"/>
      <c r="F760" s="13"/>
      <c r="G760" s="13"/>
      <c r="H760" s="13"/>
      <c r="I760" s="117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 spans="1:26">
      <c r="A761" s="13"/>
      <c r="B761" s="13"/>
      <c r="C761" s="13"/>
      <c r="D761" s="13"/>
      <c r="E761" s="13"/>
      <c r="F761" s="13"/>
      <c r="G761" s="13"/>
      <c r="H761" s="13"/>
      <c r="I761" s="117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 spans="1:26">
      <c r="A762" s="13"/>
      <c r="B762" s="13"/>
      <c r="C762" s="13"/>
      <c r="D762" s="13"/>
      <c r="E762" s="13"/>
      <c r="F762" s="13"/>
      <c r="G762" s="13"/>
      <c r="H762" s="13"/>
      <c r="I762" s="117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 spans="1:26">
      <c r="A763" s="13"/>
      <c r="B763" s="13"/>
      <c r="C763" s="13"/>
      <c r="D763" s="13"/>
      <c r="E763" s="13"/>
      <c r="F763" s="13"/>
      <c r="G763" s="13"/>
      <c r="H763" s="13"/>
      <c r="I763" s="117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 spans="1:26">
      <c r="A764" s="13"/>
      <c r="B764" s="13"/>
      <c r="C764" s="13"/>
      <c r="D764" s="13"/>
      <c r="E764" s="13"/>
      <c r="F764" s="13"/>
      <c r="G764" s="13"/>
      <c r="H764" s="13"/>
      <c r="I764" s="117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 spans="1:26">
      <c r="A765" s="13"/>
      <c r="B765" s="13"/>
      <c r="C765" s="13"/>
      <c r="D765" s="13"/>
      <c r="E765" s="13"/>
      <c r="F765" s="13"/>
      <c r="G765" s="13"/>
      <c r="H765" s="13"/>
      <c r="I765" s="117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 spans="1:26">
      <c r="A766" s="13"/>
      <c r="B766" s="13"/>
      <c r="C766" s="13"/>
      <c r="D766" s="13"/>
      <c r="E766" s="13"/>
      <c r="F766" s="13"/>
      <c r="G766" s="13"/>
      <c r="H766" s="13"/>
      <c r="I766" s="117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 spans="1:26">
      <c r="A767" s="13"/>
      <c r="B767" s="13"/>
      <c r="C767" s="13"/>
      <c r="D767" s="13"/>
      <c r="E767" s="13"/>
      <c r="F767" s="13"/>
      <c r="G767" s="13"/>
      <c r="H767" s="13"/>
      <c r="I767" s="117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 spans="1:26">
      <c r="A768" s="13"/>
      <c r="B768" s="13"/>
      <c r="C768" s="13"/>
      <c r="D768" s="13"/>
      <c r="E768" s="13"/>
      <c r="F768" s="13"/>
      <c r="G768" s="13"/>
      <c r="H768" s="13"/>
      <c r="I768" s="117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 spans="1:26">
      <c r="A769" s="13"/>
      <c r="B769" s="13"/>
      <c r="C769" s="13"/>
      <c r="D769" s="13"/>
      <c r="E769" s="13"/>
      <c r="F769" s="13"/>
      <c r="G769" s="13"/>
      <c r="H769" s="13"/>
      <c r="I769" s="117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 spans="1:26">
      <c r="A770" s="13"/>
      <c r="B770" s="13"/>
      <c r="C770" s="13"/>
      <c r="D770" s="13"/>
      <c r="E770" s="13"/>
      <c r="F770" s="13"/>
      <c r="G770" s="13"/>
      <c r="H770" s="13"/>
      <c r="I770" s="117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 spans="1:26">
      <c r="A771" s="13"/>
      <c r="B771" s="13"/>
      <c r="C771" s="13"/>
      <c r="D771" s="13"/>
      <c r="E771" s="13"/>
      <c r="F771" s="13"/>
      <c r="G771" s="13"/>
      <c r="H771" s="13"/>
      <c r="I771" s="117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 spans="1:26">
      <c r="A772" s="13"/>
      <c r="B772" s="13"/>
      <c r="C772" s="13"/>
      <c r="D772" s="13"/>
      <c r="E772" s="13"/>
      <c r="F772" s="13"/>
      <c r="G772" s="13"/>
      <c r="H772" s="13"/>
      <c r="I772" s="117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 spans="1:26">
      <c r="A773" s="13"/>
      <c r="B773" s="13"/>
      <c r="C773" s="13"/>
      <c r="D773" s="13"/>
      <c r="E773" s="13"/>
      <c r="F773" s="13"/>
      <c r="G773" s="13"/>
      <c r="H773" s="13"/>
      <c r="I773" s="117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 spans="1:26">
      <c r="A774" s="13"/>
      <c r="B774" s="13"/>
      <c r="C774" s="13"/>
      <c r="D774" s="13"/>
      <c r="E774" s="13"/>
      <c r="F774" s="13"/>
      <c r="G774" s="13"/>
      <c r="H774" s="13"/>
      <c r="I774" s="117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 spans="1:26">
      <c r="A775" s="13"/>
      <c r="B775" s="13"/>
      <c r="C775" s="13"/>
      <c r="D775" s="13"/>
      <c r="E775" s="13"/>
      <c r="F775" s="13"/>
      <c r="G775" s="13"/>
      <c r="H775" s="13"/>
      <c r="I775" s="117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 spans="1:26">
      <c r="A776" s="13"/>
      <c r="B776" s="13"/>
      <c r="C776" s="13"/>
      <c r="D776" s="13"/>
      <c r="E776" s="13"/>
      <c r="F776" s="13"/>
      <c r="G776" s="13"/>
      <c r="H776" s="13"/>
      <c r="I776" s="117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 spans="1:26">
      <c r="A777" s="13"/>
      <c r="B777" s="13"/>
      <c r="C777" s="13"/>
      <c r="D777" s="13"/>
      <c r="E777" s="13"/>
      <c r="F777" s="13"/>
      <c r="G777" s="13"/>
      <c r="H777" s="13"/>
      <c r="I777" s="117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 spans="1:26">
      <c r="A778" s="13"/>
      <c r="B778" s="13"/>
      <c r="C778" s="13"/>
      <c r="D778" s="13"/>
      <c r="E778" s="13"/>
      <c r="F778" s="13"/>
      <c r="G778" s="13"/>
      <c r="H778" s="13"/>
      <c r="I778" s="117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 spans="1:26">
      <c r="A779" s="13"/>
      <c r="B779" s="13"/>
      <c r="C779" s="13"/>
      <c r="D779" s="13"/>
      <c r="E779" s="13"/>
      <c r="F779" s="13"/>
      <c r="G779" s="13"/>
      <c r="H779" s="13"/>
      <c r="I779" s="117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 spans="1:26">
      <c r="A780" s="13"/>
      <c r="B780" s="13"/>
      <c r="C780" s="13"/>
      <c r="D780" s="13"/>
      <c r="E780" s="13"/>
      <c r="F780" s="13"/>
      <c r="G780" s="13"/>
      <c r="H780" s="13"/>
      <c r="I780" s="117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 spans="1:26">
      <c r="A781" s="13"/>
      <c r="B781" s="13"/>
      <c r="C781" s="13"/>
      <c r="D781" s="13"/>
      <c r="E781" s="13"/>
      <c r="F781" s="13"/>
      <c r="G781" s="13"/>
      <c r="H781" s="13"/>
      <c r="I781" s="117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 spans="1:26">
      <c r="A782" s="13"/>
      <c r="B782" s="13"/>
      <c r="C782" s="13"/>
      <c r="D782" s="13"/>
      <c r="E782" s="13"/>
      <c r="F782" s="13"/>
      <c r="G782" s="13"/>
      <c r="H782" s="13"/>
      <c r="I782" s="117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 spans="1:26">
      <c r="A783" s="13"/>
      <c r="B783" s="13"/>
      <c r="C783" s="13"/>
      <c r="D783" s="13"/>
      <c r="E783" s="13"/>
      <c r="F783" s="13"/>
      <c r="G783" s="13"/>
      <c r="H783" s="13"/>
      <c r="I783" s="117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 spans="1:26">
      <c r="A784" s="13"/>
      <c r="B784" s="13"/>
      <c r="C784" s="13"/>
      <c r="D784" s="13"/>
      <c r="E784" s="13"/>
      <c r="F784" s="13"/>
      <c r="G784" s="13"/>
      <c r="H784" s="13"/>
      <c r="I784" s="117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 spans="1:26">
      <c r="A785" s="13"/>
      <c r="B785" s="13"/>
      <c r="C785" s="13"/>
      <c r="D785" s="13"/>
      <c r="E785" s="13"/>
      <c r="F785" s="13"/>
      <c r="G785" s="13"/>
      <c r="H785" s="13"/>
      <c r="I785" s="117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 spans="1:26">
      <c r="A786" s="13"/>
      <c r="B786" s="13"/>
      <c r="C786" s="13"/>
      <c r="D786" s="13"/>
      <c r="E786" s="13"/>
      <c r="F786" s="13"/>
      <c r="G786" s="13"/>
      <c r="H786" s="13"/>
      <c r="I786" s="117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 spans="1:26">
      <c r="A787" s="13"/>
      <c r="B787" s="13"/>
      <c r="C787" s="13"/>
      <c r="D787" s="13"/>
      <c r="E787" s="13"/>
      <c r="F787" s="13"/>
      <c r="G787" s="13"/>
      <c r="H787" s="13"/>
      <c r="I787" s="117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 spans="1:26">
      <c r="A788" s="13"/>
      <c r="B788" s="13"/>
      <c r="C788" s="13"/>
      <c r="D788" s="13"/>
      <c r="E788" s="13"/>
      <c r="F788" s="13"/>
      <c r="G788" s="13"/>
      <c r="H788" s="13"/>
      <c r="I788" s="117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 spans="1:26">
      <c r="A789" s="13"/>
      <c r="B789" s="13"/>
      <c r="C789" s="13"/>
      <c r="D789" s="13"/>
      <c r="E789" s="13"/>
      <c r="F789" s="13"/>
      <c r="G789" s="13"/>
      <c r="H789" s="13"/>
      <c r="I789" s="117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 spans="1:26">
      <c r="A790" s="13"/>
      <c r="B790" s="13"/>
      <c r="C790" s="13"/>
      <c r="D790" s="13"/>
      <c r="E790" s="13"/>
      <c r="F790" s="13"/>
      <c r="G790" s="13"/>
      <c r="H790" s="13"/>
      <c r="I790" s="117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 spans="1:26">
      <c r="A791" s="13"/>
      <c r="B791" s="13"/>
      <c r="C791" s="13"/>
      <c r="D791" s="13"/>
      <c r="E791" s="13"/>
      <c r="F791" s="13"/>
      <c r="G791" s="13"/>
      <c r="H791" s="13"/>
      <c r="I791" s="117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 spans="1:26">
      <c r="A792" s="13"/>
      <c r="B792" s="13"/>
      <c r="C792" s="13"/>
      <c r="D792" s="13"/>
      <c r="E792" s="13"/>
      <c r="F792" s="13"/>
      <c r="G792" s="13"/>
      <c r="H792" s="13"/>
      <c r="I792" s="117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 spans="1:26">
      <c r="A793" s="13"/>
      <c r="B793" s="13"/>
      <c r="C793" s="13"/>
      <c r="D793" s="13"/>
      <c r="E793" s="13"/>
      <c r="F793" s="13"/>
      <c r="G793" s="13"/>
      <c r="H793" s="13"/>
      <c r="I793" s="117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 spans="1:26">
      <c r="A794" s="13"/>
      <c r="B794" s="13"/>
      <c r="C794" s="13"/>
      <c r="D794" s="13"/>
      <c r="E794" s="13"/>
      <c r="F794" s="13"/>
      <c r="G794" s="13"/>
      <c r="H794" s="13"/>
      <c r="I794" s="117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 spans="1:26">
      <c r="A795" s="13"/>
      <c r="B795" s="13"/>
      <c r="C795" s="13"/>
      <c r="D795" s="13"/>
      <c r="E795" s="13"/>
      <c r="F795" s="13"/>
      <c r="G795" s="13"/>
      <c r="H795" s="13"/>
      <c r="I795" s="117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 spans="1:26">
      <c r="A796" s="13"/>
      <c r="B796" s="13"/>
      <c r="C796" s="13"/>
      <c r="D796" s="13"/>
      <c r="E796" s="13"/>
      <c r="F796" s="13"/>
      <c r="G796" s="13"/>
      <c r="H796" s="13"/>
      <c r="I796" s="117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 spans="1:26">
      <c r="A797" s="13"/>
      <c r="B797" s="13"/>
      <c r="C797" s="13"/>
      <c r="D797" s="13"/>
      <c r="E797" s="13"/>
      <c r="F797" s="13"/>
      <c r="G797" s="13"/>
      <c r="H797" s="13"/>
      <c r="I797" s="117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 spans="1:26">
      <c r="A798" s="13"/>
      <c r="B798" s="13"/>
      <c r="C798" s="13"/>
      <c r="D798" s="13"/>
      <c r="E798" s="13"/>
      <c r="F798" s="13"/>
      <c r="G798" s="13"/>
      <c r="H798" s="13"/>
      <c r="I798" s="117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 spans="1:26">
      <c r="A799" s="13"/>
      <c r="B799" s="13"/>
      <c r="C799" s="13"/>
      <c r="D799" s="13"/>
      <c r="E799" s="13"/>
      <c r="F799" s="13"/>
      <c r="G799" s="13"/>
      <c r="H799" s="13"/>
      <c r="I799" s="117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 spans="1:26">
      <c r="A800" s="13"/>
      <c r="B800" s="13"/>
      <c r="C800" s="13"/>
      <c r="D800" s="13"/>
      <c r="E800" s="13"/>
      <c r="F800" s="13"/>
      <c r="G800" s="13"/>
      <c r="H800" s="13"/>
      <c r="I800" s="117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 spans="1:26">
      <c r="A801" s="13"/>
      <c r="B801" s="13"/>
      <c r="C801" s="13"/>
      <c r="D801" s="13"/>
      <c r="E801" s="13"/>
      <c r="F801" s="13"/>
      <c r="G801" s="13"/>
      <c r="H801" s="13"/>
      <c r="I801" s="117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 spans="1:26">
      <c r="A802" s="13"/>
      <c r="B802" s="13"/>
      <c r="C802" s="13"/>
      <c r="D802" s="13"/>
      <c r="E802" s="13"/>
      <c r="F802" s="13"/>
      <c r="G802" s="13"/>
      <c r="H802" s="13"/>
      <c r="I802" s="117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 spans="1:26">
      <c r="A803" s="13"/>
      <c r="B803" s="13"/>
      <c r="C803" s="13"/>
      <c r="D803" s="13"/>
      <c r="E803" s="13"/>
      <c r="F803" s="13"/>
      <c r="G803" s="13"/>
      <c r="H803" s="13"/>
      <c r="I803" s="117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 spans="1:26">
      <c r="A804" s="13"/>
      <c r="B804" s="13"/>
      <c r="C804" s="13"/>
      <c r="D804" s="13"/>
      <c r="E804" s="13"/>
      <c r="F804" s="13"/>
      <c r="G804" s="13"/>
      <c r="H804" s="13"/>
      <c r="I804" s="117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 spans="1:26">
      <c r="A805" s="13"/>
      <c r="B805" s="13"/>
      <c r="C805" s="13"/>
      <c r="D805" s="13"/>
      <c r="E805" s="13"/>
      <c r="F805" s="13"/>
      <c r="G805" s="13"/>
      <c r="H805" s="13"/>
      <c r="I805" s="117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 spans="1:26">
      <c r="A806" s="13"/>
      <c r="B806" s="13"/>
      <c r="C806" s="13"/>
      <c r="D806" s="13"/>
      <c r="E806" s="13"/>
      <c r="F806" s="13"/>
      <c r="G806" s="13"/>
      <c r="H806" s="13"/>
      <c r="I806" s="117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 spans="1:26">
      <c r="A807" s="13"/>
      <c r="B807" s="13"/>
      <c r="C807" s="13"/>
      <c r="D807" s="13"/>
      <c r="E807" s="13"/>
      <c r="F807" s="13"/>
      <c r="G807" s="13"/>
      <c r="H807" s="13"/>
      <c r="I807" s="117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 spans="1:26">
      <c r="A808" s="13"/>
      <c r="B808" s="13"/>
      <c r="C808" s="13"/>
      <c r="D808" s="13"/>
      <c r="E808" s="13"/>
      <c r="F808" s="13"/>
      <c r="G808" s="13"/>
      <c r="H808" s="13"/>
      <c r="I808" s="117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 spans="1:26">
      <c r="A809" s="13"/>
      <c r="B809" s="13"/>
      <c r="C809" s="13"/>
      <c r="D809" s="13"/>
      <c r="E809" s="13"/>
      <c r="F809" s="13"/>
      <c r="G809" s="13"/>
      <c r="H809" s="13"/>
      <c r="I809" s="117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 spans="1:26">
      <c r="A810" s="13"/>
      <c r="B810" s="13"/>
      <c r="C810" s="13"/>
      <c r="D810" s="13"/>
      <c r="E810" s="13"/>
      <c r="F810" s="13"/>
      <c r="G810" s="13"/>
      <c r="H810" s="13"/>
      <c r="I810" s="117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 spans="1:26">
      <c r="A811" s="13"/>
      <c r="B811" s="13"/>
      <c r="C811" s="13"/>
      <c r="D811" s="13"/>
      <c r="E811" s="13"/>
      <c r="F811" s="13"/>
      <c r="G811" s="13"/>
      <c r="H811" s="13"/>
      <c r="I811" s="117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 spans="1:26">
      <c r="A812" s="13"/>
      <c r="B812" s="13"/>
      <c r="C812" s="13"/>
      <c r="D812" s="13"/>
      <c r="E812" s="13"/>
      <c r="F812" s="13"/>
      <c r="G812" s="13"/>
      <c r="H812" s="13"/>
      <c r="I812" s="117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 spans="1:26">
      <c r="A813" s="13"/>
      <c r="B813" s="13"/>
      <c r="C813" s="13"/>
      <c r="D813" s="13"/>
      <c r="E813" s="13"/>
      <c r="F813" s="13"/>
      <c r="G813" s="13"/>
      <c r="H813" s="13"/>
      <c r="I813" s="117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 spans="1:26">
      <c r="A814" s="13"/>
      <c r="B814" s="13"/>
      <c r="C814" s="13"/>
      <c r="D814" s="13"/>
      <c r="E814" s="13"/>
      <c r="F814" s="13"/>
      <c r="G814" s="13"/>
      <c r="H814" s="13"/>
      <c r="I814" s="117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 spans="1:26">
      <c r="A815" s="13"/>
      <c r="B815" s="13"/>
      <c r="C815" s="13"/>
      <c r="D815" s="13"/>
      <c r="E815" s="13"/>
      <c r="F815" s="13"/>
      <c r="G815" s="13"/>
      <c r="H815" s="13"/>
      <c r="I815" s="117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 spans="1:26">
      <c r="A816" s="13"/>
      <c r="B816" s="13"/>
      <c r="C816" s="13"/>
      <c r="D816" s="13"/>
      <c r="E816" s="13"/>
      <c r="F816" s="13"/>
      <c r="G816" s="13"/>
      <c r="H816" s="13"/>
      <c r="I816" s="117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 spans="1:26">
      <c r="A817" s="13"/>
      <c r="B817" s="13"/>
      <c r="C817" s="13"/>
      <c r="D817" s="13"/>
      <c r="E817" s="13"/>
      <c r="F817" s="13"/>
      <c r="G817" s="13"/>
      <c r="H817" s="13"/>
      <c r="I817" s="117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 spans="1:26">
      <c r="A818" s="13"/>
      <c r="B818" s="13"/>
      <c r="C818" s="13"/>
      <c r="D818" s="13"/>
      <c r="E818" s="13"/>
      <c r="F818" s="13"/>
      <c r="G818" s="13"/>
      <c r="H818" s="13"/>
      <c r="I818" s="117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 spans="1:26">
      <c r="A819" s="13"/>
      <c r="B819" s="13"/>
      <c r="C819" s="13"/>
      <c r="D819" s="13"/>
      <c r="E819" s="13"/>
      <c r="F819" s="13"/>
      <c r="G819" s="13"/>
      <c r="H819" s="13"/>
      <c r="I819" s="117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 spans="1:26">
      <c r="A820" s="13"/>
      <c r="B820" s="13"/>
      <c r="C820" s="13"/>
      <c r="D820" s="13"/>
      <c r="E820" s="13"/>
      <c r="F820" s="13"/>
      <c r="G820" s="13"/>
      <c r="H820" s="13"/>
      <c r="I820" s="117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 spans="1:26">
      <c r="A821" s="13"/>
      <c r="B821" s="13"/>
      <c r="C821" s="13"/>
      <c r="D821" s="13"/>
      <c r="E821" s="13"/>
      <c r="F821" s="13"/>
      <c r="G821" s="13"/>
      <c r="H821" s="13"/>
      <c r="I821" s="117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 spans="1:26">
      <c r="A822" s="13"/>
      <c r="B822" s="13"/>
      <c r="C822" s="13"/>
      <c r="D822" s="13"/>
      <c r="E822" s="13"/>
      <c r="F822" s="13"/>
      <c r="G822" s="13"/>
      <c r="H822" s="13"/>
      <c r="I822" s="117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 spans="1:26">
      <c r="A823" s="13"/>
      <c r="B823" s="13"/>
      <c r="C823" s="13"/>
      <c r="D823" s="13"/>
      <c r="E823" s="13"/>
      <c r="F823" s="13"/>
      <c r="G823" s="13"/>
      <c r="H823" s="13"/>
      <c r="I823" s="117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 spans="1:26">
      <c r="A824" s="13"/>
      <c r="B824" s="13"/>
      <c r="C824" s="13"/>
      <c r="D824" s="13"/>
      <c r="E824" s="13"/>
      <c r="F824" s="13"/>
      <c r="G824" s="13"/>
      <c r="H824" s="13"/>
      <c r="I824" s="117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 spans="1:26">
      <c r="A825" s="13"/>
      <c r="B825" s="13"/>
      <c r="C825" s="13"/>
      <c r="D825" s="13"/>
      <c r="E825" s="13"/>
      <c r="F825" s="13"/>
      <c r="G825" s="13"/>
      <c r="H825" s="13"/>
      <c r="I825" s="117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 spans="1:26">
      <c r="A826" s="13"/>
      <c r="B826" s="13"/>
      <c r="C826" s="13"/>
      <c r="D826" s="13"/>
      <c r="E826" s="13"/>
      <c r="F826" s="13"/>
      <c r="G826" s="13"/>
      <c r="H826" s="13"/>
      <c r="I826" s="117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 spans="1:26">
      <c r="A827" s="13"/>
      <c r="B827" s="13"/>
      <c r="C827" s="13"/>
      <c r="D827" s="13"/>
      <c r="E827" s="13"/>
      <c r="F827" s="13"/>
      <c r="G827" s="13"/>
      <c r="H827" s="13"/>
      <c r="I827" s="117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 spans="1:26">
      <c r="A828" s="13"/>
      <c r="B828" s="13"/>
      <c r="C828" s="13"/>
      <c r="D828" s="13"/>
      <c r="E828" s="13"/>
      <c r="F828" s="13"/>
      <c r="G828" s="13"/>
      <c r="H828" s="13"/>
      <c r="I828" s="117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 spans="1:26">
      <c r="A829" s="13"/>
      <c r="B829" s="13"/>
      <c r="C829" s="13"/>
      <c r="D829" s="13"/>
      <c r="E829" s="13"/>
      <c r="F829" s="13"/>
      <c r="G829" s="13"/>
      <c r="H829" s="13"/>
      <c r="I829" s="117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 spans="1:26">
      <c r="A830" s="13"/>
      <c r="B830" s="13"/>
      <c r="C830" s="13"/>
      <c r="D830" s="13"/>
      <c r="E830" s="13"/>
      <c r="F830" s="13"/>
      <c r="G830" s="13"/>
      <c r="H830" s="13"/>
      <c r="I830" s="117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 spans="1:26">
      <c r="A831" s="13"/>
      <c r="B831" s="13"/>
      <c r="C831" s="13"/>
      <c r="D831" s="13"/>
      <c r="E831" s="13"/>
      <c r="F831" s="13"/>
      <c r="G831" s="13"/>
      <c r="H831" s="13"/>
      <c r="I831" s="117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 spans="1:26">
      <c r="A832" s="13"/>
      <c r="B832" s="13"/>
      <c r="C832" s="13"/>
      <c r="D832" s="13"/>
      <c r="E832" s="13"/>
      <c r="F832" s="13"/>
      <c r="G832" s="13"/>
      <c r="H832" s="13"/>
      <c r="I832" s="117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 spans="1:26">
      <c r="A833" s="13"/>
      <c r="B833" s="13"/>
      <c r="C833" s="13"/>
      <c r="D833" s="13"/>
      <c r="E833" s="13"/>
      <c r="F833" s="13"/>
      <c r="G833" s="13"/>
      <c r="H833" s="13"/>
      <c r="I833" s="117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 spans="1:26">
      <c r="A834" s="13"/>
      <c r="B834" s="13"/>
      <c r="C834" s="13"/>
      <c r="D834" s="13"/>
      <c r="E834" s="13"/>
      <c r="F834" s="13"/>
      <c r="G834" s="13"/>
      <c r="H834" s="13"/>
      <c r="I834" s="117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 spans="1:26">
      <c r="A835" s="13"/>
      <c r="B835" s="13"/>
      <c r="C835" s="13"/>
      <c r="D835" s="13"/>
      <c r="E835" s="13"/>
      <c r="F835" s="13"/>
      <c r="G835" s="13"/>
      <c r="H835" s="13"/>
      <c r="I835" s="117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 spans="1:26">
      <c r="A836" s="13"/>
      <c r="B836" s="13"/>
      <c r="C836" s="13"/>
      <c r="D836" s="13"/>
      <c r="E836" s="13"/>
      <c r="F836" s="13"/>
      <c r="G836" s="13"/>
      <c r="H836" s="13"/>
      <c r="I836" s="117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 spans="1:26">
      <c r="A837" s="13"/>
      <c r="B837" s="13"/>
      <c r="C837" s="13"/>
      <c r="D837" s="13"/>
      <c r="E837" s="13"/>
      <c r="F837" s="13"/>
      <c r="G837" s="13"/>
      <c r="H837" s="13"/>
      <c r="I837" s="117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 spans="1:26">
      <c r="A838" s="13"/>
      <c r="B838" s="13"/>
      <c r="C838" s="13"/>
      <c r="D838" s="13"/>
      <c r="E838" s="13"/>
      <c r="F838" s="13"/>
      <c r="G838" s="13"/>
      <c r="H838" s="13"/>
      <c r="I838" s="117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 spans="1:26">
      <c r="A839" s="13"/>
      <c r="B839" s="13"/>
      <c r="C839" s="13"/>
      <c r="D839" s="13"/>
      <c r="E839" s="13"/>
      <c r="F839" s="13"/>
      <c r="G839" s="13"/>
      <c r="H839" s="13"/>
      <c r="I839" s="117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 spans="1:26">
      <c r="A840" s="13"/>
      <c r="B840" s="13"/>
      <c r="C840" s="13"/>
      <c r="D840" s="13"/>
      <c r="E840" s="13"/>
      <c r="F840" s="13"/>
      <c r="G840" s="13"/>
      <c r="H840" s="13"/>
      <c r="I840" s="117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 spans="1:26">
      <c r="A841" s="13"/>
      <c r="B841" s="13"/>
      <c r="C841" s="13"/>
      <c r="D841" s="13"/>
      <c r="E841" s="13"/>
      <c r="F841" s="13"/>
      <c r="G841" s="13"/>
      <c r="H841" s="13"/>
      <c r="I841" s="117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 spans="1:26">
      <c r="A842" s="13"/>
      <c r="B842" s="13"/>
      <c r="C842" s="13"/>
      <c r="D842" s="13"/>
      <c r="E842" s="13"/>
      <c r="F842" s="13"/>
      <c r="G842" s="13"/>
      <c r="H842" s="13"/>
      <c r="I842" s="117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 spans="1:26">
      <c r="A843" s="13"/>
      <c r="B843" s="13"/>
      <c r="C843" s="13"/>
      <c r="D843" s="13"/>
      <c r="E843" s="13"/>
      <c r="F843" s="13"/>
      <c r="G843" s="13"/>
      <c r="H843" s="13"/>
      <c r="I843" s="117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 spans="1:26">
      <c r="A844" s="13"/>
      <c r="B844" s="13"/>
      <c r="C844" s="13"/>
      <c r="D844" s="13"/>
      <c r="E844" s="13"/>
      <c r="F844" s="13"/>
      <c r="G844" s="13"/>
      <c r="H844" s="13"/>
      <c r="I844" s="117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 spans="1:26">
      <c r="A845" s="13"/>
      <c r="B845" s="13"/>
      <c r="C845" s="13"/>
      <c r="D845" s="13"/>
      <c r="E845" s="13"/>
      <c r="F845" s="13"/>
      <c r="G845" s="13"/>
      <c r="H845" s="13"/>
      <c r="I845" s="117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 spans="1:26">
      <c r="A846" s="13"/>
      <c r="B846" s="13"/>
      <c r="C846" s="13"/>
      <c r="D846" s="13"/>
      <c r="E846" s="13"/>
      <c r="F846" s="13"/>
      <c r="G846" s="13"/>
      <c r="H846" s="13"/>
      <c r="I846" s="117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 spans="1:26">
      <c r="A847" s="13"/>
      <c r="B847" s="13"/>
      <c r="C847" s="13"/>
      <c r="D847" s="13"/>
      <c r="E847" s="13"/>
      <c r="F847" s="13"/>
      <c r="G847" s="13"/>
      <c r="H847" s="13"/>
      <c r="I847" s="117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 spans="1:26">
      <c r="A848" s="13"/>
      <c r="B848" s="13"/>
      <c r="C848" s="13"/>
      <c r="D848" s="13"/>
      <c r="E848" s="13"/>
      <c r="F848" s="13"/>
      <c r="G848" s="13"/>
      <c r="H848" s="13"/>
      <c r="I848" s="117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 spans="1:26">
      <c r="A849" s="13"/>
      <c r="B849" s="13"/>
      <c r="C849" s="13"/>
      <c r="D849" s="13"/>
      <c r="E849" s="13"/>
      <c r="F849" s="13"/>
      <c r="G849" s="13"/>
      <c r="H849" s="13"/>
      <c r="I849" s="117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 spans="1:26">
      <c r="A850" s="13"/>
      <c r="B850" s="13"/>
      <c r="C850" s="13"/>
      <c r="D850" s="13"/>
      <c r="E850" s="13"/>
      <c r="F850" s="13"/>
      <c r="G850" s="13"/>
      <c r="H850" s="13"/>
      <c r="I850" s="117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 spans="1:26">
      <c r="A851" s="13"/>
      <c r="B851" s="13"/>
      <c r="C851" s="13"/>
      <c r="D851" s="13"/>
      <c r="E851" s="13"/>
      <c r="F851" s="13"/>
      <c r="G851" s="13"/>
      <c r="H851" s="13"/>
      <c r="I851" s="117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 spans="1:26">
      <c r="A852" s="13"/>
      <c r="B852" s="13"/>
      <c r="C852" s="13"/>
      <c r="D852" s="13"/>
      <c r="E852" s="13"/>
      <c r="F852" s="13"/>
      <c r="G852" s="13"/>
      <c r="H852" s="13"/>
      <c r="I852" s="117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 spans="1:26">
      <c r="A853" s="13"/>
      <c r="B853" s="13"/>
      <c r="C853" s="13"/>
      <c r="D853" s="13"/>
      <c r="E853" s="13"/>
      <c r="F853" s="13"/>
      <c r="G853" s="13"/>
      <c r="H853" s="13"/>
      <c r="I853" s="117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 spans="1:26">
      <c r="A854" s="13"/>
      <c r="B854" s="13"/>
      <c r="C854" s="13"/>
      <c r="D854" s="13"/>
      <c r="E854" s="13"/>
      <c r="F854" s="13"/>
      <c r="G854" s="13"/>
      <c r="H854" s="13"/>
      <c r="I854" s="117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 spans="1:26">
      <c r="A855" s="13"/>
      <c r="B855" s="13"/>
      <c r="C855" s="13"/>
      <c r="D855" s="13"/>
      <c r="E855" s="13"/>
      <c r="F855" s="13"/>
      <c r="G855" s="13"/>
      <c r="H855" s="13"/>
      <c r="I855" s="117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 spans="1:26">
      <c r="A856" s="13"/>
      <c r="B856" s="13"/>
      <c r="C856" s="13"/>
      <c r="D856" s="13"/>
      <c r="E856" s="13"/>
      <c r="F856" s="13"/>
      <c r="G856" s="13"/>
      <c r="H856" s="13"/>
      <c r="I856" s="117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 spans="1:26">
      <c r="A857" s="13"/>
      <c r="B857" s="13"/>
      <c r="C857" s="13"/>
      <c r="D857" s="13"/>
      <c r="E857" s="13"/>
      <c r="F857" s="13"/>
      <c r="G857" s="13"/>
      <c r="H857" s="13"/>
      <c r="I857" s="117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 spans="1:26">
      <c r="A858" s="13"/>
      <c r="B858" s="13"/>
      <c r="C858" s="13"/>
      <c r="D858" s="13"/>
      <c r="E858" s="13"/>
      <c r="F858" s="13"/>
      <c r="G858" s="13"/>
      <c r="H858" s="13"/>
      <c r="I858" s="117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 spans="1:26">
      <c r="A859" s="13"/>
      <c r="B859" s="13"/>
      <c r="C859" s="13"/>
      <c r="D859" s="13"/>
      <c r="E859" s="13"/>
      <c r="F859" s="13"/>
      <c r="G859" s="13"/>
      <c r="H859" s="13"/>
      <c r="I859" s="117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 spans="1:26">
      <c r="A860" s="13"/>
      <c r="B860" s="13"/>
      <c r="C860" s="13"/>
      <c r="D860" s="13"/>
      <c r="E860" s="13"/>
      <c r="F860" s="13"/>
      <c r="G860" s="13"/>
      <c r="H860" s="13"/>
      <c r="I860" s="117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 spans="1:26">
      <c r="A861" s="13"/>
      <c r="B861" s="13"/>
      <c r="C861" s="13"/>
      <c r="D861" s="13"/>
      <c r="E861" s="13"/>
      <c r="F861" s="13"/>
      <c r="G861" s="13"/>
      <c r="H861" s="13"/>
      <c r="I861" s="117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 spans="1:26">
      <c r="A862" s="13"/>
      <c r="B862" s="13"/>
      <c r="C862" s="13"/>
      <c r="D862" s="13"/>
      <c r="E862" s="13"/>
      <c r="F862" s="13"/>
      <c r="G862" s="13"/>
      <c r="H862" s="13"/>
      <c r="I862" s="117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 spans="1:26">
      <c r="A863" s="13"/>
      <c r="B863" s="13"/>
      <c r="C863" s="13"/>
      <c r="D863" s="13"/>
      <c r="E863" s="13"/>
      <c r="F863" s="13"/>
      <c r="G863" s="13"/>
      <c r="H863" s="13"/>
      <c r="I863" s="117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 spans="1:26">
      <c r="A864" s="13"/>
      <c r="B864" s="13"/>
      <c r="C864" s="13"/>
      <c r="D864" s="13"/>
      <c r="E864" s="13"/>
      <c r="F864" s="13"/>
      <c r="G864" s="13"/>
      <c r="H864" s="13"/>
      <c r="I864" s="117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 spans="1:26">
      <c r="A865" s="13"/>
      <c r="B865" s="13"/>
      <c r="C865" s="13"/>
      <c r="D865" s="13"/>
      <c r="E865" s="13"/>
      <c r="F865" s="13"/>
      <c r="G865" s="13"/>
      <c r="H865" s="13"/>
      <c r="I865" s="117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 spans="1:26">
      <c r="A866" s="13"/>
      <c r="B866" s="13"/>
      <c r="C866" s="13"/>
      <c r="D866" s="13"/>
      <c r="E866" s="13"/>
      <c r="F866" s="13"/>
      <c r="G866" s="13"/>
      <c r="H866" s="13"/>
      <c r="I866" s="117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 spans="1:26">
      <c r="A867" s="13"/>
      <c r="B867" s="13"/>
      <c r="C867" s="13"/>
      <c r="D867" s="13"/>
      <c r="E867" s="13"/>
      <c r="F867" s="13"/>
      <c r="G867" s="13"/>
      <c r="H867" s="13"/>
      <c r="I867" s="117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 spans="1:26">
      <c r="A868" s="13"/>
      <c r="B868" s="13"/>
      <c r="C868" s="13"/>
      <c r="D868" s="13"/>
      <c r="E868" s="13"/>
      <c r="F868" s="13"/>
      <c r="G868" s="13"/>
      <c r="H868" s="13"/>
      <c r="I868" s="117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 spans="1:26">
      <c r="A869" s="13"/>
      <c r="B869" s="13"/>
      <c r="C869" s="13"/>
      <c r="D869" s="13"/>
      <c r="E869" s="13"/>
      <c r="F869" s="13"/>
      <c r="G869" s="13"/>
      <c r="H869" s="13"/>
      <c r="I869" s="117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 spans="1:26">
      <c r="A870" s="13"/>
      <c r="B870" s="13"/>
      <c r="C870" s="13"/>
      <c r="D870" s="13"/>
      <c r="E870" s="13"/>
      <c r="F870" s="13"/>
      <c r="G870" s="13"/>
      <c r="H870" s="13"/>
      <c r="I870" s="117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 G8:G17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69"/>
  <sheetViews>
    <sheetView workbookViewId="0">
      <pane ySplit="8" topLeftCell="A9" activePane="bottomLeft" state="frozen"/>
      <selection/>
      <selection pane="bottomLeft" activeCell="F10" sqref="F10"/>
    </sheetView>
  </sheetViews>
  <sheetFormatPr defaultColWidth="12.6333333333333" defaultRowHeight="15" customHeight="1"/>
  <cols>
    <col min="1" max="1" width="20.75" style="53" customWidth="1"/>
    <col min="2" max="2" width="19.1333333333333" style="53" customWidth="1"/>
    <col min="3" max="3" width="25.6333333333333" style="53" customWidth="1"/>
    <col min="4" max="4" width="28.5" style="53" customWidth="1"/>
    <col min="5" max="5" width="28.1333333333333" style="53" customWidth="1"/>
    <col min="6" max="6" width="28.3833333333333" style="53" customWidth="1"/>
    <col min="7" max="7" width="9" style="53" customWidth="1"/>
    <col min="8" max="8" width="17.6333333333333" style="53" customWidth="1"/>
    <col min="9" max="9" width="8.13333333333333" style="53" customWidth="1"/>
    <col min="10" max="10" width="3.88333333333333" style="53" hidden="1" customWidth="1"/>
    <col min="11" max="26" width="10" style="53" customWidth="1"/>
    <col min="27" max="16384" width="12.6333333333333" style="53"/>
  </cols>
  <sheetData>
    <row r="1" ht="12.75" customHeight="1" spans="1:26">
      <c r="A1" s="54"/>
      <c r="B1" s="55"/>
      <c r="C1" s="55"/>
      <c r="D1" s="55"/>
      <c r="E1" s="55"/>
      <c r="F1" s="56"/>
      <c r="G1" s="57"/>
      <c r="H1" s="58"/>
      <c r="I1" s="8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customHeight="1" spans="1:26">
      <c r="A2" s="59" t="s">
        <v>54</v>
      </c>
      <c r="B2" s="60" t="s">
        <v>51</v>
      </c>
      <c r="C2" s="61"/>
      <c r="D2" s="61"/>
      <c r="E2" s="61"/>
      <c r="F2" s="62"/>
      <c r="G2" s="58"/>
      <c r="H2" s="58"/>
      <c r="I2" s="86"/>
      <c r="J2" s="76" t="s">
        <v>55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5.5" customHeight="1" spans="1:26">
      <c r="A3" s="63" t="s">
        <v>56</v>
      </c>
      <c r="B3" s="60" t="s">
        <v>248</v>
      </c>
      <c r="C3" s="61"/>
      <c r="D3" s="61"/>
      <c r="E3" s="61"/>
      <c r="F3" s="62"/>
      <c r="G3" s="58"/>
      <c r="H3" s="58"/>
      <c r="I3" s="86"/>
      <c r="J3" s="76" t="s">
        <v>58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8" customHeight="1" spans="1:26">
      <c r="A4" s="59" t="s">
        <v>59</v>
      </c>
      <c r="B4" s="64" t="s">
        <v>49</v>
      </c>
      <c r="C4" s="65"/>
      <c r="D4" s="65"/>
      <c r="E4" s="65"/>
      <c r="F4" s="66"/>
      <c r="G4" s="58"/>
      <c r="H4" s="58"/>
      <c r="I4" s="86"/>
      <c r="J4" s="87"/>
      <c r="K4" s="76"/>
      <c r="L4" s="92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9.5" customHeight="1" spans="1:26">
      <c r="A5" s="67" t="s">
        <v>55</v>
      </c>
      <c r="B5" s="68" t="s">
        <v>58</v>
      </c>
      <c r="C5" s="68" t="s">
        <v>60</v>
      </c>
      <c r="D5" s="69" t="s">
        <v>61</v>
      </c>
      <c r="E5" s="69" t="s">
        <v>62</v>
      </c>
      <c r="F5" s="62"/>
      <c r="G5" s="70"/>
      <c r="H5" s="70"/>
      <c r="I5" s="88"/>
      <c r="J5" s="76" t="s">
        <v>63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customHeight="1" spans="1:26">
      <c r="A6" s="71">
        <f>COUNTIF(F10:G867,"Pass")</f>
        <v>2</v>
      </c>
      <c r="B6" s="72">
        <f>COUNTIF(F10:G867,"Fail")</f>
        <v>3</v>
      </c>
      <c r="C6" s="72">
        <f>E6-D6-B6-A6</f>
        <v>1</v>
      </c>
      <c r="D6" s="73">
        <f>COUNTIF(F$9:F$867,"N/A")</f>
        <v>0</v>
      </c>
      <c r="E6" s="74">
        <f>COUNTA(A9:A867)</f>
        <v>6</v>
      </c>
      <c r="F6" s="75"/>
      <c r="G6" s="70"/>
      <c r="H6" s="70"/>
      <c r="I6" s="88"/>
      <c r="J6" s="76" t="s">
        <v>61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customHeight="1" spans="1:26">
      <c r="A7" s="76"/>
      <c r="B7" s="76"/>
      <c r="C7" s="76"/>
      <c r="D7" s="77"/>
      <c r="E7" s="77"/>
      <c r="F7" s="70"/>
      <c r="G7" s="70"/>
      <c r="H7" s="70"/>
      <c r="I7" s="88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5.5" customHeight="1" spans="1:26">
      <c r="A8" s="78" t="s">
        <v>64</v>
      </c>
      <c r="B8" s="78" t="s">
        <v>65</v>
      </c>
      <c r="C8" s="78" t="s">
        <v>66</v>
      </c>
      <c r="D8" s="78" t="s">
        <v>67</v>
      </c>
      <c r="E8" s="78" t="s">
        <v>68</v>
      </c>
      <c r="F8" s="79" t="s">
        <v>69</v>
      </c>
      <c r="G8" s="79" t="s">
        <v>70</v>
      </c>
      <c r="H8" s="79" t="s">
        <v>71</v>
      </c>
      <c r="I8" s="78" t="s">
        <v>72</v>
      </c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3.5" spans="1:26">
      <c r="A9" s="80"/>
      <c r="B9" s="81" t="s">
        <v>73</v>
      </c>
      <c r="C9" s="80"/>
      <c r="D9" s="80"/>
      <c r="E9" s="80"/>
      <c r="F9" s="80"/>
      <c r="G9" s="80"/>
      <c r="H9" s="80"/>
      <c r="I9" s="89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51" spans="1:26">
      <c r="A10" s="82" t="str">
        <f>IF(OR(B10&lt;&gt;"",E10&lt;&gt;""),"["&amp;TEXT($B$2,"##")&amp;"-"&amp;TEXT(ROW()-9,"##")&amp;"]","")</f>
        <v>[M_them_danh_muc-1]</v>
      </c>
      <c r="B10" s="82" t="s">
        <v>249</v>
      </c>
      <c r="C10" s="82" t="s">
        <v>250</v>
      </c>
      <c r="D10" s="82" t="s">
        <v>251</v>
      </c>
      <c r="E10" s="82" t="s">
        <v>252</v>
      </c>
      <c r="F10" s="83"/>
      <c r="G10" s="82" t="s">
        <v>58</v>
      </c>
      <c r="H10" s="92">
        <v>45992</v>
      </c>
      <c r="I10" s="82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3.5" spans="1:26">
      <c r="A11" s="80"/>
      <c r="B11" s="81" t="s">
        <v>80</v>
      </c>
      <c r="C11" s="80"/>
      <c r="D11" s="80"/>
      <c r="E11" s="80"/>
      <c r="F11" s="80"/>
      <c r="G11" s="80"/>
      <c r="H11" s="80"/>
      <c r="I11" s="89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51" spans="1:26">
      <c r="A12" s="82" t="str">
        <f>IF(OR(B10&lt;&gt;"",E10&lt;&gt;""),"["&amp;TEXT($B$2,"##")&amp;"-"&amp;TEXT(ROW()-9,"##")&amp;"]","")</f>
        <v>[M_them_danh_muc-3]</v>
      </c>
      <c r="B12" s="82" t="s">
        <v>253</v>
      </c>
      <c r="C12" s="82" t="s">
        <v>254</v>
      </c>
      <c r="D12" s="82" t="s">
        <v>255</v>
      </c>
      <c r="E12" s="82" t="s">
        <v>256</v>
      </c>
      <c r="F12" s="83"/>
      <c r="G12" s="82" t="s">
        <v>58</v>
      </c>
      <c r="H12" s="92">
        <v>45992</v>
      </c>
      <c r="I12" s="82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51" spans="1:26">
      <c r="A13" s="82" t="str">
        <f>IF(OR(B10&lt;&gt;"",E10&lt;&gt;""),"["&amp;TEXT($B$2,"##")&amp;"-"&amp;TEXT(ROW()-9,"##")&amp;"]","")</f>
        <v>[M_them_danh_muc-4]</v>
      </c>
      <c r="B13" s="82" t="s">
        <v>257</v>
      </c>
      <c r="C13" s="82" t="s">
        <v>258</v>
      </c>
      <c r="D13" s="82" t="s">
        <v>259</v>
      </c>
      <c r="E13" s="82" t="s">
        <v>260</v>
      </c>
      <c r="F13" s="83"/>
      <c r="G13" s="82" t="s">
        <v>55</v>
      </c>
      <c r="H13" s="92">
        <v>45992</v>
      </c>
      <c r="I13" s="83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51" spans="1:26">
      <c r="A14" s="82" t="str">
        <f>IF(OR(B10&lt;&gt;"",E10&lt;&gt;""),"["&amp;TEXT($B$2,"##")&amp;"-"&amp;TEXT(ROW()-9,"##")&amp;"]","")</f>
        <v>[M_them_danh_muc-5]</v>
      </c>
      <c r="B14" s="82" t="s">
        <v>261</v>
      </c>
      <c r="C14" s="82" t="s">
        <v>262</v>
      </c>
      <c r="D14" s="82" t="s">
        <v>259</v>
      </c>
      <c r="E14" s="82" t="s">
        <v>263</v>
      </c>
      <c r="F14" s="82" t="s">
        <v>184</v>
      </c>
      <c r="G14" s="82" t="s">
        <v>63</v>
      </c>
      <c r="H14" s="92">
        <v>45992</v>
      </c>
      <c r="I14" s="90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51" spans="1:26">
      <c r="A15" s="82" t="str">
        <f>IF(OR(B10&lt;&gt;"",E10&lt;&gt;""),"["&amp;TEXT($B$2,"##")&amp;"-"&amp;TEXT(ROW()-9,"##")&amp;"]","")</f>
        <v>[M_them_danh_muc-6]</v>
      </c>
      <c r="B15" s="82" t="s">
        <v>264</v>
      </c>
      <c r="C15" s="82" t="s">
        <v>265</v>
      </c>
      <c r="D15" s="82" t="s">
        <v>266</v>
      </c>
      <c r="E15" s="82" t="s">
        <v>267</v>
      </c>
      <c r="F15" s="82" t="s">
        <v>184</v>
      </c>
      <c r="G15" s="82" t="s">
        <v>58</v>
      </c>
      <c r="H15" s="92">
        <v>45992</v>
      </c>
      <c r="I15" s="82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51" spans="1:26">
      <c r="A16" s="82" t="str">
        <f>IF(OR(B10&lt;&gt;"",E10&lt;&gt;""),"["&amp;TEXT($B$2,"##")&amp;"-"&amp;TEXT(ROW()-9,"##")&amp;"]","")</f>
        <v>[M_them_danh_muc-7]</v>
      </c>
      <c r="B16" s="82" t="s">
        <v>268</v>
      </c>
      <c r="C16" s="82" t="s">
        <v>269</v>
      </c>
      <c r="D16" s="82" t="s">
        <v>270</v>
      </c>
      <c r="E16" s="82" t="s">
        <v>271</v>
      </c>
      <c r="F16" s="83"/>
      <c r="G16" s="82" t="s">
        <v>55</v>
      </c>
      <c r="H16" s="92">
        <v>45992</v>
      </c>
      <c r="I16" s="90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12.75" customHeight="1" spans="1:26">
      <c r="A17" s="85"/>
      <c r="B17" s="85"/>
      <c r="C17" s="85"/>
      <c r="D17" s="85"/>
      <c r="E17" s="85"/>
      <c r="F17" s="85"/>
      <c r="G17" s="85"/>
      <c r="H17" s="85"/>
      <c r="I17" s="91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2.75" customHeight="1" spans="1:26">
      <c r="A18" s="85"/>
      <c r="B18" s="85"/>
      <c r="C18" s="85"/>
      <c r="D18" s="85"/>
      <c r="E18" s="85"/>
      <c r="F18" s="85"/>
      <c r="G18" s="85"/>
      <c r="H18" s="85"/>
      <c r="I18" s="91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2.75" customHeight="1" spans="1:26">
      <c r="A19" s="85"/>
      <c r="B19" s="85"/>
      <c r="C19" s="85"/>
      <c r="D19" s="85"/>
      <c r="E19" s="85"/>
      <c r="F19" s="85"/>
      <c r="G19" s="85"/>
      <c r="H19" s="85"/>
      <c r="I19" s="91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2.75" customHeight="1" spans="1:26">
      <c r="A20" s="85"/>
      <c r="B20" s="85"/>
      <c r="C20" s="85"/>
      <c r="D20" s="85"/>
      <c r="E20" s="85"/>
      <c r="F20" s="85"/>
      <c r="G20" s="85"/>
      <c r="H20" s="85"/>
      <c r="I20" s="91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2.75" customHeight="1" spans="1:26">
      <c r="A21" s="85"/>
      <c r="B21" s="85"/>
      <c r="C21" s="85"/>
      <c r="D21" s="85"/>
      <c r="E21" s="85"/>
      <c r="F21" s="85"/>
      <c r="G21" s="85"/>
      <c r="H21" s="85"/>
      <c r="I21" s="91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2.75" customHeight="1" spans="1:26">
      <c r="A22" s="85"/>
      <c r="B22" s="85"/>
      <c r="C22" s="85"/>
      <c r="D22" s="85"/>
      <c r="E22" s="85"/>
      <c r="F22" s="85"/>
      <c r="G22" s="85"/>
      <c r="H22" s="85"/>
      <c r="I22" s="91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2.75" customHeight="1" spans="1:26">
      <c r="A23" s="85"/>
      <c r="B23" s="85"/>
      <c r="C23" s="85"/>
      <c r="D23" s="85"/>
      <c r="E23" s="85"/>
      <c r="F23" s="85"/>
      <c r="G23" s="85"/>
      <c r="H23" s="85"/>
      <c r="I23" s="91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2.75" customHeight="1" spans="1:26">
      <c r="A24" s="85"/>
      <c r="B24" s="85"/>
      <c r="C24" s="85"/>
      <c r="D24" s="85"/>
      <c r="E24" s="85"/>
      <c r="F24" s="85"/>
      <c r="G24" s="85"/>
      <c r="H24" s="85"/>
      <c r="I24" s="91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2.75" customHeight="1" spans="1:26">
      <c r="A25" s="85"/>
      <c r="B25" s="85"/>
      <c r="C25" s="85"/>
      <c r="D25" s="85"/>
      <c r="E25" s="85"/>
      <c r="F25" s="85"/>
      <c r="G25" s="85"/>
      <c r="H25" s="85"/>
      <c r="I25" s="91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2.75" customHeight="1" spans="1:26">
      <c r="A26" s="85"/>
      <c r="B26" s="85"/>
      <c r="C26" s="85"/>
      <c r="D26" s="85"/>
      <c r="E26" s="85"/>
      <c r="F26" s="85"/>
      <c r="G26" s="85"/>
      <c r="H26" s="85"/>
      <c r="I26" s="91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2.75" customHeight="1" spans="1:26">
      <c r="A27" s="85"/>
      <c r="B27" s="85"/>
      <c r="C27" s="85"/>
      <c r="D27" s="85"/>
      <c r="E27" s="85"/>
      <c r="F27" s="85"/>
      <c r="G27" s="85"/>
      <c r="H27" s="85"/>
      <c r="I27" s="91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2.75" customHeight="1" spans="1:26">
      <c r="A28" s="85"/>
      <c r="B28" s="85"/>
      <c r="C28" s="85"/>
      <c r="D28" s="85"/>
      <c r="E28" s="85"/>
      <c r="F28" s="85"/>
      <c r="G28" s="85"/>
      <c r="H28" s="85"/>
      <c r="I28" s="91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2.75" customHeight="1" spans="1:26">
      <c r="A29" s="85"/>
      <c r="B29" s="85"/>
      <c r="C29" s="85"/>
      <c r="D29" s="85"/>
      <c r="E29" s="85"/>
      <c r="F29" s="85"/>
      <c r="G29" s="85"/>
      <c r="H29" s="85"/>
      <c r="I29" s="91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2.75" customHeight="1" spans="1:26">
      <c r="A30" s="85"/>
      <c r="B30" s="85"/>
      <c r="C30" s="85"/>
      <c r="D30" s="85"/>
      <c r="E30" s="85"/>
      <c r="F30" s="85"/>
      <c r="G30" s="85"/>
      <c r="H30" s="85"/>
      <c r="I30" s="91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2.75" customHeight="1" spans="1:26">
      <c r="A31" s="85"/>
      <c r="B31" s="85"/>
      <c r="C31" s="85"/>
      <c r="D31" s="85"/>
      <c r="E31" s="85"/>
      <c r="F31" s="85"/>
      <c r="G31" s="85"/>
      <c r="H31" s="85"/>
      <c r="I31" s="91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2.75" customHeight="1" spans="1:26">
      <c r="A32" s="85"/>
      <c r="B32" s="85"/>
      <c r="C32" s="85"/>
      <c r="D32" s="85"/>
      <c r="E32" s="85"/>
      <c r="F32" s="85"/>
      <c r="G32" s="85"/>
      <c r="H32" s="85"/>
      <c r="I32" s="91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2.75" customHeight="1" spans="1:26">
      <c r="A33" s="85"/>
      <c r="B33" s="85"/>
      <c r="C33" s="85"/>
      <c r="D33" s="85"/>
      <c r="E33" s="85"/>
      <c r="F33" s="85"/>
      <c r="G33" s="85"/>
      <c r="H33" s="85"/>
      <c r="I33" s="91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2.75" customHeight="1" spans="1:26">
      <c r="A34" s="85"/>
      <c r="B34" s="85"/>
      <c r="C34" s="85"/>
      <c r="D34" s="85"/>
      <c r="E34" s="85"/>
      <c r="F34" s="85"/>
      <c r="G34" s="85"/>
      <c r="H34" s="85"/>
      <c r="I34" s="91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2.75" customHeight="1" spans="1:26">
      <c r="A35" s="85"/>
      <c r="B35" s="85"/>
      <c r="C35" s="85"/>
      <c r="D35" s="85"/>
      <c r="E35" s="85"/>
      <c r="F35" s="85"/>
      <c r="G35" s="85"/>
      <c r="H35" s="85"/>
      <c r="I35" s="91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2.75" customHeight="1" spans="1:26">
      <c r="A36" s="85"/>
      <c r="B36" s="85"/>
      <c r="C36" s="85"/>
      <c r="D36" s="85"/>
      <c r="E36" s="85"/>
      <c r="F36" s="85"/>
      <c r="G36" s="85"/>
      <c r="H36" s="85"/>
      <c r="I36" s="91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2.75" customHeight="1" spans="1:26">
      <c r="A37" s="85"/>
      <c r="B37" s="85"/>
      <c r="C37" s="85"/>
      <c r="D37" s="85"/>
      <c r="E37" s="85"/>
      <c r="F37" s="85"/>
      <c r="G37" s="85"/>
      <c r="H37" s="85"/>
      <c r="I37" s="91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2.75" customHeight="1" spans="1:26">
      <c r="A38" s="85"/>
      <c r="B38" s="85"/>
      <c r="C38" s="85"/>
      <c r="D38" s="85"/>
      <c r="E38" s="85"/>
      <c r="F38" s="85"/>
      <c r="G38" s="85"/>
      <c r="H38" s="85"/>
      <c r="I38" s="91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2.75" customHeight="1" spans="1:26">
      <c r="A39" s="85"/>
      <c r="B39" s="85"/>
      <c r="C39" s="85"/>
      <c r="D39" s="85"/>
      <c r="E39" s="85"/>
      <c r="F39" s="85"/>
      <c r="G39" s="85"/>
      <c r="H39" s="85"/>
      <c r="I39" s="91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2.75" customHeight="1" spans="1:26">
      <c r="A40" s="85"/>
      <c r="B40" s="85"/>
      <c r="C40" s="85"/>
      <c r="D40" s="85"/>
      <c r="E40" s="85"/>
      <c r="F40" s="85"/>
      <c r="G40" s="85"/>
      <c r="H40" s="85"/>
      <c r="I40" s="91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2.75" customHeight="1" spans="1:26">
      <c r="A41" s="85"/>
      <c r="B41" s="85"/>
      <c r="C41" s="85"/>
      <c r="D41" s="85"/>
      <c r="E41" s="85"/>
      <c r="F41" s="85"/>
      <c r="G41" s="85"/>
      <c r="H41" s="85"/>
      <c r="I41" s="91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2.75" customHeight="1" spans="1:26">
      <c r="A42" s="85"/>
      <c r="B42" s="85"/>
      <c r="C42" s="85"/>
      <c r="D42" s="85"/>
      <c r="E42" s="85"/>
      <c r="F42" s="85"/>
      <c r="G42" s="85"/>
      <c r="H42" s="85"/>
      <c r="I42" s="91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2.75" customHeight="1" spans="1:26">
      <c r="A43" s="85"/>
      <c r="B43" s="85"/>
      <c r="C43" s="85"/>
      <c r="D43" s="85"/>
      <c r="E43" s="85"/>
      <c r="F43" s="85"/>
      <c r="G43" s="85"/>
      <c r="H43" s="85"/>
      <c r="I43" s="91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2.75" customHeight="1" spans="1:26">
      <c r="A44" s="85"/>
      <c r="B44" s="85"/>
      <c r="C44" s="85"/>
      <c r="D44" s="85"/>
      <c r="E44" s="85"/>
      <c r="F44" s="85"/>
      <c r="G44" s="85"/>
      <c r="H44" s="85"/>
      <c r="I44" s="91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2.75" customHeight="1" spans="1:26">
      <c r="A45" s="85"/>
      <c r="B45" s="85"/>
      <c r="C45" s="85"/>
      <c r="D45" s="85"/>
      <c r="E45" s="85"/>
      <c r="F45" s="85"/>
      <c r="G45" s="85"/>
      <c r="H45" s="85"/>
      <c r="I45" s="91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2.75" customHeight="1" spans="1:26">
      <c r="A46" s="85"/>
      <c r="B46" s="85"/>
      <c r="C46" s="85"/>
      <c r="D46" s="85"/>
      <c r="E46" s="85"/>
      <c r="F46" s="85"/>
      <c r="G46" s="85"/>
      <c r="H46" s="85"/>
      <c r="I46" s="91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2.75" customHeight="1" spans="1:26">
      <c r="A47" s="85"/>
      <c r="B47" s="85"/>
      <c r="C47" s="85"/>
      <c r="D47" s="85"/>
      <c r="E47" s="85"/>
      <c r="F47" s="85"/>
      <c r="G47" s="85"/>
      <c r="H47" s="85"/>
      <c r="I47" s="91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2.75" customHeight="1" spans="1:26">
      <c r="A48" s="85"/>
      <c r="B48" s="85"/>
      <c r="C48" s="85"/>
      <c r="D48" s="85"/>
      <c r="E48" s="85"/>
      <c r="F48" s="85"/>
      <c r="G48" s="85"/>
      <c r="H48" s="85"/>
      <c r="I48" s="91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2.75" customHeight="1" spans="1:26">
      <c r="A49" s="85"/>
      <c r="B49" s="85"/>
      <c r="C49" s="85"/>
      <c r="D49" s="85"/>
      <c r="E49" s="85"/>
      <c r="F49" s="85"/>
      <c r="G49" s="85"/>
      <c r="H49" s="85"/>
      <c r="I49" s="91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2.75" customHeight="1" spans="1:26">
      <c r="A50" s="85"/>
      <c r="B50" s="85"/>
      <c r="C50" s="85"/>
      <c r="D50" s="85"/>
      <c r="E50" s="85"/>
      <c r="F50" s="85"/>
      <c r="G50" s="85"/>
      <c r="H50" s="85"/>
      <c r="I50" s="91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2.75" customHeight="1" spans="1:26">
      <c r="A51" s="85"/>
      <c r="B51" s="85"/>
      <c r="C51" s="85"/>
      <c r="D51" s="85"/>
      <c r="E51" s="85"/>
      <c r="F51" s="85"/>
      <c r="G51" s="85"/>
      <c r="H51" s="85"/>
      <c r="I51" s="91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2.75" customHeight="1" spans="1:26">
      <c r="A52" s="85"/>
      <c r="B52" s="85"/>
      <c r="C52" s="85"/>
      <c r="D52" s="85"/>
      <c r="E52" s="85"/>
      <c r="F52" s="85"/>
      <c r="G52" s="85"/>
      <c r="H52" s="85"/>
      <c r="I52" s="91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2.75" customHeight="1" spans="1:26">
      <c r="A53" s="85"/>
      <c r="B53" s="85"/>
      <c r="C53" s="85"/>
      <c r="D53" s="85"/>
      <c r="E53" s="85"/>
      <c r="F53" s="85"/>
      <c r="G53" s="85"/>
      <c r="H53" s="85"/>
      <c r="I53" s="91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2.75" customHeight="1" spans="1:26">
      <c r="A54" s="85"/>
      <c r="B54" s="85"/>
      <c r="C54" s="85"/>
      <c r="D54" s="85"/>
      <c r="E54" s="85"/>
      <c r="F54" s="85"/>
      <c r="G54" s="85"/>
      <c r="H54" s="85"/>
      <c r="I54" s="91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2.75" customHeight="1" spans="1:26">
      <c r="A55" s="85"/>
      <c r="B55" s="85"/>
      <c r="C55" s="85"/>
      <c r="D55" s="85"/>
      <c r="E55" s="85"/>
      <c r="F55" s="85"/>
      <c r="G55" s="85"/>
      <c r="H55" s="85"/>
      <c r="I55" s="91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2.75" customHeight="1" spans="1:26">
      <c r="A56" s="85"/>
      <c r="B56" s="85"/>
      <c r="C56" s="85"/>
      <c r="D56" s="85"/>
      <c r="E56" s="85"/>
      <c r="F56" s="85"/>
      <c r="G56" s="85"/>
      <c r="H56" s="85"/>
      <c r="I56" s="91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2.75" customHeight="1" spans="1:26">
      <c r="A57" s="85"/>
      <c r="B57" s="85"/>
      <c r="C57" s="85"/>
      <c r="D57" s="85"/>
      <c r="E57" s="85"/>
      <c r="F57" s="85"/>
      <c r="G57" s="85"/>
      <c r="H57" s="85"/>
      <c r="I57" s="91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2.75" customHeight="1" spans="1:26">
      <c r="A58" s="85"/>
      <c r="B58" s="85"/>
      <c r="C58" s="85"/>
      <c r="D58" s="85"/>
      <c r="E58" s="85"/>
      <c r="F58" s="85"/>
      <c r="G58" s="85"/>
      <c r="H58" s="85"/>
      <c r="I58" s="91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2.75" customHeight="1" spans="1:26">
      <c r="A59" s="85"/>
      <c r="B59" s="85"/>
      <c r="C59" s="85"/>
      <c r="D59" s="85"/>
      <c r="E59" s="85"/>
      <c r="F59" s="85"/>
      <c r="G59" s="85"/>
      <c r="H59" s="85"/>
      <c r="I59" s="91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2.75" customHeight="1" spans="1:26">
      <c r="A60" s="85"/>
      <c r="B60" s="85"/>
      <c r="C60" s="85"/>
      <c r="D60" s="85"/>
      <c r="E60" s="85"/>
      <c r="F60" s="85"/>
      <c r="G60" s="85"/>
      <c r="H60" s="85"/>
      <c r="I60" s="91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2.75" customHeight="1" spans="1:26">
      <c r="A61" s="85"/>
      <c r="B61" s="85"/>
      <c r="C61" s="85"/>
      <c r="D61" s="85"/>
      <c r="E61" s="85"/>
      <c r="F61" s="85"/>
      <c r="G61" s="85"/>
      <c r="H61" s="85"/>
      <c r="I61" s="91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2.75" customHeight="1" spans="1:26">
      <c r="A62" s="85"/>
      <c r="B62" s="85"/>
      <c r="C62" s="85"/>
      <c r="D62" s="85"/>
      <c r="E62" s="85"/>
      <c r="F62" s="85"/>
      <c r="G62" s="85"/>
      <c r="H62" s="85"/>
      <c r="I62" s="91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2.75" customHeight="1" spans="1:26">
      <c r="A63" s="85"/>
      <c r="B63" s="85"/>
      <c r="C63" s="85"/>
      <c r="D63" s="85"/>
      <c r="E63" s="85"/>
      <c r="F63" s="85"/>
      <c r="G63" s="85"/>
      <c r="H63" s="85"/>
      <c r="I63" s="91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2.75" customHeight="1" spans="1:26">
      <c r="A64" s="85"/>
      <c r="B64" s="85"/>
      <c r="C64" s="85"/>
      <c r="D64" s="85"/>
      <c r="E64" s="85"/>
      <c r="F64" s="85"/>
      <c r="G64" s="85"/>
      <c r="H64" s="85"/>
      <c r="I64" s="91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2.75" customHeight="1" spans="1:26">
      <c r="A65" s="85"/>
      <c r="B65" s="85"/>
      <c r="C65" s="85"/>
      <c r="D65" s="85"/>
      <c r="E65" s="85"/>
      <c r="F65" s="85"/>
      <c r="G65" s="85"/>
      <c r="H65" s="85"/>
      <c r="I65" s="91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2.75" customHeight="1" spans="1:26">
      <c r="A66" s="85"/>
      <c r="B66" s="85"/>
      <c r="C66" s="85"/>
      <c r="D66" s="85"/>
      <c r="E66" s="85"/>
      <c r="F66" s="85"/>
      <c r="G66" s="85"/>
      <c r="H66" s="85"/>
      <c r="I66" s="91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2.75" customHeight="1" spans="1:26">
      <c r="A67" s="85"/>
      <c r="B67" s="85"/>
      <c r="C67" s="85"/>
      <c r="D67" s="85"/>
      <c r="E67" s="85"/>
      <c r="F67" s="85"/>
      <c r="G67" s="85"/>
      <c r="H67" s="85"/>
      <c r="I67" s="91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2.75" customHeight="1" spans="1:26">
      <c r="A68" s="85"/>
      <c r="B68" s="85"/>
      <c r="C68" s="85"/>
      <c r="D68" s="85"/>
      <c r="E68" s="85"/>
      <c r="F68" s="85"/>
      <c r="G68" s="85"/>
      <c r="H68" s="85"/>
      <c r="I68" s="91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2.75" customHeight="1" spans="1:26">
      <c r="A69" s="85"/>
      <c r="B69" s="85"/>
      <c r="C69" s="85"/>
      <c r="D69" s="85"/>
      <c r="E69" s="85"/>
      <c r="F69" s="85"/>
      <c r="G69" s="85"/>
      <c r="H69" s="85"/>
      <c r="I69" s="91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2.75" customHeight="1" spans="1:26">
      <c r="A70" s="85"/>
      <c r="B70" s="85"/>
      <c r="C70" s="85"/>
      <c r="D70" s="85"/>
      <c r="E70" s="85"/>
      <c r="F70" s="85"/>
      <c r="G70" s="85"/>
      <c r="H70" s="85"/>
      <c r="I70" s="91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2.75" customHeight="1" spans="1:26">
      <c r="A71" s="85"/>
      <c r="B71" s="85"/>
      <c r="C71" s="85"/>
      <c r="D71" s="85"/>
      <c r="E71" s="85"/>
      <c r="F71" s="85"/>
      <c r="G71" s="85"/>
      <c r="H71" s="85"/>
      <c r="I71" s="91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2.75" customHeight="1" spans="1:26">
      <c r="A72" s="85"/>
      <c r="B72" s="85"/>
      <c r="C72" s="85"/>
      <c r="D72" s="85"/>
      <c r="E72" s="85"/>
      <c r="F72" s="85"/>
      <c r="G72" s="85"/>
      <c r="H72" s="85"/>
      <c r="I72" s="91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2.75" customHeight="1" spans="1:26">
      <c r="A73" s="85"/>
      <c r="B73" s="85"/>
      <c r="C73" s="85"/>
      <c r="D73" s="85"/>
      <c r="E73" s="85"/>
      <c r="F73" s="85"/>
      <c r="G73" s="85"/>
      <c r="H73" s="85"/>
      <c r="I73" s="91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2.75" customHeight="1" spans="1:26">
      <c r="A74" s="85"/>
      <c r="B74" s="85"/>
      <c r="C74" s="85"/>
      <c r="D74" s="85"/>
      <c r="E74" s="85"/>
      <c r="F74" s="85"/>
      <c r="G74" s="85"/>
      <c r="H74" s="85"/>
      <c r="I74" s="91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2.75" customHeight="1" spans="1:26">
      <c r="A75" s="85"/>
      <c r="B75" s="85"/>
      <c r="C75" s="85"/>
      <c r="D75" s="85"/>
      <c r="E75" s="85"/>
      <c r="F75" s="85"/>
      <c r="G75" s="85"/>
      <c r="H75" s="85"/>
      <c r="I75" s="91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2.75" customHeight="1" spans="1:26">
      <c r="A76" s="85"/>
      <c r="B76" s="85"/>
      <c r="C76" s="85"/>
      <c r="D76" s="85"/>
      <c r="E76" s="85"/>
      <c r="F76" s="85"/>
      <c r="G76" s="85"/>
      <c r="H76" s="85"/>
      <c r="I76" s="91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2.75" customHeight="1" spans="1:26">
      <c r="A77" s="85"/>
      <c r="B77" s="85"/>
      <c r="C77" s="85"/>
      <c r="D77" s="85"/>
      <c r="E77" s="85"/>
      <c r="F77" s="85"/>
      <c r="G77" s="85"/>
      <c r="H77" s="85"/>
      <c r="I77" s="91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2.75" customHeight="1" spans="1:26">
      <c r="A78" s="85"/>
      <c r="B78" s="85"/>
      <c r="C78" s="85"/>
      <c r="D78" s="85"/>
      <c r="E78" s="85"/>
      <c r="F78" s="85"/>
      <c r="G78" s="85"/>
      <c r="H78" s="85"/>
      <c r="I78" s="91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2.75" customHeight="1" spans="1:26">
      <c r="A79" s="85"/>
      <c r="B79" s="85"/>
      <c r="C79" s="85"/>
      <c r="D79" s="85"/>
      <c r="E79" s="85"/>
      <c r="F79" s="85"/>
      <c r="G79" s="85"/>
      <c r="H79" s="85"/>
      <c r="I79" s="91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2.75" customHeight="1" spans="1:26">
      <c r="A80" s="85"/>
      <c r="B80" s="85"/>
      <c r="C80" s="85"/>
      <c r="D80" s="85"/>
      <c r="E80" s="85"/>
      <c r="F80" s="85"/>
      <c r="G80" s="85"/>
      <c r="H80" s="85"/>
      <c r="I80" s="91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2.75" customHeight="1" spans="1:26">
      <c r="A81" s="85"/>
      <c r="B81" s="85"/>
      <c r="C81" s="85"/>
      <c r="D81" s="85"/>
      <c r="E81" s="85"/>
      <c r="F81" s="85"/>
      <c r="G81" s="85"/>
      <c r="H81" s="85"/>
      <c r="I81" s="91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2.75" customHeight="1" spans="1:26">
      <c r="A82" s="85"/>
      <c r="B82" s="85"/>
      <c r="C82" s="85"/>
      <c r="D82" s="85"/>
      <c r="E82" s="85"/>
      <c r="F82" s="85"/>
      <c r="G82" s="85"/>
      <c r="H82" s="85"/>
      <c r="I82" s="91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2.75" customHeight="1" spans="1:26">
      <c r="A83" s="85"/>
      <c r="B83" s="85"/>
      <c r="C83" s="85"/>
      <c r="D83" s="85"/>
      <c r="E83" s="85"/>
      <c r="F83" s="85"/>
      <c r="G83" s="85"/>
      <c r="H83" s="85"/>
      <c r="I83" s="91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2.75" customHeight="1" spans="1:26">
      <c r="A84" s="85"/>
      <c r="B84" s="85"/>
      <c r="C84" s="85"/>
      <c r="D84" s="85"/>
      <c r="E84" s="85"/>
      <c r="F84" s="85"/>
      <c r="G84" s="85"/>
      <c r="H84" s="85"/>
      <c r="I84" s="91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2.75" customHeight="1" spans="1:26">
      <c r="A85" s="85"/>
      <c r="B85" s="85"/>
      <c r="C85" s="85"/>
      <c r="D85" s="85"/>
      <c r="E85" s="85"/>
      <c r="F85" s="85"/>
      <c r="G85" s="85"/>
      <c r="H85" s="85"/>
      <c r="I85" s="91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2.75" customHeight="1" spans="1:26">
      <c r="A86" s="85"/>
      <c r="B86" s="85"/>
      <c r="C86" s="85"/>
      <c r="D86" s="85"/>
      <c r="E86" s="85"/>
      <c r="F86" s="85"/>
      <c r="G86" s="85"/>
      <c r="H86" s="85"/>
      <c r="I86" s="91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2.75" customHeight="1" spans="1:26">
      <c r="A87" s="85"/>
      <c r="B87" s="85"/>
      <c r="C87" s="85"/>
      <c r="D87" s="85"/>
      <c r="E87" s="85"/>
      <c r="F87" s="85"/>
      <c r="G87" s="85"/>
      <c r="H87" s="85"/>
      <c r="I87" s="91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2.75" customHeight="1" spans="1:26">
      <c r="A88" s="85"/>
      <c r="B88" s="85"/>
      <c r="C88" s="85"/>
      <c r="D88" s="85"/>
      <c r="E88" s="85"/>
      <c r="F88" s="85"/>
      <c r="G88" s="85"/>
      <c r="H88" s="85"/>
      <c r="I88" s="91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2.75" customHeight="1" spans="1:26">
      <c r="A89" s="85"/>
      <c r="B89" s="85"/>
      <c r="C89" s="85"/>
      <c r="D89" s="85"/>
      <c r="E89" s="85"/>
      <c r="F89" s="85"/>
      <c r="G89" s="85"/>
      <c r="H89" s="85"/>
      <c r="I89" s="91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2.75" customHeight="1" spans="1:26">
      <c r="A90" s="85"/>
      <c r="B90" s="85"/>
      <c r="C90" s="85"/>
      <c r="D90" s="85"/>
      <c r="E90" s="85"/>
      <c r="F90" s="85"/>
      <c r="G90" s="85"/>
      <c r="H90" s="85"/>
      <c r="I90" s="91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2.75" customHeight="1" spans="1:26">
      <c r="A91" s="85"/>
      <c r="B91" s="85"/>
      <c r="C91" s="85"/>
      <c r="D91" s="85"/>
      <c r="E91" s="85"/>
      <c r="F91" s="85"/>
      <c r="G91" s="85"/>
      <c r="H91" s="85"/>
      <c r="I91" s="91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2.75" customHeight="1" spans="1:26">
      <c r="A92" s="85"/>
      <c r="B92" s="85"/>
      <c r="C92" s="85"/>
      <c r="D92" s="85"/>
      <c r="E92" s="85"/>
      <c r="F92" s="85"/>
      <c r="G92" s="85"/>
      <c r="H92" s="85"/>
      <c r="I92" s="91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2.75" customHeight="1" spans="1:26">
      <c r="A93" s="85"/>
      <c r="B93" s="85"/>
      <c r="C93" s="85"/>
      <c r="D93" s="85"/>
      <c r="E93" s="85"/>
      <c r="F93" s="85"/>
      <c r="G93" s="85"/>
      <c r="H93" s="85"/>
      <c r="I93" s="91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2.75" customHeight="1" spans="1:26">
      <c r="A94" s="85"/>
      <c r="B94" s="85"/>
      <c r="C94" s="85"/>
      <c r="D94" s="85"/>
      <c r="E94" s="85"/>
      <c r="F94" s="85"/>
      <c r="G94" s="85"/>
      <c r="H94" s="85"/>
      <c r="I94" s="91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2.75" customHeight="1" spans="1:26">
      <c r="A95" s="85"/>
      <c r="B95" s="85"/>
      <c r="C95" s="85"/>
      <c r="D95" s="85"/>
      <c r="E95" s="85"/>
      <c r="F95" s="85"/>
      <c r="G95" s="85"/>
      <c r="H95" s="85"/>
      <c r="I95" s="91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2.75" customHeight="1" spans="1:26">
      <c r="A96" s="85"/>
      <c r="B96" s="85"/>
      <c r="C96" s="85"/>
      <c r="D96" s="85"/>
      <c r="E96" s="85"/>
      <c r="F96" s="85"/>
      <c r="G96" s="85"/>
      <c r="H96" s="85"/>
      <c r="I96" s="91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2.75" customHeight="1" spans="1:26">
      <c r="A97" s="85"/>
      <c r="B97" s="85"/>
      <c r="C97" s="85"/>
      <c r="D97" s="85"/>
      <c r="E97" s="85"/>
      <c r="F97" s="85"/>
      <c r="G97" s="85"/>
      <c r="H97" s="85"/>
      <c r="I97" s="91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2.75" customHeight="1" spans="1:26">
      <c r="A98" s="85"/>
      <c r="B98" s="85"/>
      <c r="C98" s="85"/>
      <c r="D98" s="85"/>
      <c r="E98" s="85"/>
      <c r="F98" s="85"/>
      <c r="G98" s="85"/>
      <c r="H98" s="85"/>
      <c r="I98" s="91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2.75" customHeight="1" spans="1:26">
      <c r="A99" s="85"/>
      <c r="B99" s="85"/>
      <c r="C99" s="85"/>
      <c r="D99" s="85"/>
      <c r="E99" s="85"/>
      <c r="F99" s="85"/>
      <c r="G99" s="85"/>
      <c r="H99" s="85"/>
      <c r="I99" s="91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2.75" customHeight="1" spans="1:26">
      <c r="A100" s="85"/>
      <c r="B100" s="85"/>
      <c r="C100" s="85"/>
      <c r="D100" s="85"/>
      <c r="E100" s="85"/>
      <c r="F100" s="85"/>
      <c r="G100" s="85"/>
      <c r="H100" s="85"/>
      <c r="I100" s="91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2.75" customHeight="1" spans="1:26">
      <c r="A101" s="85"/>
      <c r="B101" s="85"/>
      <c r="C101" s="85"/>
      <c r="D101" s="85"/>
      <c r="E101" s="85"/>
      <c r="F101" s="85"/>
      <c r="G101" s="85"/>
      <c r="H101" s="85"/>
      <c r="I101" s="91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2.75" customHeight="1" spans="1:26">
      <c r="A102" s="85"/>
      <c r="B102" s="85"/>
      <c r="C102" s="85"/>
      <c r="D102" s="85"/>
      <c r="E102" s="85"/>
      <c r="F102" s="85"/>
      <c r="G102" s="85"/>
      <c r="H102" s="85"/>
      <c r="I102" s="91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2.75" customHeight="1" spans="1:26">
      <c r="A103" s="85"/>
      <c r="B103" s="85"/>
      <c r="C103" s="85"/>
      <c r="D103" s="85"/>
      <c r="E103" s="85"/>
      <c r="F103" s="85"/>
      <c r="G103" s="85"/>
      <c r="H103" s="85"/>
      <c r="I103" s="91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2.75" customHeight="1" spans="1:26">
      <c r="A104" s="85"/>
      <c r="B104" s="85"/>
      <c r="C104" s="85"/>
      <c r="D104" s="85"/>
      <c r="E104" s="85"/>
      <c r="F104" s="85"/>
      <c r="G104" s="85"/>
      <c r="H104" s="85"/>
      <c r="I104" s="91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2.75" customHeight="1" spans="1:26">
      <c r="A105" s="85"/>
      <c r="B105" s="85"/>
      <c r="C105" s="85"/>
      <c r="D105" s="85"/>
      <c r="E105" s="85"/>
      <c r="F105" s="85"/>
      <c r="G105" s="85"/>
      <c r="H105" s="85"/>
      <c r="I105" s="91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2.75" customHeight="1" spans="1:26">
      <c r="A106" s="85"/>
      <c r="B106" s="85"/>
      <c r="C106" s="85"/>
      <c r="D106" s="85"/>
      <c r="E106" s="85"/>
      <c r="F106" s="85"/>
      <c r="G106" s="85"/>
      <c r="H106" s="85"/>
      <c r="I106" s="91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2.75" customHeight="1" spans="1:26">
      <c r="A107" s="85"/>
      <c r="B107" s="85"/>
      <c r="C107" s="85"/>
      <c r="D107" s="85"/>
      <c r="E107" s="85"/>
      <c r="F107" s="85"/>
      <c r="G107" s="85"/>
      <c r="H107" s="85"/>
      <c r="I107" s="91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2.75" customHeight="1" spans="1:26">
      <c r="A108" s="85"/>
      <c r="B108" s="85"/>
      <c r="C108" s="85"/>
      <c r="D108" s="85"/>
      <c r="E108" s="85"/>
      <c r="F108" s="85"/>
      <c r="G108" s="85"/>
      <c r="H108" s="85"/>
      <c r="I108" s="91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2.75" customHeight="1" spans="1:26">
      <c r="A109" s="85"/>
      <c r="B109" s="85"/>
      <c r="C109" s="85"/>
      <c r="D109" s="85"/>
      <c r="E109" s="85"/>
      <c r="F109" s="85"/>
      <c r="G109" s="85"/>
      <c r="H109" s="85"/>
      <c r="I109" s="91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2.75" customHeight="1" spans="1:26">
      <c r="A110" s="85"/>
      <c r="B110" s="85"/>
      <c r="C110" s="85"/>
      <c r="D110" s="85"/>
      <c r="E110" s="85"/>
      <c r="F110" s="85"/>
      <c r="G110" s="85"/>
      <c r="H110" s="85"/>
      <c r="I110" s="91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2.75" customHeight="1" spans="1:26">
      <c r="A111" s="85"/>
      <c r="B111" s="85"/>
      <c r="C111" s="85"/>
      <c r="D111" s="85"/>
      <c r="E111" s="85"/>
      <c r="F111" s="85"/>
      <c r="G111" s="85"/>
      <c r="H111" s="85"/>
      <c r="I111" s="91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2.75" customHeight="1" spans="1:26">
      <c r="A112" s="85"/>
      <c r="B112" s="85"/>
      <c r="C112" s="85"/>
      <c r="D112" s="85"/>
      <c r="E112" s="85"/>
      <c r="F112" s="85"/>
      <c r="G112" s="85"/>
      <c r="H112" s="85"/>
      <c r="I112" s="91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2.75" customHeight="1" spans="1:26">
      <c r="A113" s="85"/>
      <c r="B113" s="85"/>
      <c r="C113" s="85"/>
      <c r="D113" s="85"/>
      <c r="E113" s="85"/>
      <c r="F113" s="85"/>
      <c r="G113" s="85"/>
      <c r="H113" s="85"/>
      <c r="I113" s="91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2.75" customHeight="1" spans="1:26">
      <c r="A114" s="85"/>
      <c r="B114" s="85"/>
      <c r="C114" s="85"/>
      <c r="D114" s="85"/>
      <c r="E114" s="85"/>
      <c r="F114" s="85"/>
      <c r="G114" s="85"/>
      <c r="H114" s="85"/>
      <c r="I114" s="91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2.75" customHeight="1" spans="1:26">
      <c r="A115" s="85"/>
      <c r="B115" s="85"/>
      <c r="C115" s="85"/>
      <c r="D115" s="85"/>
      <c r="E115" s="85"/>
      <c r="F115" s="85"/>
      <c r="G115" s="85"/>
      <c r="H115" s="85"/>
      <c r="I115" s="91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2.75" customHeight="1" spans="1:26">
      <c r="A116" s="85"/>
      <c r="B116" s="85"/>
      <c r="C116" s="85"/>
      <c r="D116" s="85"/>
      <c r="E116" s="85"/>
      <c r="F116" s="85"/>
      <c r="G116" s="85"/>
      <c r="H116" s="85"/>
      <c r="I116" s="91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2.75" customHeight="1" spans="1:26">
      <c r="A117" s="85"/>
      <c r="B117" s="85"/>
      <c r="C117" s="85"/>
      <c r="D117" s="85"/>
      <c r="E117" s="85"/>
      <c r="F117" s="85"/>
      <c r="G117" s="85"/>
      <c r="H117" s="85"/>
      <c r="I117" s="91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2.75" customHeight="1" spans="1:26">
      <c r="A118" s="85"/>
      <c r="B118" s="85"/>
      <c r="C118" s="85"/>
      <c r="D118" s="85"/>
      <c r="E118" s="85"/>
      <c r="F118" s="85"/>
      <c r="G118" s="85"/>
      <c r="H118" s="85"/>
      <c r="I118" s="91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2.75" customHeight="1" spans="1:26">
      <c r="A119" s="85"/>
      <c r="B119" s="85"/>
      <c r="C119" s="85"/>
      <c r="D119" s="85"/>
      <c r="E119" s="85"/>
      <c r="F119" s="85"/>
      <c r="G119" s="85"/>
      <c r="H119" s="85"/>
      <c r="I119" s="91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2.75" customHeight="1" spans="1:26">
      <c r="A120" s="85"/>
      <c r="B120" s="85"/>
      <c r="C120" s="85"/>
      <c r="D120" s="85"/>
      <c r="E120" s="85"/>
      <c r="F120" s="85"/>
      <c r="G120" s="85"/>
      <c r="H120" s="85"/>
      <c r="I120" s="91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2.75" customHeight="1" spans="1:26">
      <c r="A121" s="85"/>
      <c r="B121" s="85"/>
      <c r="C121" s="85"/>
      <c r="D121" s="85"/>
      <c r="E121" s="85"/>
      <c r="F121" s="85"/>
      <c r="G121" s="85"/>
      <c r="H121" s="85"/>
      <c r="I121" s="91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2.75" customHeight="1" spans="1:26">
      <c r="A122" s="85"/>
      <c r="B122" s="85"/>
      <c r="C122" s="85"/>
      <c r="D122" s="85"/>
      <c r="E122" s="85"/>
      <c r="F122" s="85"/>
      <c r="G122" s="85"/>
      <c r="H122" s="85"/>
      <c r="I122" s="91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2.75" customHeight="1" spans="1:26">
      <c r="A123" s="85"/>
      <c r="B123" s="85"/>
      <c r="C123" s="85"/>
      <c r="D123" s="85"/>
      <c r="E123" s="85"/>
      <c r="F123" s="85"/>
      <c r="G123" s="85"/>
      <c r="H123" s="85"/>
      <c r="I123" s="91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2.75" customHeight="1" spans="1:26">
      <c r="A124" s="85"/>
      <c r="B124" s="85"/>
      <c r="C124" s="85"/>
      <c r="D124" s="85"/>
      <c r="E124" s="85"/>
      <c r="F124" s="85"/>
      <c r="G124" s="85"/>
      <c r="H124" s="85"/>
      <c r="I124" s="91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2.75" customHeight="1" spans="1:26">
      <c r="A125" s="85"/>
      <c r="B125" s="85"/>
      <c r="C125" s="85"/>
      <c r="D125" s="85"/>
      <c r="E125" s="85"/>
      <c r="F125" s="85"/>
      <c r="G125" s="85"/>
      <c r="H125" s="85"/>
      <c r="I125" s="91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2.75" customHeight="1" spans="1:26">
      <c r="A126" s="85"/>
      <c r="B126" s="85"/>
      <c r="C126" s="85"/>
      <c r="D126" s="85"/>
      <c r="E126" s="85"/>
      <c r="F126" s="85"/>
      <c r="G126" s="85"/>
      <c r="H126" s="85"/>
      <c r="I126" s="91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2.75" customHeight="1" spans="1:26">
      <c r="A127" s="85"/>
      <c r="B127" s="85"/>
      <c r="C127" s="85"/>
      <c r="D127" s="85"/>
      <c r="E127" s="85"/>
      <c r="F127" s="85"/>
      <c r="G127" s="85"/>
      <c r="H127" s="85"/>
      <c r="I127" s="91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2.75" customHeight="1" spans="1:26">
      <c r="A128" s="85"/>
      <c r="B128" s="85"/>
      <c r="C128" s="85"/>
      <c r="D128" s="85"/>
      <c r="E128" s="85"/>
      <c r="F128" s="85"/>
      <c r="G128" s="85"/>
      <c r="H128" s="85"/>
      <c r="I128" s="91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2.75" customHeight="1" spans="1:26">
      <c r="A129" s="85"/>
      <c r="B129" s="85"/>
      <c r="C129" s="85"/>
      <c r="D129" s="85"/>
      <c r="E129" s="85"/>
      <c r="F129" s="85"/>
      <c r="G129" s="85"/>
      <c r="H129" s="85"/>
      <c r="I129" s="91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2.75" customHeight="1" spans="1:26">
      <c r="A130" s="85"/>
      <c r="B130" s="85"/>
      <c r="C130" s="85"/>
      <c r="D130" s="85"/>
      <c r="E130" s="85"/>
      <c r="F130" s="85"/>
      <c r="G130" s="85"/>
      <c r="H130" s="85"/>
      <c r="I130" s="91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2.75" customHeight="1" spans="1:26">
      <c r="A131" s="85"/>
      <c r="B131" s="85"/>
      <c r="C131" s="85"/>
      <c r="D131" s="85"/>
      <c r="E131" s="85"/>
      <c r="F131" s="85"/>
      <c r="G131" s="85"/>
      <c r="H131" s="85"/>
      <c r="I131" s="91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2.75" customHeight="1" spans="1:26">
      <c r="A132" s="85"/>
      <c r="B132" s="85"/>
      <c r="C132" s="85"/>
      <c r="D132" s="85"/>
      <c r="E132" s="85"/>
      <c r="F132" s="85"/>
      <c r="G132" s="85"/>
      <c r="H132" s="85"/>
      <c r="I132" s="91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2.75" customHeight="1" spans="1:26">
      <c r="A133" s="85"/>
      <c r="B133" s="85"/>
      <c r="C133" s="85"/>
      <c r="D133" s="85"/>
      <c r="E133" s="85"/>
      <c r="F133" s="85"/>
      <c r="G133" s="85"/>
      <c r="H133" s="85"/>
      <c r="I133" s="91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2.75" customHeight="1" spans="1:26">
      <c r="A134" s="85"/>
      <c r="B134" s="85"/>
      <c r="C134" s="85"/>
      <c r="D134" s="85"/>
      <c r="E134" s="85"/>
      <c r="F134" s="85"/>
      <c r="G134" s="85"/>
      <c r="H134" s="85"/>
      <c r="I134" s="91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2.75" customHeight="1" spans="1:26">
      <c r="A135" s="85"/>
      <c r="B135" s="85"/>
      <c r="C135" s="85"/>
      <c r="D135" s="85"/>
      <c r="E135" s="85"/>
      <c r="F135" s="85"/>
      <c r="G135" s="85"/>
      <c r="H135" s="85"/>
      <c r="I135" s="91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2.75" customHeight="1" spans="1:26">
      <c r="A136" s="85"/>
      <c r="B136" s="85"/>
      <c r="C136" s="85"/>
      <c r="D136" s="85"/>
      <c r="E136" s="85"/>
      <c r="F136" s="85"/>
      <c r="G136" s="85"/>
      <c r="H136" s="85"/>
      <c r="I136" s="91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2.75" customHeight="1" spans="1:26">
      <c r="A137" s="85"/>
      <c r="B137" s="85"/>
      <c r="C137" s="85"/>
      <c r="D137" s="85"/>
      <c r="E137" s="85"/>
      <c r="F137" s="85"/>
      <c r="G137" s="85"/>
      <c r="H137" s="85"/>
      <c r="I137" s="91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2.75" customHeight="1" spans="1:26">
      <c r="A138" s="85"/>
      <c r="B138" s="85"/>
      <c r="C138" s="85"/>
      <c r="D138" s="85"/>
      <c r="E138" s="85"/>
      <c r="F138" s="85"/>
      <c r="G138" s="85"/>
      <c r="H138" s="85"/>
      <c r="I138" s="91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2.75" customHeight="1" spans="1:26">
      <c r="A139" s="85"/>
      <c r="B139" s="85"/>
      <c r="C139" s="85"/>
      <c r="D139" s="85"/>
      <c r="E139" s="85"/>
      <c r="F139" s="85"/>
      <c r="G139" s="85"/>
      <c r="H139" s="85"/>
      <c r="I139" s="91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2.75" customHeight="1" spans="1:26">
      <c r="A140" s="85"/>
      <c r="B140" s="85"/>
      <c r="C140" s="85"/>
      <c r="D140" s="85"/>
      <c r="E140" s="85"/>
      <c r="F140" s="85"/>
      <c r="G140" s="85"/>
      <c r="H140" s="85"/>
      <c r="I140" s="91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2.75" customHeight="1" spans="1:26">
      <c r="A141" s="85"/>
      <c r="B141" s="85"/>
      <c r="C141" s="85"/>
      <c r="D141" s="85"/>
      <c r="E141" s="85"/>
      <c r="F141" s="85"/>
      <c r="G141" s="85"/>
      <c r="H141" s="85"/>
      <c r="I141" s="91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2.75" customHeight="1" spans="1:26">
      <c r="A142" s="85"/>
      <c r="B142" s="85"/>
      <c r="C142" s="85"/>
      <c r="D142" s="85"/>
      <c r="E142" s="85"/>
      <c r="F142" s="85"/>
      <c r="G142" s="85"/>
      <c r="H142" s="85"/>
      <c r="I142" s="91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2.75" customHeight="1" spans="1:26">
      <c r="A143" s="85"/>
      <c r="B143" s="85"/>
      <c r="C143" s="85"/>
      <c r="D143" s="85"/>
      <c r="E143" s="85"/>
      <c r="F143" s="85"/>
      <c r="G143" s="85"/>
      <c r="H143" s="85"/>
      <c r="I143" s="91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2.75" customHeight="1" spans="1:26">
      <c r="A144" s="85"/>
      <c r="B144" s="85"/>
      <c r="C144" s="85"/>
      <c r="D144" s="85"/>
      <c r="E144" s="85"/>
      <c r="F144" s="85"/>
      <c r="G144" s="85"/>
      <c r="H144" s="85"/>
      <c r="I144" s="91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2.75" customHeight="1" spans="1:26">
      <c r="A145" s="85"/>
      <c r="B145" s="85"/>
      <c r="C145" s="85"/>
      <c r="D145" s="85"/>
      <c r="E145" s="85"/>
      <c r="F145" s="85"/>
      <c r="G145" s="85"/>
      <c r="H145" s="85"/>
      <c r="I145" s="91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2.75" customHeight="1" spans="1:26">
      <c r="A146" s="85"/>
      <c r="B146" s="85"/>
      <c r="C146" s="85"/>
      <c r="D146" s="85"/>
      <c r="E146" s="85"/>
      <c r="F146" s="85"/>
      <c r="G146" s="85"/>
      <c r="H146" s="85"/>
      <c r="I146" s="91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2.75" customHeight="1" spans="1:26">
      <c r="A147" s="85"/>
      <c r="B147" s="85"/>
      <c r="C147" s="85"/>
      <c r="D147" s="85"/>
      <c r="E147" s="85"/>
      <c r="F147" s="85"/>
      <c r="G147" s="85"/>
      <c r="H147" s="85"/>
      <c r="I147" s="91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2.75" customHeight="1" spans="1:26">
      <c r="A148" s="85"/>
      <c r="B148" s="85"/>
      <c r="C148" s="85"/>
      <c r="D148" s="85"/>
      <c r="E148" s="85"/>
      <c r="F148" s="85"/>
      <c r="G148" s="85"/>
      <c r="H148" s="85"/>
      <c r="I148" s="91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2.75" customHeight="1" spans="1:26">
      <c r="A149" s="85"/>
      <c r="B149" s="85"/>
      <c r="C149" s="85"/>
      <c r="D149" s="85"/>
      <c r="E149" s="85"/>
      <c r="F149" s="85"/>
      <c r="G149" s="85"/>
      <c r="H149" s="85"/>
      <c r="I149" s="91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2.75" customHeight="1" spans="1:26">
      <c r="A150" s="85"/>
      <c r="B150" s="85"/>
      <c r="C150" s="85"/>
      <c r="D150" s="85"/>
      <c r="E150" s="85"/>
      <c r="F150" s="85"/>
      <c r="G150" s="85"/>
      <c r="H150" s="85"/>
      <c r="I150" s="91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2.75" customHeight="1" spans="1:26">
      <c r="A151" s="85"/>
      <c r="B151" s="85"/>
      <c r="C151" s="85"/>
      <c r="D151" s="85"/>
      <c r="E151" s="85"/>
      <c r="F151" s="85"/>
      <c r="G151" s="85"/>
      <c r="H151" s="85"/>
      <c r="I151" s="91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2.75" customHeight="1" spans="1:26">
      <c r="A152" s="85"/>
      <c r="B152" s="85"/>
      <c r="C152" s="85"/>
      <c r="D152" s="85"/>
      <c r="E152" s="85"/>
      <c r="F152" s="85"/>
      <c r="G152" s="85"/>
      <c r="H152" s="85"/>
      <c r="I152" s="91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2.75" customHeight="1" spans="1:26">
      <c r="A153" s="85"/>
      <c r="B153" s="85"/>
      <c r="C153" s="85"/>
      <c r="D153" s="85"/>
      <c r="E153" s="85"/>
      <c r="F153" s="85"/>
      <c r="G153" s="85"/>
      <c r="H153" s="85"/>
      <c r="I153" s="91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2.75" customHeight="1" spans="1:26">
      <c r="A154" s="85"/>
      <c r="B154" s="85"/>
      <c r="C154" s="85"/>
      <c r="D154" s="85"/>
      <c r="E154" s="85"/>
      <c r="F154" s="85"/>
      <c r="G154" s="85"/>
      <c r="H154" s="85"/>
      <c r="I154" s="91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2.75" customHeight="1" spans="1:26">
      <c r="A155" s="85"/>
      <c r="B155" s="85"/>
      <c r="C155" s="85"/>
      <c r="D155" s="85"/>
      <c r="E155" s="85"/>
      <c r="F155" s="85"/>
      <c r="G155" s="85"/>
      <c r="H155" s="85"/>
      <c r="I155" s="91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2.75" customHeight="1" spans="1:26">
      <c r="A156" s="85"/>
      <c r="B156" s="85"/>
      <c r="C156" s="85"/>
      <c r="D156" s="85"/>
      <c r="E156" s="85"/>
      <c r="F156" s="85"/>
      <c r="G156" s="85"/>
      <c r="H156" s="85"/>
      <c r="I156" s="91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2.75" customHeight="1" spans="1:26">
      <c r="A157" s="85"/>
      <c r="B157" s="85"/>
      <c r="C157" s="85"/>
      <c r="D157" s="85"/>
      <c r="E157" s="85"/>
      <c r="F157" s="85"/>
      <c r="G157" s="85"/>
      <c r="H157" s="85"/>
      <c r="I157" s="91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2.75" customHeight="1" spans="1:26">
      <c r="A158" s="85"/>
      <c r="B158" s="85"/>
      <c r="C158" s="85"/>
      <c r="D158" s="85"/>
      <c r="E158" s="85"/>
      <c r="F158" s="85"/>
      <c r="G158" s="85"/>
      <c r="H158" s="85"/>
      <c r="I158" s="91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2.75" customHeight="1" spans="1:26">
      <c r="A159" s="85"/>
      <c r="B159" s="85"/>
      <c r="C159" s="85"/>
      <c r="D159" s="85"/>
      <c r="E159" s="85"/>
      <c r="F159" s="85"/>
      <c r="G159" s="85"/>
      <c r="H159" s="85"/>
      <c r="I159" s="91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2.75" customHeight="1" spans="1:26">
      <c r="A160" s="85"/>
      <c r="B160" s="85"/>
      <c r="C160" s="85"/>
      <c r="D160" s="85"/>
      <c r="E160" s="85"/>
      <c r="F160" s="85"/>
      <c r="G160" s="85"/>
      <c r="H160" s="85"/>
      <c r="I160" s="91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2.75" customHeight="1" spans="1:26">
      <c r="A161" s="85"/>
      <c r="B161" s="85"/>
      <c r="C161" s="85"/>
      <c r="D161" s="85"/>
      <c r="E161" s="85"/>
      <c r="F161" s="85"/>
      <c r="G161" s="85"/>
      <c r="H161" s="85"/>
      <c r="I161" s="91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2.75" customHeight="1" spans="1:26">
      <c r="A162" s="85"/>
      <c r="B162" s="85"/>
      <c r="C162" s="85"/>
      <c r="D162" s="85"/>
      <c r="E162" s="85"/>
      <c r="F162" s="85"/>
      <c r="G162" s="85"/>
      <c r="H162" s="85"/>
      <c r="I162" s="91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2.75" customHeight="1" spans="1:26">
      <c r="A163" s="85"/>
      <c r="B163" s="85"/>
      <c r="C163" s="85"/>
      <c r="D163" s="85"/>
      <c r="E163" s="85"/>
      <c r="F163" s="85"/>
      <c r="G163" s="85"/>
      <c r="H163" s="85"/>
      <c r="I163" s="91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2.75" customHeight="1" spans="1:26">
      <c r="A164" s="85"/>
      <c r="B164" s="85"/>
      <c r="C164" s="85"/>
      <c r="D164" s="85"/>
      <c r="E164" s="85"/>
      <c r="F164" s="85"/>
      <c r="G164" s="85"/>
      <c r="H164" s="85"/>
      <c r="I164" s="91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2.75" customHeight="1" spans="1:26">
      <c r="A165" s="85"/>
      <c r="B165" s="85"/>
      <c r="C165" s="85"/>
      <c r="D165" s="85"/>
      <c r="E165" s="85"/>
      <c r="F165" s="85"/>
      <c r="G165" s="85"/>
      <c r="H165" s="85"/>
      <c r="I165" s="91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2.75" customHeight="1" spans="1:26">
      <c r="A166" s="85"/>
      <c r="B166" s="85"/>
      <c r="C166" s="85"/>
      <c r="D166" s="85"/>
      <c r="E166" s="85"/>
      <c r="F166" s="85"/>
      <c r="G166" s="85"/>
      <c r="H166" s="85"/>
      <c r="I166" s="91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2.75" customHeight="1" spans="1:26">
      <c r="A167" s="85"/>
      <c r="B167" s="85"/>
      <c r="C167" s="85"/>
      <c r="D167" s="85"/>
      <c r="E167" s="85"/>
      <c r="F167" s="85"/>
      <c r="G167" s="85"/>
      <c r="H167" s="85"/>
      <c r="I167" s="91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2.75" customHeight="1" spans="1:26">
      <c r="A168" s="85"/>
      <c r="B168" s="85"/>
      <c r="C168" s="85"/>
      <c r="D168" s="85"/>
      <c r="E168" s="85"/>
      <c r="F168" s="85"/>
      <c r="G168" s="85"/>
      <c r="H168" s="85"/>
      <c r="I168" s="91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2.75" customHeight="1" spans="1:26">
      <c r="A169" s="85"/>
      <c r="B169" s="85"/>
      <c r="C169" s="85"/>
      <c r="D169" s="85"/>
      <c r="E169" s="85"/>
      <c r="F169" s="85"/>
      <c r="G169" s="85"/>
      <c r="H169" s="85"/>
      <c r="I169" s="91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2.75" customHeight="1" spans="1:26">
      <c r="A170" s="85"/>
      <c r="B170" s="85"/>
      <c r="C170" s="85"/>
      <c r="D170" s="85"/>
      <c r="E170" s="85"/>
      <c r="F170" s="85"/>
      <c r="G170" s="85"/>
      <c r="H170" s="85"/>
      <c r="I170" s="91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2.75" customHeight="1" spans="1:26">
      <c r="A171" s="85"/>
      <c r="B171" s="85"/>
      <c r="C171" s="85"/>
      <c r="D171" s="85"/>
      <c r="E171" s="85"/>
      <c r="F171" s="85"/>
      <c r="G171" s="85"/>
      <c r="H171" s="85"/>
      <c r="I171" s="91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2.75" customHeight="1" spans="1:26">
      <c r="A172" s="85"/>
      <c r="B172" s="85"/>
      <c r="C172" s="85"/>
      <c r="D172" s="85"/>
      <c r="E172" s="85"/>
      <c r="F172" s="85"/>
      <c r="G172" s="85"/>
      <c r="H172" s="85"/>
      <c r="I172" s="91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2.75" customHeight="1" spans="1:26">
      <c r="A173" s="85"/>
      <c r="B173" s="85"/>
      <c r="C173" s="85"/>
      <c r="D173" s="85"/>
      <c r="E173" s="85"/>
      <c r="F173" s="85"/>
      <c r="G173" s="85"/>
      <c r="H173" s="85"/>
      <c r="I173" s="91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2.75" customHeight="1" spans="1:26">
      <c r="A174" s="85"/>
      <c r="B174" s="85"/>
      <c r="C174" s="85"/>
      <c r="D174" s="85"/>
      <c r="E174" s="85"/>
      <c r="F174" s="85"/>
      <c r="G174" s="85"/>
      <c r="H174" s="85"/>
      <c r="I174" s="91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2.75" customHeight="1" spans="1:26">
      <c r="A175" s="85"/>
      <c r="B175" s="85"/>
      <c r="C175" s="85"/>
      <c r="D175" s="85"/>
      <c r="E175" s="85"/>
      <c r="F175" s="85"/>
      <c r="G175" s="85"/>
      <c r="H175" s="85"/>
      <c r="I175" s="91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2.75" customHeight="1" spans="1:26">
      <c r="A176" s="85"/>
      <c r="B176" s="85"/>
      <c r="C176" s="85"/>
      <c r="D176" s="85"/>
      <c r="E176" s="85"/>
      <c r="F176" s="85"/>
      <c r="G176" s="85"/>
      <c r="H176" s="85"/>
      <c r="I176" s="91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2.75" customHeight="1" spans="1:26">
      <c r="A177" s="85"/>
      <c r="B177" s="85"/>
      <c r="C177" s="85"/>
      <c r="D177" s="85"/>
      <c r="E177" s="85"/>
      <c r="F177" s="85"/>
      <c r="G177" s="85"/>
      <c r="H177" s="85"/>
      <c r="I177" s="91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2.75" customHeight="1" spans="1:26">
      <c r="A178" s="85"/>
      <c r="B178" s="85"/>
      <c r="C178" s="85"/>
      <c r="D178" s="85"/>
      <c r="E178" s="85"/>
      <c r="F178" s="85"/>
      <c r="G178" s="85"/>
      <c r="H178" s="85"/>
      <c r="I178" s="91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2.75" customHeight="1" spans="1:26">
      <c r="A179" s="85"/>
      <c r="B179" s="85"/>
      <c r="C179" s="85"/>
      <c r="D179" s="85"/>
      <c r="E179" s="85"/>
      <c r="F179" s="85"/>
      <c r="G179" s="85"/>
      <c r="H179" s="85"/>
      <c r="I179" s="91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2.75" customHeight="1" spans="1:26">
      <c r="A180" s="85"/>
      <c r="B180" s="85"/>
      <c r="C180" s="85"/>
      <c r="D180" s="85"/>
      <c r="E180" s="85"/>
      <c r="F180" s="85"/>
      <c r="G180" s="85"/>
      <c r="H180" s="85"/>
      <c r="I180" s="91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2.75" customHeight="1" spans="1:26">
      <c r="A181" s="85"/>
      <c r="B181" s="85"/>
      <c r="C181" s="85"/>
      <c r="D181" s="85"/>
      <c r="E181" s="85"/>
      <c r="F181" s="85"/>
      <c r="G181" s="85"/>
      <c r="H181" s="85"/>
      <c r="I181" s="91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2.75" customHeight="1" spans="1:26">
      <c r="A182" s="85"/>
      <c r="B182" s="85"/>
      <c r="C182" s="85"/>
      <c r="D182" s="85"/>
      <c r="E182" s="85"/>
      <c r="F182" s="85"/>
      <c r="G182" s="85"/>
      <c r="H182" s="85"/>
      <c r="I182" s="91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2.75" customHeight="1" spans="1:26">
      <c r="A183" s="85"/>
      <c r="B183" s="85"/>
      <c r="C183" s="85"/>
      <c r="D183" s="85"/>
      <c r="E183" s="85"/>
      <c r="F183" s="85"/>
      <c r="G183" s="85"/>
      <c r="H183" s="85"/>
      <c r="I183" s="91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2.75" customHeight="1" spans="1:26">
      <c r="A184" s="85"/>
      <c r="B184" s="85"/>
      <c r="C184" s="85"/>
      <c r="D184" s="85"/>
      <c r="E184" s="85"/>
      <c r="F184" s="85"/>
      <c r="G184" s="85"/>
      <c r="H184" s="85"/>
      <c r="I184" s="91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2.75" customHeight="1" spans="1:26">
      <c r="A185" s="85"/>
      <c r="B185" s="85"/>
      <c r="C185" s="85"/>
      <c r="D185" s="85"/>
      <c r="E185" s="85"/>
      <c r="F185" s="85"/>
      <c r="G185" s="85"/>
      <c r="H185" s="85"/>
      <c r="I185" s="91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2.75" customHeight="1" spans="1:26">
      <c r="A186" s="85"/>
      <c r="B186" s="85"/>
      <c r="C186" s="85"/>
      <c r="D186" s="85"/>
      <c r="E186" s="85"/>
      <c r="F186" s="85"/>
      <c r="G186" s="85"/>
      <c r="H186" s="85"/>
      <c r="I186" s="91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2.75" customHeight="1" spans="1:26">
      <c r="A187" s="85"/>
      <c r="B187" s="85"/>
      <c r="C187" s="85"/>
      <c r="D187" s="85"/>
      <c r="E187" s="85"/>
      <c r="F187" s="85"/>
      <c r="G187" s="85"/>
      <c r="H187" s="85"/>
      <c r="I187" s="91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2.75" customHeight="1" spans="1:26">
      <c r="A188" s="85"/>
      <c r="B188" s="85"/>
      <c r="C188" s="85"/>
      <c r="D188" s="85"/>
      <c r="E188" s="85"/>
      <c r="F188" s="85"/>
      <c r="G188" s="85"/>
      <c r="H188" s="85"/>
      <c r="I188" s="91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2.75" customHeight="1" spans="1:26">
      <c r="A189" s="85"/>
      <c r="B189" s="85"/>
      <c r="C189" s="85"/>
      <c r="D189" s="85"/>
      <c r="E189" s="85"/>
      <c r="F189" s="85"/>
      <c r="G189" s="85"/>
      <c r="H189" s="85"/>
      <c r="I189" s="91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2.75" customHeight="1" spans="1:26">
      <c r="A190" s="85"/>
      <c r="B190" s="85"/>
      <c r="C190" s="85"/>
      <c r="D190" s="85"/>
      <c r="E190" s="85"/>
      <c r="F190" s="85"/>
      <c r="G190" s="85"/>
      <c r="H190" s="85"/>
      <c r="I190" s="91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2.75" customHeight="1" spans="1:26">
      <c r="A191" s="85"/>
      <c r="B191" s="85"/>
      <c r="C191" s="85"/>
      <c r="D191" s="85"/>
      <c r="E191" s="85"/>
      <c r="F191" s="85"/>
      <c r="G191" s="85"/>
      <c r="H191" s="85"/>
      <c r="I191" s="91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2.75" customHeight="1" spans="1:26">
      <c r="A192" s="85"/>
      <c r="B192" s="85"/>
      <c r="C192" s="85"/>
      <c r="D192" s="85"/>
      <c r="E192" s="85"/>
      <c r="F192" s="85"/>
      <c r="G192" s="85"/>
      <c r="H192" s="85"/>
      <c r="I192" s="91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2.75" customHeight="1" spans="1:26">
      <c r="A193" s="85"/>
      <c r="B193" s="85"/>
      <c r="C193" s="85"/>
      <c r="D193" s="85"/>
      <c r="E193" s="85"/>
      <c r="F193" s="85"/>
      <c r="G193" s="85"/>
      <c r="H193" s="85"/>
      <c r="I193" s="91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2.75" customHeight="1" spans="1:26">
      <c r="A194" s="85"/>
      <c r="B194" s="85"/>
      <c r="C194" s="85"/>
      <c r="D194" s="85"/>
      <c r="E194" s="85"/>
      <c r="F194" s="85"/>
      <c r="G194" s="85"/>
      <c r="H194" s="85"/>
      <c r="I194" s="91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2.75" customHeight="1" spans="1:26">
      <c r="A195" s="85"/>
      <c r="B195" s="85"/>
      <c r="C195" s="85"/>
      <c r="D195" s="85"/>
      <c r="E195" s="85"/>
      <c r="F195" s="85"/>
      <c r="G195" s="85"/>
      <c r="H195" s="85"/>
      <c r="I195" s="91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2.75" customHeight="1" spans="1:26">
      <c r="A196" s="85"/>
      <c r="B196" s="85"/>
      <c r="C196" s="85"/>
      <c r="D196" s="85"/>
      <c r="E196" s="85"/>
      <c r="F196" s="85"/>
      <c r="G196" s="85"/>
      <c r="H196" s="85"/>
      <c r="I196" s="91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2.75" customHeight="1" spans="1:26">
      <c r="A197" s="85"/>
      <c r="B197" s="85"/>
      <c r="C197" s="85"/>
      <c r="D197" s="85"/>
      <c r="E197" s="85"/>
      <c r="F197" s="85"/>
      <c r="G197" s="85"/>
      <c r="H197" s="85"/>
      <c r="I197" s="91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2.75" customHeight="1" spans="1:26">
      <c r="A198" s="85"/>
      <c r="B198" s="85"/>
      <c r="C198" s="85"/>
      <c r="D198" s="85"/>
      <c r="E198" s="85"/>
      <c r="F198" s="85"/>
      <c r="G198" s="85"/>
      <c r="H198" s="85"/>
      <c r="I198" s="91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2.75" customHeight="1" spans="1:26">
      <c r="A199" s="85"/>
      <c r="B199" s="85"/>
      <c r="C199" s="85"/>
      <c r="D199" s="85"/>
      <c r="E199" s="85"/>
      <c r="F199" s="85"/>
      <c r="G199" s="85"/>
      <c r="H199" s="85"/>
      <c r="I199" s="91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2.75" customHeight="1" spans="1:26">
      <c r="A200" s="85"/>
      <c r="B200" s="85"/>
      <c r="C200" s="85"/>
      <c r="D200" s="85"/>
      <c r="E200" s="85"/>
      <c r="F200" s="85"/>
      <c r="G200" s="85"/>
      <c r="H200" s="85"/>
      <c r="I200" s="91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2.75" customHeight="1" spans="1:26">
      <c r="A201" s="85"/>
      <c r="B201" s="85"/>
      <c r="C201" s="85"/>
      <c r="D201" s="85"/>
      <c r="E201" s="85"/>
      <c r="F201" s="85"/>
      <c r="G201" s="85"/>
      <c r="H201" s="85"/>
      <c r="I201" s="91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2.75" customHeight="1" spans="1:26">
      <c r="A202" s="85"/>
      <c r="B202" s="85"/>
      <c r="C202" s="85"/>
      <c r="D202" s="85"/>
      <c r="E202" s="85"/>
      <c r="F202" s="85"/>
      <c r="G202" s="85"/>
      <c r="H202" s="85"/>
      <c r="I202" s="91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2.75" customHeight="1" spans="1:26">
      <c r="A203" s="85"/>
      <c r="B203" s="85"/>
      <c r="C203" s="85"/>
      <c r="D203" s="85"/>
      <c r="E203" s="85"/>
      <c r="F203" s="85"/>
      <c r="G203" s="85"/>
      <c r="H203" s="85"/>
      <c r="I203" s="91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2.75" customHeight="1" spans="1:26">
      <c r="A204" s="85"/>
      <c r="B204" s="85"/>
      <c r="C204" s="85"/>
      <c r="D204" s="85"/>
      <c r="E204" s="85"/>
      <c r="F204" s="85"/>
      <c r="G204" s="85"/>
      <c r="H204" s="85"/>
      <c r="I204" s="91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2.75" customHeight="1" spans="1:26">
      <c r="A205" s="85"/>
      <c r="B205" s="85"/>
      <c r="C205" s="85"/>
      <c r="D205" s="85"/>
      <c r="E205" s="85"/>
      <c r="F205" s="85"/>
      <c r="G205" s="85"/>
      <c r="H205" s="85"/>
      <c r="I205" s="91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2.75" customHeight="1" spans="1:26">
      <c r="A206" s="85"/>
      <c r="B206" s="85"/>
      <c r="C206" s="85"/>
      <c r="D206" s="85"/>
      <c r="E206" s="85"/>
      <c r="F206" s="85"/>
      <c r="G206" s="85"/>
      <c r="H206" s="85"/>
      <c r="I206" s="91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2.75" customHeight="1" spans="1:26">
      <c r="A207" s="85"/>
      <c r="B207" s="85"/>
      <c r="C207" s="85"/>
      <c r="D207" s="85"/>
      <c r="E207" s="85"/>
      <c r="F207" s="85"/>
      <c r="G207" s="85"/>
      <c r="H207" s="85"/>
      <c r="I207" s="91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2.75" customHeight="1" spans="1:26">
      <c r="A208" s="85"/>
      <c r="B208" s="85"/>
      <c r="C208" s="85"/>
      <c r="D208" s="85"/>
      <c r="E208" s="85"/>
      <c r="F208" s="85"/>
      <c r="G208" s="85"/>
      <c r="H208" s="85"/>
      <c r="I208" s="91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2.75" customHeight="1" spans="1:26">
      <c r="A209" s="85"/>
      <c r="B209" s="85"/>
      <c r="C209" s="85"/>
      <c r="D209" s="85"/>
      <c r="E209" s="85"/>
      <c r="F209" s="85"/>
      <c r="G209" s="85"/>
      <c r="H209" s="85"/>
      <c r="I209" s="91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2.75" customHeight="1" spans="1:26">
      <c r="A210" s="85"/>
      <c r="B210" s="85"/>
      <c r="C210" s="85"/>
      <c r="D210" s="85"/>
      <c r="E210" s="85"/>
      <c r="F210" s="85"/>
      <c r="G210" s="85"/>
      <c r="H210" s="85"/>
      <c r="I210" s="91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2.75" customHeight="1" spans="1:26">
      <c r="A211" s="85"/>
      <c r="B211" s="85"/>
      <c r="C211" s="85"/>
      <c r="D211" s="85"/>
      <c r="E211" s="85"/>
      <c r="F211" s="85"/>
      <c r="G211" s="85"/>
      <c r="H211" s="85"/>
      <c r="I211" s="91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2.75" customHeight="1" spans="1:26">
      <c r="A212" s="85"/>
      <c r="B212" s="85"/>
      <c r="C212" s="85"/>
      <c r="D212" s="85"/>
      <c r="E212" s="85"/>
      <c r="F212" s="85"/>
      <c r="G212" s="85"/>
      <c r="H212" s="85"/>
      <c r="I212" s="91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2.75" customHeight="1" spans="1:26">
      <c r="A213" s="85"/>
      <c r="B213" s="85"/>
      <c r="C213" s="85"/>
      <c r="D213" s="85"/>
      <c r="E213" s="85"/>
      <c r="F213" s="85"/>
      <c r="G213" s="85"/>
      <c r="H213" s="85"/>
      <c r="I213" s="91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2.75" customHeight="1" spans="1:26">
      <c r="A214" s="85"/>
      <c r="B214" s="85"/>
      <c r="C214" s="85"/>
      <c r="D214" s="85"/>
      <c r="E214" s="85"/>
      <c r="F214" s="85"/>
      <c r="G214" s="85"/>
      <c r="H214" s="85"/>
      <c r="I214" s="91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2.75" customHeight="1" spans="1:26">
      <c r="A215" s="85"/>
      <c r="B215" s="85"/>
      <c r="C215" s="85"/>
      <c r="D215" s="85"/>
      <c r="E215" s="85"/>
      <c r="F215" s="85"/>
      <c r="G215" s="85"/>
      <c r="H215" s="85"/>
      <c r="I215" s="91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2.75" customHeight="1" spans="1:26">
      <c r="A216" s="85"/>
      <c r="B216" s="85"/>
      <c r="C216" s="85"/>
      <c r="D216" s="85"/>
      <c r="E216" s="85"/>
      <c r="F216" s="85"/>
      <c r="G216" s="85"/>
      <c r="H216" s="85"/>
      <c r="I216" s="91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2.75" customHeight="1" spans="1:26">
      <c r="A217" s="85"/>
      <c r="B217" s="85"/>
      <c r="C217" s="85"/>
      <c r="D217" s="85"/>
      <c r="E217" s="85"/>
      <c r="F217" s="85"/>
      <c r="G217" s="85"/>
      <c r="H217" s="85"/>
      <c r="I217" s="91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2.75" customHeight="1" spans="1:26">
      <c r="A218" s="85"/>
      <c r="B218" s="85"/>
      <c r="C218" s="85"/>
      <c r="D218" s="85"/>
      <c r="E218" s="85"/>
      <c r="F218" s="85"/>
      <c r="G218" s="85"/>
      <c r="H218" s="85"/>
      <c r="I218" s="91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2.75" customHeight="1" spans="1:26">
      <c r="A219" s="85"/>
      <c r="B219" s="85"/>
      <c r="C219" s="85"/>
      <c r="D219" s="85"/>
      <c r="E219" s="85"/>
      <c r="F219" s="85"/>
      <c r="G219" s="85"/>
      <c r="H219" s="85"/>
      <c r="I219" s="91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2.75" customHeight="1" spans="1:26">
      <c r="A220" s="85"/>
      <c r="B220" s="85"/>
      <c r="C220" s="85"/>
      <c r="D220" s="85"/>
      <c r="E220" s="85"/>
      <c r="F220" s="85"/>
      <c r="G220" s="85"/>
      <c r="H220" s="85"/>
      <c r="I220" s="91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2.75" customHeight="1" spans="1:26">
      <c r="A221" s="85"/>
      <c r="B221" s="85"/>
      <c r="C221" s="85"/>
      <c r="D221" s="85"/>
      <c r="E221" s="85"/>
      <c r="F221" s="85"/>
      <c r="G221" s="85"/>
      <c r="H221" s="85"/>
      <c r="I221" s="91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2.75" customHeight="1" spans="1:26">
      <c r="A222" s="85"/>
      <c r="B222" s="85"/>
      <c r="C222" s="85"/>
      <c r="D222" s="85"/>
      <c r="E222" s="85"/>
      <c r="F222" s="85"/>
      <c r="G222" s="85"/>
      <c r="H222" s="85"/>
      <c r="I222" s="91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2.75" customHeight="1" spans="1:26">
      <c r="A223" s="85"/>
      <c r="B223" s="85"/>
      <c r="C223" s="85"/>
      <c r="D223" s="85"/>
      <c r="E223" s="85"/>
      <c r="F223" s="85"/>
      <c r="G223" s="85"/>
      <c r="H223" s="85"/>
      <c r="I223" s="91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2.75" customHeight="1" spans="1:26">
      <c r="A224" s="85"/>
      <c r="B224" s="85"/>
      <c r="C224" s="85"/>
      <c r="D224" s="85"/>
      <c r="E224" s="85"/>
      <c r="F224" s="85"/>
      <c r="G224" s="85"/>
      <c r="H224" s="85"/>
      <c r="I224" s="91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2.75" customHeight="1" spans="1:26">
      <c r="A225" s="85"/>
      <c r="B225" s="85"/>
      <c r="C225" s="85"/>
      <c r="D225" s="85"/>
      <c r="E225" s="85"/>
      <c r="F225" s="85"/>
      <c r="G225" s="85"/>
      <c r="H225" s="85"/>
      <c r="I225" s="91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2.75" customHeight="1" spans="1:26">
      <c r="A226" s="85"/>
      <c r="B226" s="85"/>
      <c r="C226" s="85"/>
      <c r="D226" s="85"/>
      <c r="E226" s="85"/>
      <c r="F226" s="85"/>
      <c r="G226" s="85"/>
      <c r="H226" s="85"/>
      <c r="I226" s="91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2.75" customHeight="1" spans="1:26">
      <c r="A227" s="85"/>
      <c r="B227" s="85"/>
      <c r="C227" s="85"/>
      <c r="D227" s="85"/>
      <c r="E227" s="85"/>
      <c r="F227" s="85"/>
      <c r="G227" s="85"/>
      <c r="H227" s="85"/>
      <c r="I227" s="91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2.75" customHeight="1" spans="1:26">
      <c r="A228" s="85"/>
      <c r="B228" s="85"/>
      <c r="C228" s="85"/>
      <c r="D228" s="85"/>
      <c r="E228" s="85"/>
      <c r="F228" s="85"/>
      <c r="G228" s="85"/>
      <c r="H228" s="85"/>
      <c r="I228" s="91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2.75" customHeight="1" spans="1:26">
      <c r="A229" s="85"/>
      <c r="B229" s="85"/>
      <c r="C229" s="85"/>
      <c r="D229" s="85"/>
      <c r="E229" s="85"/>
      <c r="F229" s="85"/>
      <c r="G229" s="85"/>
      <c r="H229" s="85"/>
      <c r="I229" s="91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2.75" customHeight="1" spans="1:26">
      <c r="A230" s="85"/>
      <c r="B230" s="85"/>
      <c r="C230" s="85"/>
      <c r="D230" s="85"/>
      <c r="E230" s="85"/>
      <c r="F230" s="85"/>
      <c r="G230" s="85"/>
      <c r="H230" s="85"/>
      <c r="I230" s="91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2.75" customHeight="1" spans="1:26">
      <c r="A231" s="85"/>
      <c r="B231" s="85"/>
      <c r="C231" s="85"/>
      <c r="D231" s="85"/>
      <c r="E231" s="85"/>
      <c r="F231" s="85"/>
      <c r="G231" s="85"/>
      <c r="H231" s="85"/>
      <c r="I231" s="91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2.75" customHeight="1" spans="1:26">
      <c r="A232" s="85"/>
      <c r="B232" s="85"/>
      <c r="C232" s="85"/>
      <c r="D232" s="85"/>
      <c r="E232" s="85"/>
      <c r="F232" s="85"/>
      <c r="G232" s="85"/>
      <c r="H232" s="85"/>
      <c r="I232" s="91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2.75" customHeight="1" spans="1:26">
      <c r="A233" s="85"/>
      <c r="B233" s="85"/>
      <c r="C233" s="85"/>
      <c r="D233" s="85"/>
      <c r="E233" s="85"/>
      <c r="F233" s="85"/>
      <c r="G233" s="85"/>
      <c r="H233" s="85"/>
      <c r="I233" s="91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2.75" customHeight="1" spans="1:26">
      <c r="A234" s="85"/>
      <c r="B234" s="85"/>
      <c r="C234" s="85"/>
      <c r="D234" s="85"/>
      <c r="E234" s="85"/>
      <c r="F234" s="85"/>
      <c r="G234" s="85"/>
      <c r="H234" s="85"/>
      <c r="I234" s="91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2.75" customHeight="1" spans="1:26">
      <c r="A235" s="85"/>
      <c r="B235" s="85"/>
      <c r="C235" s="85"/>
      <c r="D235" s="85"/>
      <c r="E235" s="85"/>
      <c r="F235" s="85"/>
      <c r="G235" s="85"/>
      <c r="H235" s="85"/>
      <c r="I235" s="91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2.75" customHeight="1" spans="1:26">
      <c r="A236" s="85"/>
      <c r="B236" s="85"/>
      <c r="C236" s="85"/>
      <c r="D236" s="85"/>
      <c r="E236" s="85"/>
      <c r="F236" s="85"/>
      <c r="G236" s="85"/>
      <c r="H236" s="85"/>
      <c r="I236" s="91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2.75" customHeight="1" spans="1:26">
      <c r="A237" s="85"/>
      <c r="B237" s="85"/>
      <c r="C237" s="85"/>
      <c r="D237" s="85"/>
      <c r="E237" s="85"/>
      <c r="F237" s="85"/>
      <c r="G237" s="85"/>
      <c r="H237" s="85"/>
      <c r="I237" s="91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2.75" customHeight="1" spans="1:26">
      <c r="A238" s="85"/>
      <c r="B238" s="85"/>
      <c r="C238" s="85"/>
      <c r="D238" s="85"/>
      <c r="E238" s="85"/>
      <c r="F238" s="85"/>
      <c r="G238" s="85"/>
      <c r="H238" s="85"/>
      <c r="I238" s="91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2.75" customHeight="1" spans="1:26">
      <c r="A239" s="85"/>
      <c r="B239" s="85"/>
      <c r="C239" s="85"/>
      <c r="D239" s="85"/>
      <c r="E239" s="85"/>
      <c r="F239" s="85"/>
      <c r="G239" s="85"/>
      <c r="H239" s="85"/>
      <c r="I239" s="91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2.75" customHeight="1" spans="1:26">
      <c r="A240" s="85"/>
      <c r="B240" s="85"/>
      <c r="C240" s="85"/>
      <c r="D240" s="85"/>
      <c r="E240" s="85"/>
      <c r="F240" s="85"/>
      <c r="G240" s="85"/>
      <c r="H240" s="85"/>
      <c r="I240" s="91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2.75" customHeight="1" spans="1:26">
      <c r="A241" s="85"/>
      <c r="B241" s="85"/>
      <c r="C241" s="85"/>
      <c r="D241" s="85"/>
      <c r="E241" s="85"/>
      <c r="F241" s="85"/>
      <c r="G241" s="85"/>
      <c r="H241" s="85"/>
      <c r="I241" s="91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2.75" customHeight="1" spans="1:26">
      <c r="A242" s="85"/>
      <c r="B242" s="85"/>
      <c r="C242" s="85"/>
      <c r="D242" s="85"/>
      <c r="E242" s="85"/>
      <c r="F242" s="85"/>
      <c r="G242" s="85"/>
      <c r="H242" s="85"/>
      <c r="I242" s="91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2.75" customHeight="1" spans="1:26">
      <c r="A243" s="85"/>
      <c r="B243" s="85"/>
      <c r="C243" s="85"/>
      <c r="D243" s="85"/>
      <c r="E243" s="85"/>
      <c r="F243" s="85"/>
      <c r="G243" s="85"/>
      <c r="H243" s="85"/>
      <c r="I243" s="91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2.75" customHeight="1" spans="1:26">
      <c r="A244" s="85"/>
      <c r="B244" s="85"/>
      <c r="C244" s="85"/>
      <c r="D244" s="85"/>
      <c r="E244" s="85"/>
      <c r="F244" s="85"/>
      <c r="G244" s="85"/>
      <c r="H244" s="85"/>
      <c r="I244" s="91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2.75" customHeight="1" spans="1:26">
      <c r="A245" s="85"/>
      <c r="B245" s="85"/>
      <c r="C245" s="85"/>
      <c r="D245" s="85"/>
      <c r="E245" s="85"/>
      <c r="F245" s="85"/>
      <c r="G245" s="85"/>
      <c r="H245" s="85"/>
      <c r="I245" s="91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2.75" customHeight="1" spans="1:26">
      <c r="A246" s="85"/>
      <c r="B246" s="85"/>
      <c r="C246" s="85"/>
      <c r="D246" s="85"/>
      <c r="E246" s="85"/>
      <c r="F246" s="85"/>
      <c r="G246" s="85"/>
      <c r="H246" s="85"/>
      <c r="I246" s="91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2.75" customHeight="1" spans="1:26">
      <c r="A247" s="85"/>
      <c r="B247" s="85"/>
      <c r="C247" s="85"/>
      <c r="D247" s="85"/>
      <c r="E247" s="85"/>
      <c r="F247" s="85"/>
      <c r="G247" s="85"/>
      <c r="H247" s="85"/>
      <c r="I247" s="91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2.75" customHeight="1" spans="1:26">
      <c r="A248" s="85"/>
      <c r="B248" s="85"/>
      <c r="C248" s="85"/>
      <c r="D248" s="85"/>
      <c r="E248" s="85"/>
      <c r="F248" s="85"/>
      <c r="G248" s="85"/>
      <c r="H248" s="85"/>
      <c r="I248" s="91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2.75" customHeight="1" spans="1:26">
      <c r="A249" s="85"/>
      <c r="B249" s="85"/>
      <c r="C249" s="85"/>
      <c r="D249" s="85"/>
      <c r="E249" s="85"/>
      <c r="F249" s="85"/>
      <c r="G249" s="85"/>
      <c r="H249" s="85"/>
      <c r="I249" s="91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2.75" customHeight="1" spans="1:26">
      <c r="A250" s="85"/>
      <c r="B250" s="85"/>
      <c r="C250" s="85"/>
      <c r="D250" s="85"/>
      <c r="E250" s="85"/>
      <c r="F250" s="85"/>
      <c r="G250" s="85"/>
      <c r="H250" s="85"/>
      <c r="I250" s="91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2.75" customHeight="1" spans="1:26">
      <c r="A251" s="85"/>
      <c r="B251" s="85"/>
      <c r="C251" s="85"/>
      <c r="D251" s="85"/>
      <c r="E251" s="85"/>
      <c r="F251" s="85"/>
      <c r="G251" s="85"/>
      <c r="H251" s="85"/>
      <c r="I251" s="91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2.75" customHeight="1" spans="1:26">
      <c r="A252" s="85"/>
      <c r="B252" s="85"/>
      <c r="C252" s="85"/>
      <c r="D252" s="85"/>
      <c r="E252" s="85"/>
      <c r="F252" s="85"/>
      <c r="G252" s="85"/>
      <c r="H252" s="85"/>
      <c r="I252" s="91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2.75" customHeight="1" spans="1:26">
      <c r="A253" s="85"/>
      <c r="B253" s="85"/>
      <c r="C253" s="85"/>
      <c r="D253" s="85"/>
      <c r="E253" s="85"/>
      <c r="F253" s="85"/>
      <c r="G253" s="85"/>
      <c r="H253" s="85"/>
      <c r="I253" s="91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2.75" customHeight="1" spans="1:26">
      <c r="A254" s="85"/>
      <c r="B254" s="85"/>
      <c r="C254" s="85"/>
      <c r="D254" s="85"/>
      <c r="E254" s="85"/>
      <c r="F254" s="85"/>
      <c r="G254" s="85"/>
      <c r="H254" s="85"/>
      <c r="I254" s="91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2.75" customHeight="1" spans="1:26">
      <c r="A255" s="85"/>
      <c r="B255" s="85"/>
      <c r="C255" s="85"/>
      <c r="D255" s="85"/>
      <c r="E255" s="85"/>
      <c r="F255" s="85"/>
      <c r="G255" s="85"/>
      <c r="H255" s="85"/>
      <c r="I255" s="91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2.75" customHeight="1" spans="1:26">
      <c r="A256" s="85"/>
      <c r="B256" s="85"/>
      <c r="C256" s="85"/>
      <c r="D256" s="85"/>
      <c r="E256" s="85"/>
      <c r="F256" s="85"/>
      <c r="G256" s="85"/>
      <c r="H256" s="85"/>
      <c r="I256" s="91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2.75" customHeight="1" spans="1:26">
      <c r="A257" s="85"/>
      <c r="B257" s="85"/>
      <c r="C257" s="85"/>
      <c r="D257" s="85"/>
      <c r="E257" s="85"/>
      <c r="F257" s="85"/>
      <c r="G257" s="85"/>
      <c r="H257" s="85"/>
      <c r="I257" s="91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2.75" customHeight="1" spans="1:26">
      <c r="A258" s="85"/>
      <c r="B258" s="85"/>
      <c r="C258" s="85"/>
      <c r="D258" s="85"/>
      <c r="E258" s="85"/>
      <c r="F258" s="85"/>
      <c r="G258" s="85"/>
      <c r="H258" s="85"/>
      <c r="I258" s="91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2.75" customHeight="1" spans="1:26">
      <c r="A259" s="85"/>
      <c r="B259" s="85"/>
      <c r="C259" s="85"/>
      <c r="D259" s="85"/>
      <c r="E259" s="85"/>
      <c r="F259" s="85"/>
      <c r="G259" s="85"/>
      <c r="H259" s="85"/>
      <c r="I259" s="91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2.75" customHeight="1" spans="1:26">
      <c r="A260" s="85"/>
      <c r="B260" s="85"/>
      <c r="C260" s="85"/>
      <c r="D260" s="85"/>
      <c r="E260" s="85"/>
      <c r="F260" s="85"/>
      <c r="G260" s="85"/>
      <c r="H260" s="85"/>
      <c r="I260" s="91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2.75" customHeight="1" spans="1:26">
      <c r="A261" s="85"/>
      <c r="B261" s="85"/>
      <c r="C261" s="85"/>
      <c r="D261" s="85"/>
      <c r="E261" s="85"/>
      <c r="F261" s="85"/>
      <c r="G261" s="85"/>
      <c r="H261" s="85"/>
      <c r="I261" s="91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2.75" customHeight="1" spans="1:26">
      <c r="A262" s="85"/>
      <c r="B262" s="85"/>
      <c r="C262" s="85"/>
      <c r="D262" s="85"/>
      <c r="E262" s="85"/>
      <c r="F262" s="85"/>
      <c r="G262" s="85"/>
      <c r="H262" s="85"/>
      <c r="I262" s="91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2.75" customHeight="1" spans="1:26">
      <c r="A263" s="85"/>
      <c r="B263" s="85"/>
      <c r="C263" s="85"/>
      <c r="D263" s="85"/>
      <c r="E263" s="85"/>
      <c r="F263" s="85"/>
      <c r="G263" s="85"/>
      <c r="H263" s="85"/>
      <c r="I263" s="91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2.75" customHeight="1" spans="1:26">
      <c r="A264" s="85"/>
      <c r="B264" s="85"/>
      <c r="C264" s="85"/>
      <c r="D264" s="85"/>
      <c r="E264" s="85"/>
      <c r="F264" s="85"/>
      <c r="G264" s="85"/>
      <c r="H264" s="85"/>
      <c r="I264" s="91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2.75" customHeight="1" spans="1:26">
      <c r="A265" s="85"/>
      <c r="B265" s="85"/>
      <c r="C265" s="85"/>
      <c r="D265" s="85"/>
      <c r="E265" s="85"/>
      <c r="F265" s="85"/>
      <c r="G265" s="85"/>
      <c r="H265" s="85"/>
      <c r="I265" s="91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2.75" customHeight="1" spans="1:26">
      <c r="A266" s="85"/>
      <c r="B266" s="85"/>
      <c r="C266" s="85"/>
      <c r="D266" s="85"/>
      <c r="E266" s="85"/>
      <c r="F266" s="85"/>
      <c r="G266" s="85"/>
      <c r="H266" s="85"/>
      <c r="I266" s="91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2.75" customHeight="1" spans="1:26">
      <c r="A267" s="85"/>
      <c r="B267" s="85"/>
      <c r="C267" s="85"/>
      <c r="D267" s="85"/>
      <c r="E267" s="85"/>
      <c r="F267" s="85"/>
      <c r="G267" s="85"/>
      <c r="H267" s="85"/>
      <c r="I267" s="91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2.75" customHeight="1" spans="1:26">
      <c r="A268" s="85"/>
      <c r="B268" s="85"/>
      <c r="C268" s="85"/>
      <c r="D268" s="85"/>
      <c r="E268" s="85"/>
      <c r="F268" s="85"/>
      <c r="G268" s="85"/>
      <c r="H268" s="85"/>
      <c r="I268" s="91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2.75" customHeight="1" spans="1:26">
      <c r="A269" s="85"/>
      <c r="B269" s="85"/>
      <c r="C269" s="85"/>
      <c r="D269" s="85"/>
      <c r="E269" s="85"/>
      <c r="F269" s="85"/>
      <c r="G269" s="85"/>
      <c r="H269" s="85"/>
      <c r="I269" s="91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2.75" customHeight="1" spans="1:26">
      <c r="A270" s="85"/>
      <c r="B270" s="85"/>
      <c r="C270" s="85"/>
      <c r="D270" s="85"/>
      <c r="E270" s="85"/>
      <c r="F270" s="85"/>
      <c r="G270" s="85"/>
      <c r="H270" s="85"/>
      <c r="I270" s="91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2.75" customHeight="1" spans="1:26">
      <c r="A271" s="85"/>
      <c r="B271" s="85"/>
      <c r="C271" s="85"/>
      <c r="D271" s="85"/>
      <c r="E271" s="85"/>
      <c r="F271" s="85"/>
      <c r="G271" s="85"/>
      <c r="H271" s="85"/>
      <c r="I271" s="91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2.75" customHeight="1" spans="1:26">
      <c r="A272" s="85"/>
      <c r="B272" s="85"/>
      <c r="C272" s="85"/>
      <c r="D272" s="85"/>
      <c r="E272" s="85"/>
      <c r="F272" s="85"/>
      <c r="G272" s="85"/>
      <c r="H272" s="85"/>
      <c r="I272" s="91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2.75" customHeight="1" spans="1:26">
      <c r="A273" s="85"/>
      <c r="B273" s="85"/>
      <c r="C273" s="85"/>
      <c r="D273" s="85"/>
      <c r="E273" s="85"/>
      <c r="F273" s="85"/>
      <c r="G273" s="85"/>
      <c r="H273" s="85"/>
      <c r="I273" s="91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2.75" customHeight="1" spans="1:26">
      <c r="A274" s="85"/>
      <c r="B274" s="85"/>
      <c r="C274" s="85"/>
      <c r="D274" s="85"/>
      <c r="E274" s="85"/>
      <c r="F274" s="85"/>
      <c r="G274" s="85"/>
      <c r="H274" s="85"/>
      <c r="I274" s="91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2.75" customHeight="1" spans="1:26">
      <c r="A275" s="85"/>
      <c r="B275" s="85"/>
      <c r="C275" s="85"/>
      <c r="D275" s="85"/>
      <c r="E275" s="85"/>
      <c r="F275" s="85"/>
      <c r="G275" s="85"/>
      <c r="H275" s="85"/>
      <c r="I275" s="91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2.75" customHeight="1" spans="1:26">
      <c r="A276" s="85"/>
      <c r="B276" s="85"/>
      <c r="C276" s="85"/>
      <c r="D276" s="85"/>
      <c r="E276" s="85"/>
      <c r="F276" s="85"/>
      <c r="G276" s="85"/>
      <c r="H276" s="85"/>
      <c r="I276" s="91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2.75" customHeight="1" spans="1:26">
      <c r="A277" s="85"/>
      <c r="B277" s="85"/>
      <c r="C277" s="85"/>
      <c r="D277" s="85"/>
      <c r="E277" s="85"/>
      <c r="F277" s="85"/>
      <c r="G277" s="85"/>
      <c r="H277" s="85"/>
      <c r="I277" s="91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2.75" customHeight="1" spans="1:26">
      <c r="A278" s="85"/>
      <c r="B278" s="85"/>
      <c r="C278" s="85"/>
      <c r="D278" s="85"/>
      <c r="E278" s="85"/>
      <c r="F278" s="85"/>
      <c r="G278" s="85"/>
      <c r="H278" s="85"/>
      <c r="I278" s="91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2.75" customHeight="1" spans="1:26">
      <c r="A279" s="85"/>
      <c r="B279" s="85"/>
      <c r="C279" s="85"/>
      <c r="D279" s="85"/>
      <c r="E279" s="85"/>
      <c r="F279" s="85"/>
      <c r="G279" s="85"/>
      <c r="H279" s="85"/>
      <c r="I279" s="91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2.75" customHeight="1" spans="1:26">
      <c r="A280" s="85"/>
      <c r="B280" s="85"/>
      <c r="C280" s="85"/>
      <c r="D280" s="85"/>
      <c r="E280" s="85"/>
      <c r="F280" s="85"/>
      <c r="G280" s="85"/>
      <c r="H280" s="85"/>
      <c r="I280" s="91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2.75" customHeight="1" spans="1:26">
      <c r="A281" s="85"/>
      <c r="B281" s="85"/>
      <c r="C281" s="85"/>
      <c r="D281" s="85"/>
      <c r="E281" s="85"/>
      <c r="F281" s="85"/>
      <c r="G281" s="85"/>
      <c r="H281" s="85"/>
      <c r="I281" s="91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2.75" customHeight="1" spans="1:26">
      <c r="A282" s="85"/>
      <c r="B282" s="85"/>
      <c r="C282" s="85"/>
      <c r="D282" s="85"/>
      <c r="E282" s="85"/>
      <c r="F282" s="85"/>
      <c r="G282" s="85"/>
      <c r="H282" s="85"/>
      <c r="I282" s="91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2.75" customHeight="1" spans="1:26">
      <c r="A283" s="85"/>
      <c r="B283" s="85"/>
      <c r="C283" s="85"/>
      <c r="D283" s="85"/>
      <c r="E283" s="85"/>
      <c r="F283" s="85"/>
      <c r="G283" s="85"/>
      <c r="H283" s="85"/>
      <c r="I283" s="91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2.75" customHeight="1" spans="1:26">
      <c r="A284" s="85"/>
      <c r="B284" s="85"/>
      <c r="C284" s="85"/>
      <c r="D284" s="85"/>
      <c r="E284" s="85"/>
      <c r="F284" s="85"/>
      <c r="G284" s="85"/>
      <c r="H284" s="85"/>
      <c r="I284" s="91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2.75" customHeight="1" spans="1:26">
      <c r="A285" s="85"/>
      <c r="B285" s="85"/>
      <c r="C285" s="85"/>
      <c r="D285" s="85"/>
      <c r="E285" s="85"/>
      <c r="F285" s="85"/>
      <c r="G285" s="85"/>
      <c r="H285" s="85"/>
      <c r="I285" s="91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2.75" customHeight="1" spans="1:26">
      <c r="A286" s="85"/>
      <c r="B286" s="85"/>
      <c r="C286" s="85"/>
      <c r="D286" s="85"/>
      <c r="E286" s="85"/>
      <c r="F286" s="85"/>
      <c r="G286" s="85"/>
      <c r="H286" s="85"/>
      <c r="I286" s="91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2.75" customHeight="1" spans="1:26">
      <c r="A287" s="85"/>
      <c r="B287" s="85"/>
      <c r="C287" s="85"/>
      <c r="D287" s="85"/>
      <c r="E287" s="85"/>
      <c r="F287" s="85"/>
      <c r="G287" s="85"/>
      <c r="H287" s="85"/>
      <c r="I287" s="91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2.75" customHeight="1" spans="1:26">
      <c r="A288" s="85"/>
      <c r="B288" s="85"/>
      <c r="C288" s="85"/>
      <c r="D288" s="85"/>
      <c r="E288" s="85"/>
      <c r="F288" s="85"/>
      <c r="G288" s="85"/>
      <c r="H288" s="85"/>
      <c r="I288" s="91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2.75" customHeight="1" spans="1:26">
      <c r="A289" s="85"/>
      <c r="B289" s="85"/>
      <c r="C289" s="85"/>
      <c r="D289" s="85"/>
      <c r="E289" s="85"/>
      <c r="F289" s="85"/>
      <c r="G289" s="85"/>
      <c r="H289" s="85"/>
      <c r="I289" s="91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2.75" customHeight="1" spans="1:26">
      <c r="A290" s="85"/>
      <c r="B290" s="85"/>
      <c r="C290" s="85"/>
      <c r="D290" s="85"/>
      <c r="E290" s="85"/>
      <c r="F290" s="85"/>
      <c r="G290" s="85"/>
      <c r="H290" s="85"/>
      <c r="I290" s="91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2.75" customHeight="1" spans="1:26">
      <c r="A291" s="85"/>
      <c r="B291" s="85"/>
      <c r="C291" s="85"/>
      <c r="D291" s="85"/>
      <c r="E291" s="85"/>
      <c r="F291" s="85"/>
      <c r="G291" s="85"/>
      <c r="H291" s="85"/>
      <c r="I291" s="91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2.75" customHeight="1" spans="1:26">
      <c r="A292" s="85"/>
      <c r="B292" s="85"/>
      <c r="C292" s="85"/>
      <c r="D292" s="85"/>
      <c r="E292" s="85"/>
      <c r="F292" s="85"/>
      <c r="G292" s="85"/>
      <c r="H292" s="85"/>
      <c r="I292" s="91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2.75" customHeight="1" spans="1:26">
      <c r="A293" s="85"/>
      <c r="B293" s="85"/>
      <c r="C293" s="85"/>
      <c r="D293" s="85"/>
      <c r="E293" s="85"/>
      <c r="F293" s="85"/>
      <c r="G293" s="85"/>
      <c r="H293" s="85"/>
      <c r="I293" s="91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2.75" customHeight="1" spans="1:26">
      <c r="A294" s="85"/>
      <c r="B294" s="85"/>
      <c r="C294" s="85"/>
      <c r="D294" s="85"/>
      <c r="E294" s="85"/>
      <c r="F294" s="85"/>
      <c r="G294" s="85"/>
      <c r="H294" s="85"/>
      <c r="I294" s="91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2.75" customHeight="1" spans="1:26">
      <c r="A295" s="85"/>
      <c r="B295" s="85"/>
      <c r="C295" s="85"/>
      <c r="D295" s="85"/>
      <c r="E295" s="85"/>
      <c r="F295" s="85"/>
      <c r="G295" s="85"/>
      <c r="H295" s="85"/>
      <c r="I295" s="91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2.75" customHeight="1" spans="1:26">
      <c r="A296" s="85"/>
      <c r="B296" s="85"/>
      <c r="C296" s="85"/>
      <c r="D296" s="85"/>
      <c r="E296" s="85"/>
      <c r="F296" s="85"/>
      <c r="G296" s="85"/>
      <c r="H296" s="85"/>
      <c r="I296" s="91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2.75" customHeight="1" spans="1:26">
      <c r="A297" s="85"/>
      <c r="B297" s="85"/>
      <c r="C297" s="85"/>
      <c r="D297" s="85"/>
      <c r="E297" s="85"/>
      <c r="F297" s="85"/>
      <c r="G297" s="85"/>
      <c r="H297" s="85"/>
      <c r="I297" s="91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2.75" customHeight="1" spans="1:26">
      <c r="A298" s="85"/>
      <c r="B298" s="85"/>
      <c r="C298" s="85"/>
      <c r="D298" s="85"/>
      <c r="E298" s="85"/>
      <c r="F298" s="85"/>
      <c r="G298" s="85"/>
      <c r="H298" s="85"/>
      <c r="I298" s="91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2.75" customHeight="1" spans="1:26">
      <c r="A299" s="85"/>
      <c r="B299" s="85"/>
      <c r="C299" s="85"/>
      <c r="D299" s="85"/>
      <c r="E299" s="85"/>
      <c r="F299" s="85"/>
      <c r="G299" s="85"/>
      <c r="H299" s="85"/>
      <c r="I299" s="91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2.75" customHeight="1" spans="1:26">
      <c r="A300" s="85"/>
      <c r="B300" s="85"/>
      <c r="C300" s="85"/>
      <c r="D300" s="85"/>
      <c r="E300" s="85"/>
      <c r="F300" s="85"/>
      <c r="G300" s="85"/>
      <c r="H300" s="85"/>
      <c r="I300" s="91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2.75" customHeight="1" spans="1:26">
      <c r="A301" s="85"/>
      <c r="B301" s="85"/>
      <c r="C301" s="85"/>
      <c r="D301" s="85"/>
      <c r="E301" s="85"/>
      <c r="F301" s="85"/>
      <c r="G301" s="85"/>
      <c r="H301" s="85"/>
      <c r="I301" s="91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2.75" customHeight="1" spans="1:26">
      <c r="A302" s="85"/>
      <c r="B302" s="85"/>
      <c r="C302" s="85"/>
      <c r="D302" s="85"/>
      <c r="E302" s="85"/>
      <c r="F302" s="85"/>
      <c r="G302" s="85"/>
      <c r="H302" s="85"/>
      <c r="I302" s="91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2.75" customHeight="1" spans="1:26">
      <c r="A303" s="85"/>
      <c r="B303" s="85"/>
      <c r="C303" s="85"/>
      <c r="D303" s="85"/>
      <c r="E303" s="85"/>
      <c r="F303" s="85"/>
      <c r="G303" s="85"/>
      <c r="H303" s="85"/>
      <c r="I303" s="91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2.75" customHeight="1" spans="1:26">
      <c r="A304" s="85"/>
      <c r="B304" s="85"/>
      <c r="C304" s="85"/>
      <c r="D304" s="85"/>
      <c r="E304" s="85"/>
      <c r="F304" s="85"/>
      <c r="G304" s="85"/>
      <c r="H304" s="85"/>
      <c r="I304" s="91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2.75" customHeight="1" spans="1:26">
      <c r="A305" s="85"/>
      <c r="B305" s="85"/>
      <c r="C305" s="85"/>
      <c r="D305" s="85"/>
      <c r="E305" s="85"/>
      <c r="F305" s="85"/>
      <c r="G305" s="85"/>
      <c r="H305" s="85"/>
      <c r="I305" s="91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2.75" customHeight="1" spans="1:26">
      <c r="A306" s="85"/>
      <c r="B306" s="85"/>
      <c r="C306" s="85"/>
      <c r="D306" s="85"/>
      <c r="E306" s="85"/>
      <c r="F306" s="85"/>
      <c r="G306" s="85"/>
      <c r="H306" s="85"/>
      <c r="I306" s="91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2.75" customHeight="1" spans="1:26">
      <c r="A307" s="85"/>
      <c r="B307" s="85"/>
      <c r="C307" s="85"/>
      <c r="D307" s="85"/>
      <c r="E307" s="85"/>
      <c r="F307" s="85"/>
      <c r="G307" s="85"/>
      <c r="H307" s="85"/>
      <c r="I307" s="91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2.75" customHeight="1" spans="1:26">
      <c r="A308" s="85"/>
      <c r="B308" s="85"/>
      <c r="C308" s="85"/>
      <c r="D308" s="85"/>
      <c r="E308" s="85"/>
      <c r="F308" s="85"/>
      <c r="G308" s="85"/>
      <c r="H308" s="85"/>
      <c r="I308" s="91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2.75" customHeight="1" spans="1:26">
      <c r="A309" s="85"/>
      <c r="B309" s="85"/>
      <c r="C309" s="85"/>
      <c r="D309" s="85"/>
      <c r="E309" s="85"/>
      <c r="F309" s="85"/>
      <c r="G309" s="85"/>
      <c r="H309" s="85"/>
      <c r="I309" s="91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2.75" customHeight="1" spans="1:26">
      <c r="A310" s="85"/>
      <c r="B310" s="85"/>
      <c r="C310" s="85"/>
      <c r="D310" s="85"/>
      <c r="E310" s="85"/>
      <c r="F310" s="85"/>
      <c r="G310" s="85"/>
      <c r="H310" s="85"/>
      <c r="I310" s="91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2.75" customHeight="1" spans="1:26">
      <c r="A311" s="85"/>
      <c r="B311" s="85"/>
      <c r="C311" s="85"/>
      <c r="D311" s="85"/>
      <c r="E311" s="85"/>
      <c r="F311" s="85"/>
      <c r="G311" s="85"/>
      <c r="H311" s="85"/>
      <c r="I311" s="91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2.75" customHeight="1" spans="1:26">
      <c r="A312" s="85"/>
      <c r="B312" s="85"/>
      <c r="C312" s="85"/>
      <c r="D312" s="85"/>
      <c r="E312" s="85"/>
      <c r="F312" s="85"/>
      <c r="G312" s="85"/>
      <c r="H312" s="85"/>
      <c r="I312" s="91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2.75" customHeight="1" spans="1:26">
      <c r="A313" s="85"/>
      <c r="B313" s="85"/>
      <c r="C313" s="85"/>
      <c r="D313" s="85"/>
      <c r="E313" s="85"/>
      <c r="F313" s="85"/>
      <c r="G313" s="85"/>
      <c r="H313" s="85"/>
      <c r="I313" s="91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2.75" customHeight="1" spans="1:26">
      <c r="A314" s="85"/>
      <c r="B314" s="85"/>
      <c r="C314" s="85"/>
      <c r="D314" s="85"/>
      <c r="E314" s="85"/>
      <c r="F314" s="85"/>
      <c r="G314" s="85"/>
      <c r="H314" s="85"/>
      <c r="I314" s="91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2.75" customHeight="1" spans="1:26">
      <c r="A315" s="85"/>
      <c r="B315" s="85"/>
      <c r="C315" s="85"/>
      <c r="D315" s="85"/>
      <c r="E315" s="85"/>
      <c r="F315" s="85"/>
      <c r="G315" s="85"/>
      <c r="H315" s="85"/>
      <c r="I315" s="91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2.75" customHeight="1" spans="1:26">
      <c r="A316" s="85"/>
      <c r="B316" s="85"/>
      <c r="C316" s="85"/>
      <c r="D316" s="85"/>
      <c r="E316" s="85"/>
      <c r="F316" s="85"/>
      <c r="G316" s="85"/>
      <c r="H316" s="85"/>
      <c r="I316" s="91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2.75" customHeight="1" spans="1:26">
      <c r="A317" s="85"/>
      <c r="B317" s="85"/>
      <c r="C317" s="85"/>
      <c r="D317" s="85"/>
      <c r="E317" s="85"/>
      <c r="F317" s="85"/>
      <c r="G317" s="85"/>
      <c r="H317" s="85"/>
      <c r="I317" s="91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2.75" customHeight="1" spans="1:26">
      <c r="A318" s="85"/>
      <c r="B318" s="85"/>
      <c r="C318" s="85"/>
      <c r="D318" s="85"/>
      <c r="E318" s="85"/>
      <c r="F318" s="85"/>
      <c r="G318" s="85"/>
      <c r="H318" s="85"/>
      <c r="I318" s="91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2.75" customHeight="1" spans="1:26">
      <c r="A319" s="85"/>
      <c r="B319" s="85"/>
      <c r="C319" s="85"/>
      <c r="D319" s="85"/>
      <c r="E319" s="85"/>
      <c r="F319" s="85"/>
      <c r="G319" s="85"/>
      <c r="H319" s="85"/>
      <c r="I319" s="91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2.75" customHeight="1" spans="1:26">
      <c r="A320" s="85"/>
      <c r="B320" s="85"/>
      <c r="C320" s="85"/>
      <c r="D320" s="85"/>
      <c r="E320" s="85"/>
      <c r="F320" s="85"/>
      <c r="G320" s="85"/>
      <c r="H320" s="85"/>
      <c r="I320" s="91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2.75" customHeight="1" spans="1:26">
      <c r="A321" s="85"/>
      <c r="B321" s="85"/>
      <c r="C321" s="85"/>
      <c r="D321" s="85"/>
      <c r="E321" s="85"/>
      <c r="F321" s="85"/>
      <c r="G321" s="85"/>
      <c r="H321" s="85"/>
      <c r="I321" s="91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2.75" customHeight="1" spans="1:26">
      <c r="A322" s="85"/>
      <c r="B322" s="85"/>
      <c r="C322" s="85"/>
      <c r="D322" s="85"/>
      <c r="E322" s="85"/>
      <c r="F322" s="85"/>
      <c r="G322" s="85"/>
      <c r="H322" s="85"/>
      <c r="I322" s="91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2.75" customHeight="1" spans="1:26">
      <c r="A323" s="85"/>
      <c r="B323" s="85"/>
      <c r="C323" s="85"/>
      <c r="D323" s="85"/>
      <c r="E323" s="85"/>
      <c r="F323" s="85"/>
      <c r="G323" s="85"/>
      <c r="H323" s="85"/>
      <c r="I323" s="91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2.75" customHeight="1" spans="1:26">
      <c r="A324" s="85"/>
      <c r="B324" s="85"/>
      <c r="C324" s="85"/>
      <c r="D324" s="85"/>
      <c r="E324" s="85"/>
      <c r="F324" s="85"/>
      <c r="G324" s="85"/>
      <c r="H324" s="85"/>
      <c r="I324" s="91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2.75" customHeight="1" spans="1:26">
      <c r="A325" s="85"/>
      <c r="B325" s="85"/>
      <c r="C325" s="85"/>
      <c r="D325" s="85"/>
      <c r="E325" s="85"/>
      <c r="F325" s="85"/>
      <c r="G325" s="85"/>
      <c r="H325" s="85"/>
      <c r="I325" s="91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2.75" customHeight="1" spans="1:26">
      <c r="A326" s="85"/>
      <c r="B326" s="85"/>
      <c r="C326" s="85"/>
      <c r="D326" s="85"/>
      <c r="E326" s="85"/>
      <c r="F326" s="85"/>
      <c r="G326" s="85"/>
      <c r="H326" s="85"/>
      <c r="I326" s="91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2.75" customHeight="1" spans="1:26">
      <c r="A327" s="85"/>
      <c r="B327" s="85"/>
      <c r="C327" s="85"/>
      <c r="D327" s="85"/>
      <c r="E327" s="85"/>
      <c r="F327" s="85"/>
      <c r="G327" s="85"/>
      <c r="H327" s="85"/>
      <c r="I327" s="91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2.75" customHeight="1" spans="1:26">
      <c r="A328" s="85"/>
      <c r="B328" s="85"/>
      <c r="C328" s="85"/>
      <c r="D328" s="85"/>
      <c r="E328" s="85"/>
      <c r="F328" s="85"/>
      <c r="G328" s="85"/>
      <c r="H328" s="85"/>
      <c r="I328" s="91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2.75" customHeight="1" spans="1:26">
      <c r="A329" s="85"/>
      <c r="B329" s="85"/>
      <c r="C329" s="85"/>
      <c r="D329" s="85"/>
      <c r="E329" s="85"/>
      <c r="F329" s="85"/>
      <c r="G329" s="85"/>
      <c r="H329" s="85"/>
      <c r="I329" s="91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2.75" customHeight="1" spans="1:26">
      <c r="A330" s="85"/>
      <c r="B330" s="85"/>
      <c r="C330" s="85"/>
      <c r="D330" s="85"/>
      <c r="E330" s="85"/>
      <c r="F330" s="85"/>
      <c r="G330" s="85"/>
      <c r="H330" s="85"/>
      <c r="I330" s="91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2.75" customHeight="1" spans="1:26">
      <c r="A331" s="85"/>
      <c r="B331" s="85"/>
      <c r="C331" s="85"/>
      <c r="D331" s="85"/>
      <c r="E331" s="85"/>
      <c r="F331" s="85"/>
      <c r="G331" s="85"/>
      <c r="H331" s="85"/>
      <c r="I331" s="91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2.75" customHeight="1" spans="1:26">
      <c r="A332" s="85"/>
      <c r="B332" s="85"/>
      <c r="C332" s="85"/>
      <c r="D332" s="85"/>
      <c r="E332" s="85"/>
      <c r="F332" s="85"/>
      <c r="G332" s="85"/>
      <c r="H332" s="85"/>
      <c r="I332" s="91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2.75" customHeight="1" spans="1:26">
      <c r="A333" s="85"/>
      <c r="B333" s="85"/>
      <c r="C333" s="85"/>
      <c r="D333" s="85"/>
      <c r="E333" s="85"/>
      <c r="F333" s="85"/>
      <c r="G333" s="85"/>
      <c r="H333" s="85"/>
      <c r="I333" s="91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2.75" customHeight="1" spans="1:26">
      <c r="A334" s="85"/>
      <c r="B334" s="85"/>
      <c r="C334" s="85"/>
      <c r="D334" s="85"/>
      <c r="E334" s="85"/>
      <c r="F334" s="85"/>
      <c r="G334" s="85"/>
      <c r="H334" s="85"/>
      <c r="I334" s="91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2.75" customHeight="1" spans="1:26">
      <c r="A335" s="85"/>
      <c r="B335" s="85"/>
      <c r="C335" s="85"/>
      <c r="D335" s="85"/>
      <c r="E335" s="85"/>
      <c r="F335" s="85"/>
      <c r="G335" s="85"/>
      <c r="H335" s="85"/>
      <c r="I335" s="91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2.75" customHeight="1" spans="1:26">
      <c r="A336" s="85"/>
      <c r="B336" s="85"/>
      <c r="C336" s="85"/>
      <c r="D336" s="85"/>
      <c r="E336" s="85"/>
      <c r="F336" s="85"/>
      <c r="G336" s="85"/>
      <c r="H336" s="85"/>
      <c r="I336" s="91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2.75" customHeight="1" spans="1:26">
      <c r="A337" s="85"/>
      <c r="B337" s="85"/>
      <c r="C337" s="85"/>
      <c r="D337" s="85"/>
      <c r="E337" s="85"/>
      <c r="F337" s="85"/>
      <c r="G337" s="85"/>
      <c r="H337" s="85"/>
      <c r="I337" s="91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2.75" customHeight="1" spans="1:26">
      <c r="A338" s="85"/>
      <c r="B338" s="85"/>
      <c r="C338" s="85"/>
      <c r="D338" s="85"/>
      <c r="E338" s="85"/>
      <c r="F338" s="85"/>
      <c r="G338" s="85"/>
      <c r="H338" s="85"/>
      <c r="I338" s="91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2.75" customHeight="1" spans="1:26">
      <c r="A339" s="85"/>
      <c r="B339" s="85"/>
      <c r="C339" s="85"/>
      <c r="D339" s="85"/>
      <c r="E339" s="85"/>
      <c r="F339" s="85"/>
      <c r="G339" s="85"/>
      <c r="H339" s="85"/>
      <c r="I339" s="91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2.75" customHeight="1" spans="1:26">
      <c r="A340" s="85"/>
      <c r="B340" s="85"/>
      <c r="C340" s="85"/>
      <c r="D340" s="85"/>
      <c r="E340" s="85"/>
      <c r="F340" s="85"/>
      <c r="G340" s="85"/>
      <c r="H340" s="85"/>
      <c r="I340" s="91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2.75" customHeight="1" spans="1:26">
      <c r="A341" s="85"/>
      <c r="B341" s="85"/>
      <c r="C341" s="85"/>
      <c r="D341" s="85"/>
      <c r="E341" s="85"/>
      <c r="F341" s="85"/>
      <c r="G341" s="85"/>
      <c r="H341" s="85"/>
      <c r="I341" s="91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2.75" customHeight="1" spans="1:26">
      <c r="A342" s="85"/>
      <c r="B342" s="85"/>
      <c r="C342" s="85"/>
      <c r="D342" s="85"/>
      <c r="E342" s="85"/>
      <c r="F342" s="85"/>
      <c r="G342" s="85"/>
      <c r="H342" s="85"/>
      <c r="I342" s="91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2.75" customHeight="1" spans="1:26">
      <c r="A343" s="85"/>
      <c r="B343" s="85"/>
      <c r="C343" s="85"/>
      <c r="D343" s="85"/>
      <c r="E343" s="85"/>
      <c r="F343" s="85"/>
      <c r="G343" s="85"/>
      <c r="H343" s="85"/>
      <c r="I343" s="91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2.75" customHeight="1" spans="1:26">
      <c r="A344" s="85"/>
      <c r="B344" s="85"/>
      <c r="C344" s="85"/>
      <c r="D344" s="85"/>
      <c r="E344" s="85"/>
      <c r="F344" s="85"/>
      <c r="G344" s="85"/>
      <c r="H344" s="85"/>
      <c r="I344" s="91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2.75" customHeight="1" spans="1:26">
      <c r="A345" s="85"/>
      <c r="B345" s="85"/>
      <c r="C345" s="85"/>
      <c r="D345" s="85"/>
      <c r="E345" s="85"/>
      <c r="F345" s="85"/>
      <c r="G345" s="85"/>
      <c r="H345" s="85"/>
      <c r="I345" s="91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2.75" customHeight="1" spans="1:26">
      <c r="A346" s="85"/>
      <c r="B346" s="85"/>
      <c r="C346" s="85"/>
      <c r="D346" s="85"/>
      <c r="E346" s="85"/>
      <c r="F346" s="85"/>
      <c r="G346" s="85"/>
      <c r="H346" s="85"/>
      <c r="I346" s="91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2.75" customHeight="1" spans="1:26">
      <c r="A347" s="85"/>
      <c r="B347" s="85"/>
      <c r="C347" s="85"/>
      <c r="D347" s="85"/>
      <c r="E347" s="85"/>
      <c r="F347" s="85"/>
      <c r="G347" s="85"/>
      <c r="H347" s="85"/>
      <c r="I347" s="91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2.75" customHeight="1" spans="1:26">
      <c r="A348" s="85"/>
      <c r="B348" s="85"/>
      <c r="C348" s="85"/>
      <c r="D348" s="85"/>
      <c r="E348" s="85"/>
      <c r="F348" s="85"/>
      <c r="G348" s="85"/>
      <c r="H348" s="85"/>
      <c r="I348" s="91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2.75" customHeight="1" spans="1:26">
      <c r="A349" s="85"/>
      <c r="B349" s="85"/>
      <c r="C349" s="85"/>
      <c r="D349" s="85"/>
      <c r="E349" s="85"/>
      <c r="F349" s="85"/>
      <c r="G349" s="85"/>
      <c r="H349" s="85"/>
      <c r="I349" s="91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2.75" customHeight="1" spans="1:26">
      <c r="A350" s="85"/>
      <c r="B350" s="85"/>
      <c r="C350" s="85"/>
      <c r="D350" s="85"/>
      <c r="E350" s="85"/>
      <c r="F350" s="85"/>
      <c r="G350" s="85"/>
      <c r="H350" s="85"/>
      <c r="I350" s="91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2.75" customHeight="1" spans="1:26">
      <c r="A351" s="85"/>
      <c r="B351" s="85"/>
      <c r="C351" s="85"/>
      <c r="D351" s="85"/>
      <c r="E351" s="85"/>
      <c r="F351" s="85"/>
      <c r="G351" s="85"/>
      <c r="H351" s="85"/>
      <c r="I351" s="91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2.75" customHeight="1" spans="1:26">
      <c r="A352" s="85"/>
      <c r="B352" s="85"/>
      <c r="C352" s="85"/>
      <c r="D352" s="85"/>
      <c r="E352" s="85"/>
      <c r="F352" s="85"/>
      <c r="G352" s="85"/>
      <c r="H352" s="85"/>
      <c r="I352" s="91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2.75" customHeight="1" spans="1:26">
      <c r="A353" s="85"/>
      <c r="B353" s="85"/>
      <c r="C353" s="85"/>
      <c r="D353" s="85"/>
      <c r="E353" s="85"/>
      <c r="F353" s="85"/>
      <c r="G353" s="85"/>
      <c r="H353" s="85"/>
      <c r="I353" s="91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2.75" customHeight="1" spans="1:26">
      <c r="A354" s="85"/>
      <c r="B354" s="85"/>
      <c r="C354" s="85"/>
      <c r="D354" s="85"/>
      <c r="E354" s="85"/>
      <c r="F354" s="85"/>
      <c r="G354" s="85"/>
      <c r="H354" s="85"/>
      <c r="I354" s="91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2.75" customHeight="1" spans="1:26">
      <c r="A355" s="85"/>
      <c r="B355" s="85"/>
      <c r="C355" s="85"/>
      <c r="D355" s="85"/>
      <c r="E355" s="85"/>
      <c r="F355" s="85"/>
      <c r="G355" s="85"/>
      <c r="H355" s="85"/>
      <c r="I355" s="91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2.75" customHeight="1" spans="1:26">
      <c r="A356" s="85"/>
      <c r="B356" s="85"/>
      <c r="C356" s="85"/>
      <c r="D356" s="85"/>
      <c r="E356" s="85"/>
      <c r="F356" s="85"/>
      <c r="G356" s="85"/>
      <c r="H356" s="85"/>
      <c r="I356" s="91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2.75" customHeight="1" spans="1:26">
      <c r="A357" s="85"/>
      <c r="B357" s="85"/>
      <c r="C357" s="85"/>
      <c r="D357" s="85"/>
      <c r="E357" s="85"/>
      <c r="F357" s="85"/>
      <c r="G357" s="85"/>
      <c r="H357" s="85"/>
      <c r="I357" s="91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2.75" customHeight="1" spans="1:26">
      <c r="A358" s="85"/>
      <c r="B358" s="85"/>
      <c r="C358" s="85"/>
      <c r="D358" s="85"/>
      <c r="E358" s="85"/>
      <c r="F358" s="85"/>
      <c r="G358" s="85"/>
      <c r="H358" s="85"/>
      <c r="I358" s="91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2.75" customHeight="1" spans="1:26">
      <c r="A359" s="85"/>
      <c r="B359" s="85"/>
      <c r="C359" s="85"/>
      <c r="D359" s="85"/>
      <c r="E359" s="85"/>
      <c r="F359" s="85"/>
      <c r="G359" s="85"/>
      <c r="H359" s="85"/>
      <c r="I359" s="91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2.75" customHeight="1" spans="1:26">
      <c r="A360" s="85"/>
      <c r="B360" s="85"/>
      <c r="C360" s="85"/>
      <c r="D360" s="85"/>
      <c r="E360" s="85"/>
      <c r="F360" s="85"/>
      <c r="G360" s="85"/>
      <c r="H360" s="85"/>
      <c r="I360" s="91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2.75" customHeight="1" spans="1:26">
      <c r="A361" s="85"/>
      <c r="B361" s="85"/>
      <c r="C361" s="85"/>
      <c r="D361" s="85"/>
      <c r="E361" s="85"/>
      <c r="F361" s="85"/>
      <c r="G361" s="85"/>
      <c r="H361" s="85"/>
      <c r="I361" s="91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2.75" customHeight="1" spans="1:26">
      <c r="A362" s="85"/>
      <c r="B362" s="85"/>
      <c r="C362" s="85"/>
      <c r="D362" s="85"/>
      <c r="E362" s="85"/>
      <c r="F362" s="85"/>
      <c r="G362" s="85"/>
      <c r="H362" s="85"/>
      <c r="I362" s="91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2.75" customHeight="1" spans="1:26">
      <c r="A363" s="85"/>
      <c r="B363" s="85"/>
      <c r="C363" s="85"/>
      <c r="D363" s="85"/>
      <c r="E363" s="85"/>
      <c r="F363" s="85"/>
      <c r="G363" s="85"/>
      <c r="H363" s="85"/>
      <c r="I363" s="91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2.75" customHeight="1" spans="1:26">
      <c r="A364" s="85"/>
      <c r="B364" s="85"/>
      <c r="C364" s="85"/>
      <c r="D364" s="85"/>
      <c r="E364" s="85"/>
      <c r="F364" s="85"/>
      <c r="G364" s="85"/>
      <c r="H364" s="85"/>
      <c r="I364" s="91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2.75" customHeight="1" spans="1:26">
      <c r="A365" s="85"/>
      <c r="B365" s="85"/>
      <c r="C365" s="85"/>
      <c r="D365" s="85"/>
      <c r="E365" s="85"/>
      <c r="F365" s="85"/>
      <c r="G365" s="85"/>
      <c r="H365" s="85"/>
      <c r="I365" s="91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2.75" customHeight="1" spans="1:26">
      <c r="A366" s="85"/>
      <c r="B366" s="85"/>
      <c r="C366" s="85"/>
      <c r="D366" s="85"/>
      <c r="E366" s="85"/>
      <c r="F366" s="85"/>
      <c r="G366" s="85"/>
      <c r="H366" s="85"/>
      <c r="I366" s="91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2.75" customHeight="1" spans="1:26">
      <c r="A367" s="85"/>
      <c r="B367" s="85"/>
      <c r="C367" s="85"/>
      <c r="D367" s="85"/>
      <c r="E367" s="85"/>
      <c r="F367" s="85"/>
      <c r="G367" s="85"/>
      <c r="H367" s="85"/>
      <c r="I367" s="91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2.75" customHeight="1" spans="1:26">
      <c r="A368" s="85"/>
      <c r="B368" s="85"/>
      <c r="C368" s="85"/>
      <c r="D368" s="85"/>
      <c r="E368" s="85"/>
      <c r="F368" s="85"/>
      <c r="G368" s="85"/>
      <c r="H368" s="85"/>
      <c r="I368" s="91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2.75" customHeight="1" spans="1:26">
      <c r="A369" s="85"/>
      <c r="B369" s="85"/>
      <c r="C369" s="85"/>
      <c r="D369" s="85"/>
      <c r="E369" s="85"/>
      <c r="F369" s="85"/>
      <c r="G369" s="85"/>
      <c r="H369" s="85"/>
      <c r="I369" s="91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2.75" customHeight="1" spans="1:26">
      <c r="A370" s="85"/>
      <c r="B370" s="85"/>
      <c r="C370" s="85"/>
      <c r="D370" s="85"/>
      <c r="E370" s="85"/>
      <c r="F370" s="85"/>
      <c r="G370" s="85"/>
      <c r="H370" s="85"/>
      <c r="I370" s="91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2.75" customHeight="1" spans="1:26">
      <c r="A371" s="85"/>
      <c r="B371" s="85"/>
      <c r="C371" s="85"/>
      <c r="D371" s="85"/>
      <c r="E371" s="85"/>
      <c r="F371" s="85"/>
      <c r="G371" s="85"/>
      <c r="H371" s="85"/>
      <c r="I371" s="91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2.75" customHeight="1" spans="1:26">
      <c r="A372" s="85"/>
      <c r="B372" s="85"/>
      <c r="C372" s="85"/>
      <c r="D372" s="85"/>
      <c r="E372" s="85"/>
      <c r="F372" s="85"/>
      <c r="G372" s="85"/>
      <c r="H372" s="85"/>
      <c r="I372" s="91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2.75" customHeight="1" spans="1:26">
      <c r="A373" s="85"/>
      <c r="B373" s="85"/>
      <c r="C373" s="85"/>
      <c r="D373" s="85"/>
      <c r="E373" s="85"/>
      <c r="F373" s="85"/>
      <c r="G373" s="85"/>
      <c r="H373" s="85"/>
      <c r="I373" s="91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2.75" customHeight="1" spans="1:26">
      <c r="A374" s="85"/>
      <c r="B374" s="85"/>
      <c r="C374" s="85"/>
      <c r="D374" s="85"/>
      <c r="E374" s="85"/>
      <c r="F374" s="85"/>
      <c r="G374" s="85"/>
      <c r="H374" s="85"/>
      <c r="I374" s="91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2.75" customHeight="1" spans="1:26">
      <c r="A375" s="85"/>
      <c r="B375" s="85"/>
      <c r="C375" s="85"/>
      <c r="D375" s="85"/>
      <c r="E375" s="85"/>
      <c r="F375" s="85"/>
      <c r="G375" s="85"/>
      <c r="H375" s="85"/>
      <c r="I375" s="91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2.75" customHeight="1" spans="1:26">
      <c r="A376" s="85"/>
      <c r="B376" s="85"/>
      <c r="C376" s="85"/>
      <c r="D376" s="85"/>
      <c r="E376" s="85"/>
      <c r="F376" s="85"/>
      <c r="G376" s="85"/>
      <c r="H376" s="85"/>
      <c r="I376" s="91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2.75" customHeight="1" spans="1:26">
      <c r="A377" s="85"/>
      <c r="B377" s="85"/>
      <c r="C377" s="85"/>
      <c r="D377" s="85"/>
      <c r="E377" s="85"/>
      <c r="F377" s="85"/>
      <c r="G377" s="85"/>
      <c r="H377" s="85"/>
      <c r="I377" s="91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2.75" customHeight="1" spans="1:26">
      <c r="A378" s="85"/>
      <c r="B378" s="85"/>
      <c r="C378" s="85"/>
      <c r="D378" s="85"/>
      <c r="E378" s="85"/>
      <c r="F378" s="85"/>
      <c r="G378" s="85"/>
      <c r="H378" s="85"/>
      <c r="I378" s="91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2.75" customHeight="1" spans="1:26">
      <c r="A379" s="85"/>
      <c r="B379" s="85"/>
      <c r="C379" s="85"/>
      <c r="D379" s="85"/>
      <c r="E379" s="85"/>
      <c r="F379" s="85"/>
      <c r="G379" s="85"/>
      <c r="H379" s="85"/>
      <c r="I379" s="91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2.75" customHeight="1" spans="1:26">
      <c r="A380" s="85"/>
      <c r="B380" s="85"/>
      <c r="C380" s="85"/>
      <c r="D380" s="85"/>
      <c r="E380" s="85"/>
      <c r="F380" s="85"/>
      <c r="G380" s="85"/>
      <c r="H380" s="85"/>
      <c r="I380" s="91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2.75" customHeight="1" spans="1:26">
      <c r="A381" s="85"/>
      <c r="B381" s="85"/>
      <c r="C381" s="85"/>
      <c r="D381" s="85"/>
      <c r="E381" s="85"/>
      <c r="F381" s="85"/>
      <c r="G381" s="85"/>
      <c r="H381" s="85"/>
      <c r="I381" s="91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2.75" customHeight="1" spans="1:26">
      <c r="A382" s="85"/>
      <c r="B382" s="85"/>
      <c r="C382" s="85"/>
      <c r="D382" s="85"/>
      <c r="E382" s="85"/>
      <c r="F382" s="85"/>
      <c r="G382" s="85"/>
      <c r="H382" s="85"/>
      <c r="I382" s="91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2.75" customHeight="1" spans="1:26">
      <c r="A383" s="85"/>
      <c r="B383" s="85"/>
      <c r="C383" s="85"/>
      <c r="D383" s="85"/>
      <c r="E383" s="85"/>
      <c r="F383" s="85"/>
      <c r="G383" s="85"/>
      <c r="H383" s="85"/>
      <c r="I383" s="91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2.75" customHeight="1" spans="1:26">
      <c r="A384" s="85"/>
      <c r="B384" s="85"/>
      <c r="C384" s="85"/>
      <c r="D384" s="85"/>
      <c r="E384" s="85"/>
      <c r="F384" s="85"/>
      <c r="G384" s="85"/>
      <c r="H384" s="85"/>
      <c r="I384" s="91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2.75" customHeight="1" spans="1:26">
      <c r="A385" s="85"/>
      <c r="B385" s="85"/>
      <c r="C385" s="85"/>
      <c r="D385" s="85"/>
      <c r="E385" s="85"/>
      <c r="F385" s="85"/>
      <c r="G385" s="85"/>
      <c r="H385" s="85"/>
      <c r="I385" s="91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2.75" customHeight="1" spans="1:26">
      <c r="A386" s="85"/>
      <c r="B386" s="85"/>
      <c r="C386" s="85"/>
      <c r="D386" s="85"/>
      <c r="E386" s="85"/>
      <c r="F386" s="85"/>
      <c r="G386" s="85"/>
      <c r="H386" s="85"/>
      <c r="I386" s="91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2.75" customHeight="1" spans="1:26">
      <c r="A387" s="85"/>
      <c r="B387" s="85"/>
      <c r="C387" s="85"/>
      <c r="D387" s="85"/>
      <c r="E387" s="85"/>
      <c r="F387" s="85"/>
      <c r="G387" s="85"/>
      <c r="H387" s="85"/>
      <c r="I387" s="91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2.75" customHeight="1" spans="1:26">
      <c r="A388" s="85"/>
      <c r="B388" s="85"/>
      <c r="C388" s="85"/>
      <c r="D388" s="85"/>
      <c r="E388" s="85"/>
      <c r="F388" s="85"/>
      <c r="G388" s="85"/>
      <c r="H388" s="85"/>
      <c r="I388" s="91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2.75" customHeight="1" spans="1:26">
      <c r="A389" s="85"/>
      <c r="B389" s="85"/>
      <c r="C389" s="85"/>
      <c r="D389" s="85"/>
      <c r="E389" s="85"/>
      <c r="F389" s="85"/>
      <c r="G389" s="85"/>
      <c r="H389" s="85"/>
      <c r="I389" s="91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2.75" customHeight="1" spans="1:26">
      <c r="A390" s="85"/>
      <c r="B390" s="85"/>
      <c r="C390" s="85"/>
      <c r="D390" s="85"/>
      <c r="E390" s="85"/>
      <c r="F390" s="85"/>
      <c r="G390" s="85"/>
      <c r="H390" s="85"/>
      <c r="I390" s="91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2.75" customHeight="1" spans="1:26">
      <c r="A391" s="85"/>
      <c r="B391" s="85"/>
      <c r="C391" s="85"/>
      <c r="D391" s="85"/>
      <c r="E391" s="85"/>
      <c r="F391" s="85"/>
      <c r="G391" s="85"/>
      <c r="H391" s="85"/>
      <c r="I391" s="91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2.75" customHeight="1" spans="1:26">
      <c r="A392" s="85"/>
      <c r="B392" s="85"/>
      <c r="C392" s="85"/>
      <c r="D392" s="85"/>
      <c r="E392" s="85"/>
      <c r="F392" s="85"/>
      <c r="G392" s="85"/>
      <c r="H392" s="85"/>
      <c r="I392" s="91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2.75" customHeight="1" spans="1:26">
      <c r="A393" s="85"/>
      <c r="B393" s="85"/>
      <c r="C393" s="85"/>
      <c r="D393" s="85"/>
      <c r="E393" s="85"/>
      <c r="F393" s="85"/>
      <c r="G393" s="85"/>
      <c r="H393" s="85"/>
      <c r="I393" s="91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2.75" customHeight="1" spans="1:26">
      <c r="A394" s="85"/>
      <c r="B394" s="85"/>
      <c r="C394" s="85"/>
      <c r="D394" s="85"/>
      <c r="E394" s="85"/>
      <c r="F394" s="85"/>
      <c r="G394" s="85"/>
      <c r="H394" s="85"/>
      <c r="I394" s="91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2.75" customHeight="1" spans="1:26">
      <c r="A395" s="85"/>
      <c r="B395" s="85"/>
      <c r="C395" s="85"/>
      <c r="D395" s="85"/>
      <c r="E395" s="85"/>
      <c r="F395" s="85"/>
      <c r="G395" s="85"/>
      <c r="H395" s="85"/>
      <c r="I395" s="91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2.75" customHeight="1" spans="1:26">
      <c r="A396" s="85"/>
      <c r="B396" s="85"/>
      <c r="C396" s="85"/>
      <c r="D396" s="85"/>
      <c r="E396" s="85"/>
      <c r="F396" s="85"/>
      <c r="G396" s="85"/>
      <c r="H396" s="85"/>
      <c r="I396" s="91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2.75" customHeight="1" spans="1:26">
      <c r="A397" s="85"/>
      <c r="B397" s="85"/>
      <c r="C397" s="85"/>
      <c r="D397" s="85"/>
      <c r="E397" s="85"/>
      <c r="F397" s="85"/>
      <c r="G397" s="85"/>
      <c r="H397" s="85"/>
      <c r="I397" s="91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2.75" customHeight="1" spans="1:26">
      <c r="A398" s="85"/>
      <c r="B398" s="85"/>
      <c r="C398" s="85"/>
      <c r="D398" s="85"/>
      <c r="E398" s="85"/>
      <c r="F398" s="85"/>
      <c r="G398" s="85"/>
      <c r="H398" s="85"/>
      <c r="I398" s="91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2.75" customHeight="1" spans="1:26">
      <c r="A399" s="85"/>
      <c r="B399" s="85"/>
      <c r="C399" s="85"/>
      <c r="D399" s="85"/>
      <c r="E399" s="85"/>
      <c r="F399" s="85"/>
      <c r="G399" s="85"/>
      <c r="H399" s="85"/>
      <c r="I399" s="91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2.75" customHeight="1" spans="1:26">
      <c r="A400" s="85"/>
      <c r="B400" s="85"/>
      <c r="C400" s="85"/>
      <c r="D400" s="85"/>
      <c r="E400" s="85"/>
      <c r="F400" s="85"/>
      <c r="G400" s="85"/>
      <c r="H400" s="85"/>
      <c r="I400" s="91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2.75" customHeight="1" spans="1:26">
      <c r="A401" s="85"/>
      <c r="B401" s="85"/>
      <c r="C401" s="85"/>
      <c r="D401" s="85"/>
      <c r="E401" s="85"/>
      <c r="F401" s="85"/>
      <c r="G401" s="85"/>
      <c r="H401" s="85"/>
      <c r="I401" s="91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2.75" customHeight="1" spans="1:26">
      <c r="A402" s="85"/>
      <c r="B402" s="85"/>
      <c r="C402" s="85"/>
      <c r="D402" s="85"/>
      <c r="E402" s="85"/>
      <c r="F402" s="85"/>
      <c r="G402" s="85"/>
      <c r="H402" s="85"/>
      <c r="I402" s="91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2.75" customHeight="1" spans="1:26">
      <c r="A403" s="85"/>
      <c r="B403" s="85"/>
      <c r="C403" s="85"/>
      <c r="D403" s="85"/>
      <c r="E403" s="85"/>
      <c r="F403" s="85"/>
      <c r="G403" s="85"/>
      <c r="H403" s="85"/>
      <c r="I403" s="91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2.75" customHeight="1" spans="1:26">
      <c r="A404" s="85"/>
      <c r="B404" s="85"/>
      <c r="C404" s="85"/>
      <c r="D404" s="85"/>
      <c r="E404" s="85"/>
      <c r="F404" s="85"/>
      <c r="G404" s="85"/>
      <c r="H404" s="85"/>
      <c r="I404" s="91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2.75" customHeight="1" spans="1:26">
      <c r="A405" s="85"/>
      <c r="B405" s="85"/>
      <c r="C405" s="85"/>
      <c r="D405" s="85"/>
      <c r="E405" s="85"/>
      <c r="F405" s="85"/>
      <c r="G405" s="85"/>
      <c r="H405" s="85"/>
      <c r="I405" s="91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2.75" customHeight="1" spans="1:26">
      <c r="A406" s="85"/>
      <c r="B406" s="85"/>
      <c r="C406" s="85"/>
      <c r="D406" s="85"/>
      <c r="E406" s="85"/>
      <c r="F406" s="85"/>
      <c r="G406" s="85"/>
      <c r="H406" s="85"/>
      <c r="I406" s="91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2.75" customHeight="1" spans="1:26">
      <c r="A407" s="85"/>
      <c r="B407" s="85"/>
      <c r="C407" s="85"/>
      <c r="D407" s="85"/>
      <c r="E407" s="85"/>
      <c r="F407" s="85"/>
      <c r="G407" s="85"/>
      <c r="H407" s="85"/>
      <c r="I407" s="91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2.75" customHeight="1" spans="1:26">
      <c r="A408" s="85"/>
      <c r="B408" s="85"/>
      <c r="C408" s="85"/>
      <c r="D408" s="85"/>
      <c r="E408" s="85"/>
      <c r="F408" s="85"/>
      <c r="G408" s="85"/>
      <c r="H408" s="85"/>
      <c r="I408" s="91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2.75" customHeight="1" spans="1:26">
      <c r="A409" s="85"/>
      <c r="B409" s="85"/>
      <c r="C409" s="85"/>
      <c r="D409" s="85"/>
      <c r="E409" s="85"/>
      <c r="F409" s="85"/>
      <c r="G409" s="85"/>
      <c r="H409" s="85"/>
      <c r="I409" s="91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2.75" customHeight="1" spans="1:26">
      <c r="A410" s="85"/>
      <c r="B410" s="85"/>
      <c r="C410" s="85"/>
      <c r="D410" s="85"/>
      <c r="E410" s="85"/>
      <c r="F410" s="85"/>
      <c r="G410" s="85"/>
      <c r="H410" s="85"/>
      <c r="I410" s="91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2.75" customHeight="1" spans="1:26">
      <c r="A411" s="85"/>
      <c r="B411" s="85"/>
      <c r="C411" s="85"/>
      <c r="D411" s="85"/>
      <c r="E411" s="85"/>
      <c r="F411" s="85"/>
      <c r="G411" s="85"/>
      <c r="H411" s="85"/>
      <c r="I411" s="91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2.75" customHeight="1" spans="1:26">
      <c r="A412" s="85"/>
      <c r="B412" s="85"/>
      <c r="C412" s="85"/>
      <c r="D412" s="85"/>
      <c r="E412" s="85"/>
      <c r="F412" s="85"/>
      <c r="G412" s="85"/>
      <c r="H412" s="85"/>
      <c r="I412" s="91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2.75" customHeight="1" spans="1:26">
      <c r="A413" s="85"/>
      <c r="B413" s="85"/>
      <c r="C413" s="85"/>
      <c r="D413" s="85"/>
      <c r="E413" s="85"/>
      <c r="F413" s="85"/>
      <c r="G413" s="85"/>
      <c r="H413" s="85"/>
      <c r="I413" s="91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2.75" customHeight="1" spans="1:26">
      <c r="A414" s="85"/>
      <c r="B414" s="85"/>
      <c r="C414" s="85"/>
      <c r="D414" s="85"/>
      <c r="E414" s="85"/>
      <c r="F414" s="85"/>
      <c r="G414" s="85"/>
      <c r="H414" s="85"/>
      <c r="I414" s="91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2.75" customHeight="1" spans="1:26">
      <c r="A415" s="85"/>
      <c r="B415" s="85"/>
      <c r="C415" s="85"/>
      <c r="D415" s="85"/>
      <c r="E415" s="85"/>
      <c r="F415" s="85"/>
      <c r="G415" s="85"/>
      <c r="H415" s="85"/>
      <c r="I415" s="91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2.75" customHeight="1" spans="1:26">
      <c r="A416" s="85"/>
      <c r="B416" s="85"/>
      <c r="C416" s="85"/>
      <c r="D416" s="85"/>
      <c r="E416" s="85"/>
      <c r="F416" s="85"/>
      <c r="G416" s="85"/>
      <c r="H416" s="85"/>
      <c r="I416" s="91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2.75" customHeight="1" spans="1:26">
      <c r="A417" s="85"/>
      <c r="B417" s="85"/>
      <c r="C417" s="85"/>
      <c r="D417" s="85"/>
      <c r="E417" s="85"/>
      <c r="F417" s="85"/>
      <c r="G417" s="85"/>
      <c r="H417" s="85"/>
      <c r="I417" s="91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2.75" customHeight="1" spans="1:26">
      <c r="A418" s="85"/>
      <c r="B418" s="85"/>
      <c r="C418" s="85"/>
      <c r="D418" s="85"/>
      <c r="E418" s="85"/>
      <c r="F418" s="85"/>
      <c r="G418" s="85"/>
      <c r="H418" s="85"/>
      <c r="I418" s="91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2.75" customHeight="1" spans="1:26">
      <c r="A419" s="85"/>
      <c r="B419" s="85"/>
      <c r="C419" s="85"/>
      <c r="D419" s="85"/>
      <c r="E419" s="85"/>
      <c r="F419" s="85"/>
      <c r="G419" s="85"/>
      <c r="H419" s="85"/>
      <c r="I419" s="91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2.75" customHeight="1" spans="1:26">
      <c r="A420" s="85"/>
      <c r="B420" s="85"/>
      <c r="C420" s="85"/>
      <c r="D420" s="85"/>
      <c r="E420" s="85"/>
      <c r="F420" s="85"/>
      <c r="G420" s="85"/>
      <c r="H420" s="85"/>
      <c r="I420" s="91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2.75" customHeight="1" spans="1:26">
      <c r="A421" s="85"/>
      <c r="B421" s="85"/>
      <c r="C421" s="85"/>
      <c r="D421" s="85"/>
      <c r="E421" s="85"/>
      <c r="F421" s="85"/>
      <c r="G421" s="85"/>
      <c r="H421" s="85"/>
      <c r="I421" s="91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2.75" customHeight="1" spans="1:26">
      <c r="A422" s="85"/>
      <c r="B422" s="85"/>
      <c r="C422" s="85"/>
      <c r="D422" s="85"/>
      <c r="E422" s="85"/>
      <c r="F422" s="85"/>
      <c r="G422" s="85"/>
      <c r="H422" s="85"/>
      <c r="I422" s="91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2.75" customHeight="1" spans="1:26">
      <c r="A423" s="85"/>
      <c r="B423" s="85"/>
      <c r="C423" s="85"/>
      <c r="D423" s="85"/>
      <c r="E423" s="85"/>
      <c r="F423" s="85"/>
      <c r="G423" s="85"/>
      <c r="H423" s="85"/>
      <c r="I423" s="91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2.75" customHeight="1" spans="1:26">
      <c r="A424" s="85"/>
      <c r="B424" s="85"/>
      <c r="C424" s="85"/>
      <c r="D424" s="85"/>
      <c r="E424" s="85"/>
      <c r="F424" s="85"/>
      <c r="G424" s="85"/>
      <c r="H424" s="85"/>
      <c r="I424" s="91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2.75" customHeight="1" spans="1:26">
      <c r="A425" s="85"/>
      <c r="B425" s="85"/>
      <c r="C425" s="85"/>
      <c r="D425" s="85"/>
      <c r="E425" s="85"/>
      <c r="F425" s="85"/>
      <c r="G425" s="85"/>
      <c r="H425" s="85"/>
      <c r="I425" s="91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2.75" customHeight="1" spans="1:26">
      <c r="A426" s="85"/>
      <c r="B426" s="85"/>
      <c r="C426" s="85"/>
      <c r="D426" s="85"/>
      <c r="E426" s="85"/>
      <c r="F426" s="85"/>
      <c r="G426" s="85"/>
      <c r="H426" s="85"/>
      <c r="I426" s="91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2.75" customHeight="1" spans="1:26">
      <c r="A427" s="85"/>
      <c r="B427" s="85"/>
      <c r="C427" s="85"/>
      <c r="D427" s="85"/>
      <c r="E427" s="85"/>
      <c r="F427" s="85"/>
      <c r="G427" s="85"/>
      <c r="H427" s="85"/>
      <c r="I427" s="91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2.75" customHeight="1" spans="1:26">
      <c r="A428" s="85"/>
      <c r="B428" s="85"/>
      <c r="C428" s="85"/>
      <c r="D428" s="85"/>
      <c r="E428" s="85"/>
      <c r="F428" s="85"/>
      <c r="G428" s="85"/>
      <c r="H428" s="85"/>
      <c r="I428" s="91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2.75" customHeight="1" spans="1:26">
      <c r="A429" s="85"/>
      <c r="B429" s="85"/>
      <c r="C429" s="85"/>
      <c r="D429" s="85"/>
      <c r="E429" s="85"/>
      <c r="F429" s="85"/>
      <c r="G429" s="85"/>
      <c r="H429" s="85"/>
      <c r="I429" s="91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2.75" customHeight="1" spans="1:26">
      <c r="A430" s="85"/>
      <c r="B430" s="85"/>
      <c r="C430" s="85"/>
      <c r="D430" s="85"/>
      <c r="E430" s="85"/>
      <c r="F430" s="85"/>
      <c r="G430" s="85"/>
      <c r="H430" s="85"/>
      <c r="I430" s="91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2.75" customHeight="1" spans="1:26">
      <c r="A431" s="85"/>
      <c r="B431" s="85"/>
      <c r="C431" s="85"/>
      <c r="D431" s="85"/>
      <c r="E431" s="85"/>
      <c r="F431" s="85"/>
      <c r="G431" s="85"/>
      <c r="H431" s="85"/>
      <c r="I431" s="91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2.75" customHeight="1" spans="1:26">
      <c r="A432" s="85"/>
      <c r="B432" s="85"/>
      <c r="C432" s="85"/>
      <c r="D432" s="85"/>
      <c r="E432" s="85"/>
      <c r="F432" s="85"/>
      <c r="G432" s="85"/>
      <c r="H432" s="85"/>
      <c r="I432" s="91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2.75" customHeight="1" spans="1:26">
      <c r="A433" s="85"/>
      <c r="B433" s="85"/>
      <c r="C433" s="85"/>
      <c r="D433" s="85"/>
      <c r="E433" s="85"/>
      <c r="F433" s="85"/>
      <c r="G433" s="85"/>
      <c r="H433" s="85"/>
      <c r="I433" s="91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2.75" customHeight="1" spans="1:26">
      <c r="A434" s="85"/>
      <c r="B434" s="85"/>
      <c r="C434" s="85"/>
      <c r="D434" s="85"/>
      <c r="E434" s="85"/>
      <c r="F434" s="85"/>
      <c r="G434" s="85"/>
      <c r="H434" s="85"/>
      <c r="I434" s="91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2.75" customHeight="1" spans="1:26">
      <c r="A435" s="85"/>
      <c r="B435" s="85"/>
      <c r="C435" s="85"/>
      <c r="D435" s="85"/>
      <c r="E435" s="85"/>
      <c r="F435" s="85"/>
      <c r="G435" s="85"/>
      <c r="H435" s="85"/>
      <c r="I435" s="91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2.75" customHeight="1" spans="1:26">
      <c r="A436" s="85"/>
      <c r="B436" s="85"/>
      <c r="C436" s="85"/>
      <c r="D436" s="85"/>
      <c r="E436" s="85"/>
      <c r="F436" s="85"/>
      <c r="G436" s="85"/>
      <c r="H436" s="85"/>
      <c r="I436" s="91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2.75" customHeight="1" spans="1:26">
      <c r="A437" s="85"/>
      <c r="B437" s="85"/>
      <c r="C437" s="85"/>
      <c r="D437" s="85"/>
      <c r="E437" s="85"/>
      <c r="F437" s="85"/>
      <c r="G437" s="85"/>
      <c r="H437" s="85"/>
      <c r="I437" s="91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2.75" customHeight="1" spans="1:26">
      <c r="A438" s="85"/>
      <c r="B438" s="85"/>
      <c r="C438" s="85"/>
      <c r="D438" s="85"/>
      <c r="E438" s="85"/>
      <c r="F438" s="85"/>
      <c r="G438" s="85"/>
      <c r="H438" s="85"/>
      <c r="I438" s="91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2.75" customHeight="1" spans="1:26">
      <c r="A439" s="85"/>
      <c r="B439" s="85"/>
      <c r="C439" s="85"/>
      <c r="D439" s="85"/>
      <c r="E439" s="85"/>
      <c r="F439" s="85"/>
      <c r="G439" s="85"/>
      <c r="H439" s="85"/>
      <c r="I439" s="91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2.75" customHeight="1" spans="1:26">
      <c r="A440" s="85"/>
      <c r="B440" s="85"/>
      <c r="C440" s="85"/>
      <c r="D440" s="85"/>
      <c r="E440" s="85"/>
      <c r="F440" s="85"/>
      <c r="G440" s="85"/>
      <c r="H440" s="85"/>
      <c r="I440" s="91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2.75" customHeight="1" spans="1:26">
      <c r="A441" s="85"/>
      <c r="B441" s="85"/>
      <c r="C441" s="85"/>
      <c r="D441" s="85"/>
      <c r="E441" s="85"/>
      <c r="F441" s="85"/>
      <c r="G441" s="85"/>
      <c r="H441" s="85"/>
      <c r="I441" s="91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2.75" customHeight="1" spans="1:26">
      <c r="A442" s="85"/>
      <c r="B442" s="85"/>
      <c r="C442" s="85"/>
      <c r="D442" s="85"/>
      <c r="E442" s="85"/>
      <c r="F442" s="85"/>
      <c r="G442" s="85"/>
      <c r="H442" s="85"/>
      <c r="I442" s="91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2.75" customHeight="1" spans="1:26">
      <c r="A443" s="85"/>
      <c r="B443" s="85"/>
      <c r="C443" s="85"/>
      <c r="D443" s="85"/>
      <c r="E443" s="85"/>
      <c r="F443" s="85"/>
      <c r="G443" s="85"/>
      <c r="H443" s="85"/>
      <c r="I443" s="91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2.75" customHeight="1" spans="1:26">
      <c r="A444" s="85"/>
      <c r="B444" s="85"/>
      <c r="C444" s="85"/>
      <c r="D444" s="85"/>
      <c r="E444" s="85"/>
      <c r="F444" s="85"/>
      <c r="G444" s="85"/>
      <c r="H444" s="85"/>
      <c r="I444" s="91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2.75" customHeight="1" spans="1:26">
      <c r="A445" s="85"/>
      <c r="B445" s="85"/>
      <c r="C445" s="85"/>
      <c r="D445" s="85"/>
      <c r="E445" s="85"/>
      <c r="F445" s="85"/>
      <c r="G445" s="85"/>
      <c r="H445" s="85"/>
      <c r="I445" s="91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2.75" customHeight="1" spans="1:26">
      <c r="A446" s="85"/>
      <c r="B446" s="85"/>
      <c r="C446" s="85"/>
      <c r="D446" s="85"/>
      <c r="E446" s="85"/>
      <c r="F446" s="85"/>
      <c r="G446" s="85"/>
      <c r="H446" s="85"/>
      <c r="I446" s="91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2.75" customHeight="1" spans="1:26">
      <c r="A447" s="85"/>
      <c r="B447" s="85"/>
      <c r="C447" s="85"/>
      <c r="D447" s="85"/>
      <c r="E447" s="85"/>
      <c r="F447" s="85"/>
      <c r="G447" s="85"/>
      <c r="H447" s="85"/>
      <c r="I447" s="91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2.75" customHeight="1" spans="1:26">
      <c r="A448" s="85"/>
      <c r="B448" s="85"/>
      <c r="C448" s="85"/>
      <c r="D448" s="85"/>
      <c r="E448" s="85"/>
      <c r="F448" s="85"/>
      <c r="G448" s="85"/>
      <c r="H448" s="85"/>
      <c r="I448" s="91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2.75" customHeight="1" spans="1:26">
      <c r="A449" s="85"/>
      <c r="B449" s="85"/>
      <c r="C449" s="85"/>
      <c r="D449" s="85"/>
      <c r="E449" s="85"/>
      <c r="F449" s="85"/>
      <c r="G449" s="85"/>
      <c r="H449" s="85"/>
      <c r="I449" s="91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2.75" customHeight="1" spans="1:26">
      <c r="A450" s="85"/>
      <c r="B450" s="85"/>
      <c r="C450" s="85"/>
      <c r="D450" s="85"/>
      <c r="E450" s="85"/>
      <c r="F450" s="85"/>
      <c r="G450" s="85"/>
      <c r="H450" s="85"/>
      <c r="I450" s="91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2.75" customHeight="1" spans="1:26">
      <c r="A451" s="85"/>
      <c r="B451" s="85"/>
      <c r="C451" s="85"/>
      <c r="D451" s="85"/>
      <c r="E451" s="85"/>
      <c r="F451" s="85"/>
      <c r="G451" s="85"/>
      <c r="H451" s="85"/>
      <c r="I451" s="91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2.75" customHeight="1" spans="1:26">
      <c r="A452" s="85"/>
      <c r="B452" s="85"/>
      <c r="C452" s="85"/>
      <c r="D452" s="85"/>
      <c r="E452" s="85"/>
      <c r="F452" s="85"/>
      <c r="G452" s="85"/>
      <c r="H452" s="85"/>
      <c r="I452" s="91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2.75" customHeight="1" spans="1:26">
      <c r="A453" s="85"/>
      <c r="B453" s="85"/>
      <c r="C453" s="85"/>
      <c r="D453" s="85"/>
      <c r="E453" s="85"/>
      <c r="F453" s="85"/>
      <c r="G453" s="85"/>
      <c r="H453" s="85"/>
      <c r="I453" s="91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2.75" customHeight="1" spans="1:26">
      <c r="A454" s="85"/>
      <c r="B454" s="85"/>
      <c r="C454" s="85"/>
      <c r="D454" s="85"/>
      <c r="E454" s="85"/>
      <c r="F454" s="85"/>
      <c r="G454" s="85"/>
      <c r="H454" s="85"/>
      <c r="I454" s="91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2.75" customHeight="1" spans="1:26">
      <c r="A455" s="85"/>
      <c r="B455" s="85"/>
      <c r="C455" s="85"/>
      <c r="D455" s="85"/>
      <c r="E455" s="85"/>
      <c r="F455" s="85"/>
      <c r="G455" s="85"/>
      <c r="H455" s="85"/>
      <c r="I455" s="91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2.75" customHeight="1" spans="1:26">
      <c r="A456" s="85"/>
      <c r="B456" s="85"/>
      <c r="C456" s="85"/>
      <c r="D456" s="85"/>
      <c r="E456" s="85"/>
      <c r="F456" s="85"/>
      <c r="G456" s="85"/>
      <c r="H456" s="85"/>
      <c r="I456" s="91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2.75" customHeight="1" spans="1:26">
      <c r="A457" s="85"/>
      <c r="B457" s="85"/>
      <c r="C457" s="85"/>
      <c r="D457" s="85"/>
      <c r="E457" s="85"/>
      <c r="F457" s="85"/>
      <c r="G457" s="85"/>
      <c r="H457" s="85"/>
      <c r="I457" s="91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2.75" customHeight="1" spans="1:26">
      <c r="A458" s="85"/>
      <c r="B458" s="85"/>
      <c r="C458" s="85"/>
      <c r="D458" s="85"/>
      <c r="E458" s="85"/>
      <c r="F458" s="85"/>
      <c r="G458" s="85"/>
      <c r="H458" s="85"/>
      <c r="I458" s="91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2.75" customHeight="1" spans="1:26">
      <c r="A459" s="85"/>
      <c r="B459" s="85"/>
      <c r="C459" s="85"/>
      <c r="D459" s="85"/>
      <c r="E459" s="85"/>
      <c r="F459" s="85"/>
      <c r="G459" s="85"/>
      <c r="H459" s="85"/>
      <c r="I459" s="91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2.75" customHeight="1" spans="1:26">
      <c r="A460" s="85"/>
      <c r="B460" s="85"/>
      <c r="C460" s="85"/>
      <c r="D460" s="85"/>
      <c r="E460" s="85"/>
      <c r="F460" s="85"/>
      <c r="G460" s="85"/>
      <c r="H460" s="85"/>
      <c r="I460" s="91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2.75" customHeight="1" spans="1:26">
      <c r="A461" s="85"/>
      <c r="B461" s="85"/>
      <c r="C461" s="85"/>
      <c r="D461" s="85"/>
      <c r="E461" s="85"/>
      <c r="F461" s="85"/>
      <c r="G461" s="85"/>
      <c r="H461" s="85"/>
      <c r="I461" s="91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2.75" customHeight="1" spans="1:26">
      <c r="A462" s="85"/>
      <c r="B462" s="85"/>
      <c r="C462" s="85"/>
      <c r="D462" s="85"/>
      <c r="E462" s="85"/>
      <c r="F462" s="85"/>
      <c r="G462" s="85"/>
      <c r="H462" s="85"/>
      <c r="I462" s="91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2.75" customHeight="1" spans="1:26">
      <c r="A463" s="85"/>
      <c r="B463" s="85"/>
      <c r="C463" s="85"/>
      <c r="D463" s="85"/>
      <c r="E463" s="85"/>
      <c r="F463" s="85"/>
      <c r="G463" s="85"/>
      <c r="H463" s="85"/>
      <c r="I463" s="91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2.75" customHeight="1" spans="1:26">
      <c r="A464" s="85"/>
      <c r="B464" s="85"/>
      <c r="C464" s="85"/>
      <c r="D464" s="85"/>
      <c r="E464" s="85"/>
      <c r="F464" s="85"/>
      <c r="G464" s="85"/>
      <c r="H464" s="85"/>
      <c r="I464" s="91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2.75" customHeight="1" spans="1:26">
      <c r="A465" s="85"/>
      <c r="B465" s="85"/>
      <c r="C465" s="85"/>
      <c r="D465" s="85"/>
      <c r="E465" s="85"/>
      <c r="F465" s="85"/>
      <c r="G465" s="85"/>
      <c r="H465" s="85"/>
      <c r="I465" s="91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2.75" customHeight="1" spans="1:26">
      <c r="A466" s="85"/>
      <c r="B466" s="85"/>
      <c r="C466" s="85"/>
      <c r="D466" s="85"/>
      <c r="E466" s="85"/>
      <c r="F466" s="85"/>
      <c r="G466" s="85"/>
      <c r="H466" s="85"/>
      <c r="I466" s="91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2.75" customHeight="1" spans="1:26">
      <c r="A467" s="85"/>
      <c r="B467" s="85"/>
      <c r="C467" s="85"/>
      <c r="D467" s="85"/>
      <c r="E467" s="85"/>
      <c r="F467" s="85"/>
      <c r="G467" s="85"/>
      <c r="H467" s="85"/>
      <c r="I467" s="91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2.75" customHeight="1" spans="1:26">
      <c r="A468" s="85"/>
      <c r="B468" s="85"/>
      <c r="C468" s="85"/>
      <c r="D468" s="85"/>
      <c r="E468" s="85"/>
      <c r="F468" s="85"/>
      <c r="G468" s="85"/>
      <c r="H468" s="85"/>
      <c r="I468" s="91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2.75" customHeight="1" spans="1:26">
      <c r="A469" s="85"/>
      <c r="B469" s="85"/>
      <c r="C469" s="85"/>
      <c r="D469" s="85"/>
      <c r="E469" s="85"/>
      <c r="F469" s="85"/>
      <c r="G469" s="85"/>
      <c r="H469" s="85"/>
      <c r="I469" s="91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2.75" customHeight="1" spans="1:26">
      <c r="A470" s="85"/>
      <c r="B470" s="85"/>
      <c r="C470" s="85"/>
      <c r="D470" s="85"/>
      <c r="E470" s="85"/>
      <c r="F470" s="85"/>
      <c r="G470" s="85"/>
      <c r="H470" s="85"/>
      <c r="I470" s="91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2.75" customHeight="1" spans="1:26">
      <c r="A471" s="85"/>
      <c r="B471" s="85"/>
      <c r="C471" s="85"/>
      <c r="D471" s="85"/>
      <c r="E471" s="85"/>
      <c r="F471" s="85"/>
      <c r="G471" s="85"/>
      <c r="H471" s="85"/>
      <c r="I471" s="91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2.75" customHeight="1" spans="1:26">
      <c r="A472" s="85"/>
      <c r="B472" s="85"/>
      <c r="C472" s="85"/>
      <c r="D472" s="85"/>
      <c r="E472" s="85"/>
      <c r="F472" s="85"/>
      <c r="G472" s="85"/>
      <c r="H472" s="85"/>
      <c r="I472" s="91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2.75" customHeight="1" spans="1:26">
      <c r="A473" s="85"/>
      <c r="B473" s="85"/>
      <c r="C473" s="85"/>
      <c r="D473" s="85"/>
      <c r="E473" s="85"/>
      <c r="F473" s="85"/>
      <c r="G473" s="85"/>
      <c r="H473" s="85"/>
      <c r="I473" s="91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2.75" customHeight="1" spans="1:26">
      <c r="A474" s="85"/>
      <c r="B474" s="85"/>
      <c r="C474" s="85"/>
      <c r="D474" s="85"/>
      <c r="E474" s="85"/>
      <c r="F474" s="85"/>
      <c r="G474" s="85"/>
      <c r="H474" s="85"/>
      <c r="I474" s="91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2.75" customHeight="1" spans="1:26">
      <c r="A475" s="85"/>
      <c r="B475" s="85"/>
      <c r="C475" s="85"/>
      <c r="D475" s="85"/>
      <c r="E475" s="85"/>
      <c r="F475" s="85"/>
      <c r="G475" s="85"/>
      <c r="H475" s="85"/>
      <c r="I475" s="91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2.75" customHeight="1" spans="1:26">
      <c r="A476" s="85"/>
      <c r="B476" s="85"/>
      <c r="C476" s="85"/>
      <c r="D476" s="85"/>
      <c r="E476" s="85"/>
      <c r="F476" s="85"/>
      <c r="G476" s="85"/>
      <c r="H476" s="85"/>
      <c r="I476" s="91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2.75" customHeight="1" spans="1:26">
      <c r="A477" s="85"/>
      <c r="B477" s="85"/>
      <c r="C477" s="85"/>
      <c r="D477" s="85"/>
      <c r="E477" s="85"/>
      <c r="F477" s="85"/>
      <c r="G477" s="85"/>
      <c r="H477" s="85"/>
      <c r="I477" s="91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2.75" customHeight="1" spans="1:26">
      <c r="A478" s="85"/>
      <c r="B478" s="85"/>
      <c r="C478" s="85"/>
      <c r="D478" s="85"/>
      <c r="E478" s="85"/>
      <c r="F478" s="85"/>
      <c r="G478" s="85"/>
      <c r="H478" s="85"/>
      <c r="I478" s="91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2.75" customHeight="1" spans="1:26">
      <c r="A479" s="85"/>
      <c r="B479" s="85"/>
      <c r="C479" s="85"/>
      <c r="D479" s="85"/>
      <c r="E479" s="85"/>
      <c r="F479" s="85"/>
      <c r="G479" s="85"/>
      <c r="H479" s="85"/>
      <c r="I479" s="91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2.75" customHeight="1" spans="1:26">
      <c r="A480" s="85"/>
      <c r="B480" s="85"/>
      <c r="C480" s="85"/>
      <c r="D480" s="85"/>
      <c r="E480" s="85"/>
      <c r="F480" s="85"/>
      <c r="G480" s="85"/>
      <c r="H480" s="85"/>
      <c r="I480" s="91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2.75" customHeight="1" spans="1:26">
      <c r="A481" s="85"/>
      <c r="B481" s="85"/>
      <c r="C481" s="85"/>
      <c r="D481" s="85"/>
      <c r="E481" s="85"/>
      <c r="F481" s="85"/>
      <c r="G481" s="85"/>
      <c r="H481" s="85"/>
      <c r="I481" s="91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2.75" customHeight="1" spans="1:26">
      <c r="A482" s="85"/>
      <c r="B482" s="85"/>
      <c r="C482" s="85"/>
      <c r="D482" s="85"/>
      <c r="E482" s="85"/>
      <c r="F482" s="85"/>
      <c r="G482" s="85"/>
      <c r="H482" s="85"/>
      <c r="I482" s="91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2.75" customHeight="1" spans="1:26">
      <c r="A483" s="85"/>
      <c r="B483" s="85"/>
      <c r="C483" s="85"/>
      <c r="D483" s="85"/>
      <c r="E483" s="85"/>
      <c r="F483" s="85"/>
      <c r="G483" s="85"/>
      <c r="H483" s="85"/>
      <c r="I483" s="91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2.75" customHeight="1" spans="1:26">
      <c r="A484" s="85"/>
      <c r="B484" s="85"/>
      <c r="C484" s="85"/>
      <c r="D484" s="85"/>
      <c r="E484" s="85"/>
      <c r="F484" s="85"/>
      <c r="G484" s="85"/>
      <c r="H484" s="85"/>
      <c r="I484" s="91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2.75" customHeight="1" spans="1:26">
      <c r="A485" s="85"/>
      <c r="B485" s="85"/>
      <c r="C485" s="85"/>
      <c r="D485" s="85"/>
      <c r="E485" s="85"/>
      <c r="F485" s="85"/>
      <c r="G485" s="85"/>
      <c r="H485" s="85"/>
      <c r="I485" s="91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2.75" customHeight="1" spans="1:26">
      <c r="A486" s="85"/>
      <c r="B486" s="85"/>
      <c r="C486" s="85"/>
      <c r="D486" s="85"/>
      <c r="E486" s="85"/>
      <c r="F486" s="85"/>
      <c r="G486" s="85"/>
      <c r="H486" s="85"/>
      <c r="I486" s="91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2.75" customHeight="1" spans="1:26">
      <c r="A487" s="85"/>
      <c r="B487" s="85"/>
      <c r="C487" s="85"/>
      <c r="D487" s="85"/>
      <c r="E487" s="85"/>
      <c r="F487" s="85"/>
      <c r="G487" s="85"/>
      <c r="H487" s="85"/>
      <c r="I487" s="91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2.75" customHeight="1" spans="1:26">
      <c r="A488" s="85"/>
      <c r="B488" s="85"/>
      <c r="C488" s="85"/>
      <c r="D488" s="85"/>
      <c r="E488" s="85"/>
      <c r="F488" s="85"/>
      <c r="G488" s="85"/>
      <c r="H488" s="85"/>
      <c r="I488" s="91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2.75" customHeight="1" spans="1:26">
      <c r="A489" s="85"/>
      <c r="B489" s="85"/>
      <c r="C489" s="85"/>
      <c r="D489" s="85"/>
      <c r="E489" s="85"/>
      <c r="F489" s="85"/>
      <c r="G489" s="85"/>
      <c r="H489" s="85"/>
      <c r="I489" s="91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2.75" customHeight="1" spans="1:26">
      <c r="A490" s="85"/>
      <c r="B490" s="85"/>
      <c r="C490" s="85"/>
      <c r="D490" s="85"/>
      <c r="E490" s="85"/>
      <c r="F490" s="85"/>
      <c r="G490" s="85"/>
      <c r="H490" s="85"/>
      <c r="I490" s="91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2.75" customHeight="1" spans="1:26">
      <c r="A491" s="85"/>
      <c r="B491" s="85"/>
      <c r="C491" s="85"/>
      <c r="D491" s="85"/>
      <c r="E491" s="85"/>
      <c r="F491" s="85"/>
      <c r="G491" s="85"/>
      <c r="H491" s="85"/>
      <c r="I491" s="91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2.75" customHeight="1" spans="1:26">
      <c r="A492" s="85"/>
      <c r="B492" s="85"/>
      <c r="C492" s="85"/>
      <c r="D492" s="85"/>
      <c r="E492" s="85"/>
      <c r="F492" s="85"/>
      <c r="G492" s="85"/>
      <c r="H492" s="85"/>
      <c r="I492" s="91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2.75" customHeight="1" spans="1:26">
      <c r="A493" s="85"/>
      <c r="B493" s="85"/>
      <c r="C493" s="85"/>
      <c r="D493" s="85"/>
      <c r="E493" s="85"/>
      <c r="F493" s="85"/>
      <c r="G493" s="85"/>
      <c r="H493" s="85"/>
      <c r="I493" s="91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2.75" customHeight="1" spans="1:26">
      <c r="A494" s="85"/>
      <c r="B494" s="85"/>
      <c r="C494" s="85"/>
      <c r="D494" s="85"/>
      <c r="E494" s="85"/>
      <c r="F494" s="85"/>
      <c r="G494" s="85"/>
      <c r="H494" s="85"/>
      <c r="I494" s="91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2.75" customHeight="1" spans="1:26">
      <c r="A495" s="85"/>
      <c r="B495" s="85"/>
      <c r="C495" s="85"/>
      <c r="D495" s="85"/>
      <c r="E495" s="85"/>
      <c r="F495" s="85"/>
      <c r="G495" s="85"/>
      <c r="H495" s="85"/>
      <c r="I495" s="91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2.75" customHeight="1" spans="1:26">
      <c r="A496" s="85"/>
      <c r="B496" s="85"/>
      <c r="C496" s="85"/>
      <c r="D496" s="85"/>
      <c r="E496" s="85"/>
      <c r="F496" s="85"/>
      <c r="G496" s="85"/>
      <c r="H496" s="85"/>
      <c r="I496" s="91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2.75" customHeight="1" spans="1:26">
      <c r="A497" s="85"/>
      <c r="B497" s="85"/>
      <c r="C497" s="85"/>
      <c r="D497" s="85"/>
      <c r="E497" s="85"/>
      <c r="F497" s="85"/>
      <c r="G497" s="85"/>
      <c r="H497" s="85"/>
      <c r="I497" s="91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2.75" customHeight="1" spans="1:26">
      <c r="A498" s="85"/>
      <c r="B498" s="85"/>
      <c r="C498" s="85"/>
      <c r="D498" s="85"/>
      <c r="E498" s="85"/>
      <c r="F498" s="85"/>
      <c r="G498" s="85"/>
      <c r="H498" s="85"/>
      <c r="I498" s="91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2.75" customHeight="1" spans="1:26">
      <c r="A499" s="85"/>
      <c r="B499" s="85"/>
      <c r="C499" s="85"/>
      <c r="D499" s="85"/>
      <c r="E499" s="85"/>
      <c r="F499" s="85"/>
      <c r="G499" s="85"/>
      <c r="H499" s="85"/>
      <c r="I499" s="91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2.75" customHeight="1" spans="1:26">
      <c r="A500" s="85"/>
      <c r="B500" s="85"/>
      <c r="C500" s="85"/>
      <c r="D500" s="85"/>
      <c r="E500" s="85"/>
      <c r="F500" s="85"/>
      <c r="G500" s="85"/>
      <c r="H500" s="85"/>
      <c r="I500" s="91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2.75" customHeight="1" spans="1:26">
      <c r="A501" s="85"/>
      <c r="B501" s="85"/>
      <c r="C501" s="85"/>
      <c r="D501" s="85"/>
      <c r="E501" s="85"/>
      <c r="F501" s="85"/>
      <c r="G501" s="85"/>
      <c r="H501" s="85"/>
      <c r="I501" s="91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2.75" customHeight="1" spans="1:26">
      <c r="A502" s="85"/>
      <c r="B502" s="85"/>
      <c r="C502" s="85"/>
      <c r="D502" s="85"/>
      <c r="E502" s="85"/>
      <c r="F502" s="85"/>
      <c r="G502" s="85"/>
      <c r="H502" s="85"/>
      <c r="I502" s="91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2.75" customHeight="1" spans="1:26">
      <c r="A503" s="85"/>
      <c r="B503" s="85"/>
      <c r="C503" s="85"/>
      <c r="D503" s="85"/>
      <c r="E503" s="85"/>
      <c r="F503" s="85"/>
      <c r="G503" s="85"/>
      <c r="H503" s="85"/>
      <c r="I503" s="91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2.75" customHeight="1" spans="1:26">
      <c r="A504" s="85"/>
      <c r="B504" s="85"/>
      <c r="C504" s="85"/>
      <c r="D504" s="85"/>
      <c r="E504" s="85"/>
      <c r="F504" s="85"/>
      <c r="G504" s="85"/>
      <c r="H504" s="85"/>
      <c r="I504" s="91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2.75" customHeight="1" spans="1:26">
      <c r="A505" s="85"/>
      <c r="B505" s="85"/>
      <c r="C505" s="85"/>
      <c r="D505" s="85"/>
      <c r="E505" s="85"/>
      <c r="F505" s="85"/>
      <c r="G505" s="85"/>
      <c r="H505" s="85"/>
      <c r="I505" s="91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2.75" customHeight="1" spans="1:26">
      <c r="A506" s="85"/>
      <c r="B506" s="85"/>
      <c r="C506" s="85"/>
      <c r="D506" s="85"/>
      <c r="E506" s="85"/>
      <c r="F506" s="85"/>
      <c r="G506" s="85"/>
      <c r="H506" s="85"/>
      <c r="I506" s="91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2.75" customHeight="1" spans="1:26">
      <c r="A507" s="85"/>
      <c r="B507" s="85"/>
      <c r="C507" s="85"/>
      <c r="D507" s="85"/>
      <c r="E507" s="85"/>
      <c r="F507" s="85"/>
      <c r="G507" s="85"/>
      <c r="H507" s="85"/>
      <c r="I507" s="91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2.75" customHeight="1" spans="1:26">
      <c r="A508" s="85"/>
      <c r="B508" s="85"/>
      <c r="C508" s="85"/>
      <c r="D508" s="85"/>
      <c r="E508" s="85"/>
      <c r="F508" s="85"/>
      <c r="G508" s="85"/>
      <c r="H508" s="85"/>
      <c r="I508" s="91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2.75" customHeight="1" spans="1:26">
      <c r="A509" s="85"/>
      <c r="B509" s="85"/>
      <c r="C509" s="85"/>
      <c r="D509" s="85"/>
      <c r="E509" s="85"/>
      <c r="F509" s="85"/>
      <c r="G509" s="85"/>
      <c r="H509" s="85"/>
      <c r="I509" s="91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2.75" customHeight="1" spans="1:26">
      <c r="A510" s="85"/>
      <c r="B510" s="85"/>
      <c r="C510" s="85"/>
      <c r="D510" s="85"/>
      <c r="E510" s="85"/>
      <c r="F510" s="85"/>
      <c r="G510" s="85"/>
      <c r="H510" s="85"/>
      <c r="I510" s="91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2.75" customHeight="1" spans="1:26">
      <c r="A511" s="85"/>
      <c r="B511" s="85"/>
      <c r="C511" s="85"/>
      <c r="D511" s="85"/>
      <c r="E511" s="85"/>
      <c r="F511" s="85"/>
      <c r="G511" s="85"/>
      <c r="H511" s="85"/>
      <c r="I511" s="91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2.75" customHeight="1" spans="1:26">
      <c r="A512" s="85"/>
      <c r="B512" s="85"/>
      <c r="C512" s="85"/>
      <c r="D512" s="85"/>
      <c r="E512" s="85"/>
      <c r="F512" s="85"/>
      <c r="G512" s="85"/>
      <c r="H512" s="85"/>
      <c r="I512" s="91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2.75" customHeight="1" spans="1:26">
      <c r="A513" s="85"/>
      <c r="B513" s="85"/>
      <c r="C513" s="85"/>
      <c r="D513" s="85"/>
      <c r="E513" s="85"/>
      <c r="F513" s="85"/>
      <c r="G513" s="85"/>
      <c r="H513" s="85"/>
      <c r="I513" s="91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2.75" customHeight="1" spans="1:26">
      <c r="A514" s="85"/>
      <c r="B514" s="85"/>
      <c r="C514" s="85"/>
      <c r="D514" s="85"/>
      <c r="E514" s="85"/>
      <c r="F514" s="85"/>
      <c r="G514" s="85"/>
      <c r="H514" s="85"/>
      <c r="I514" s="91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2.75" customHeight="1" spans="1:26">
      <c r="A515" s="85"/>
      <c r="B515" s="85"/>
      <c r="C515" s="85"/>
      <c r="D515" s="85"/>
      <c r="E515" s="85"/>
      <c r="F515" s="85"/>
      <c r="G515" s="85"/>
      <c r="H515" s="85"/>
      <c r="I515" s="91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2.75" customHeight="1" spans="1:26">
      <c r="A516" s="85"/>
      <c r="B516" s="85"/>
      <c r="C516" s="85"/>
      <c r="D516" s="85"/>
      <c r="E516" s="85"/>
      <c r="F516" s="85"/>
      <c r="G516" s="85"/>
      <c r="H516" s="85"/>
      <c r="I516" s="91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2.75" customHeight="1" spans="1:26">
      <c r="A517" s="85"/>
      <c r="B517" s="85"/>
      <c r="C517" s="85"/>
      <c r="D517" s="85"/>
      <c r="E517" s="85"/>
      <c r="F517" s="85"/>
      <c r="G517" s="85"/>
      <c r="H517" s="85"/>
      <c r="I517" s="91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2.75" customHeight="1" spans="1:26">
      <c r="A518" s="85"/>
      <c r="B518" s="85"/>
      <c r="C518" s="85"/>
      <c r="D518" s="85"/>
      <c r="E518" s="85"/>
      <c r="F518" s="85"/>
      <c r="G518" s="85"/>
      <c r="H518" s="85"/>
      <c r="I518" s="91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2.75" customHeight="1" spans="1:26">
      <c r="A519" s="85"/>
      <c r="B519" s="85"/>
      <c r="C519" s="85"/>
      <c r="D519" s="85"/>
      <c r="E519" s="85"/>
      <c r="F519" s="85"/>
      <c r="G519" s="85"/>
      <c r="H519" s="85"/>
      <c r="I519" s="91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2.75" customHeight="1" spans="1:26">
      <c r="A520" s="85"/>
      <c r="B520" s="85"/>
      <c r="C520" s="85"/>
      <c r="D520" s="85"/>
      <c r="E520" s="85"/>
      <c r="F520" s="85"/>
      <c r="G520" s="85"/>
      <c r="H520" s="85"/>
      <c r="I520" s="91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2.75" customHeight="1" spans="1:26">
      <c r="A521" s="85"/>
      <c r="B521" s="85"/>
      <c r="C521" s="85"/>
      <c r="D521" s="85"/>
      <c r="E521" s="85"/>
      <c r="F521" s="85"/>
      <c r="G521" s="85"/>
      <c r="H521" s="85"/>
      <c r="I521" s="91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2.75" customHeight="1" spans="1:26">
      <c r="A522" s="85"/>
      <c r="B522" s="85"/>
      <c r="C522" s="85"/>
      <c r="D522" s="85"/>
      <c r="E522" s="85"/>
      <c r="F522" s="85"/>
      <c r="G522" s="85"/>
      <c r="H522" s="85"/>
      <c r="I522" s="91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2.75" customHeight="1" spans="1:26">
      <c r="A523" s="85"/>
      <c r="B523" s="85"/>
      <c r="C523" s="85"/>
      <c r="D523" s="85"/>
      <c r="E523" s="85"/>
      <c r="F523" s="85"/>
      <c r="G523" s="85"/>
      <c r="H523" s="85"/>
      <c r="I523" s="91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2.75" customHeight="1" spans="1:26">
      <c r="A524" s="85"/>
      <c r="B524" s="85"/>
      <c r="C524" s="85"/>
      <c r="D524" s="85"/>
      <c r="E524" s="85"/>
      <c r="F524" s="85"/>
      <c r="G524" s="85"/>
      <c r="H524" s="85"/>
      <c r="I524" s="91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2.75" customHeight="1" spans="1:26">
      <c r="A525" s="85"/>
      <c r="B525" s="85"/>
      <c r="C525" s="85"/>
      <c r="D525" s="85"/>
      <c r="E525" s="85"/>
      <c r="F525" s="85"/>
      <c r="G525" s="85"/>
      <c r="H525" s="85"/>
      <c r="I525" s="91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2.75" customHeight="1" spans="1:26">
      <c r="A526" s="85"/>
      <c r="B526" s="85"/>
      <c r="C526" s="85"/>
      <c r="D526" s="85"/>
      <c r="E526" s="85"/>
      <c r="F526" s="85"/>
      <c r="G526" s="85"/>
      <c r="H526" s="85"/>
      <c r="I526" s="91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2.75" customHeight="1" spans="1:26">
      <c r="A527" s="85"/>
      <c r="B527" s="85"/>
      <c r="C527" s="85"/>
      <c r="D527" s="85"/>
      <c r="E527" s="85"/>
      <c r="F527" s="85"/>
      <c r="G527" s="85"/>
      <c r="H527" s="85"/>
      <c r="I527" s="91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2.75" customHeight="1" spans="1:26">
      <c r="A528" s="85"/>
      <c r="B528" s="85"/>
      <c r="C528" s="85"/>
      <c r="D528" s="85"/>
      <c r="E528" s="85"/>
      <c r="F528" s="85"/>
      <c r="G528" s="85"/>
      <c r="H528" s="85"/>
      <c r="I528" s="91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2.75" customHeight="1" spans="1:26">
      <c r="A529" s="85"/>
      <c r="B529" s="85"/>
      <c r="C529" s="85"/>
      <c r="D529" s="85"/>
      <c r="E529" s="85"/>
      <c r="F529" s="85"/>
      <c r="G529" s="85"/>
      <c r="H529" s="85"/>
      <c r="I529" s="91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2.75" customHeight="1" spans="1:26">
      <c r="A530" s="85"/>
      <c r="B530" s="85"/>
      <c r="C530" s="85"/>
      <c r="D530" s="85"/>
      <c r="E530" s="85"/>
      <c r="F530" s="85"/>
      <c r="G530" s="85"/>
      <c r="H530" s="85"/>
      <c r="I530" s="91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2.75" customHeight="1" spans="1:26">
      <c r="A531" s="85"/>
      <c r="B531" s="85"/>
      <c r="C531" s="85"/>
      <c r="D531" s="85"/>
      <c r="E531" s="85"/>
      <c r="F531" s="85"/>
      <c r="G531" s="85"/>
      <c r="H531" s="85"/>
      <c r="I531" s="91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2.75" customHeight="1" spans="1:26">
      <c r="A532" s="85"/>
      <c r="B532" s="85"/>
      <c r="C532" s="85"/>
      <c r="D532" s="85"/>
      <c r="E532" s="85"/>
      <c r="F532" s="85"/>
      <c r="G532" s="85"/>
      <c r="H532" s="85"/>
      <c r="I532" s="91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2.75" customHeight="1" spans="1:26">
      <c r="A533" s="85"/>
      <c r="B533" s="85"/>
      <c r="C533" s="85"/>
      <c r="D533" s="85"/>
      <c r="E533" s="85"/>
      <c r="F533" s="85"/>
      <c r="G533" s="85"/>
      <c r="H533" s="85"/>
      <c r="I533" s="91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2.75" customHeight="1" spans="1:26">
      <c r="A534" s="85"/>
      <c r="B534" s="85"/>
      <c r="C534" s="85"/>
      <c r="D534" s="85"/>
      <c r="E534" s="85"/>
      <c r="F534" s="85"/>
      <c r="G534" s="85"/>
      <c r="H534" s="85"/>
      <c r="I534" s="91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2.75" customHeight="1" spans="1:26">
      <c r="A535" s="85"/>
      <c r="B535" s="85"/>
      <c r="C535" s="85"/>
      <c r="D535" s="85"/>
      <c r="E535" s="85"/>
      <c r="F535" s="85"/>
      <c r="G535" s="85"/>
      <c r="H535" s="85"/>
      <c r="I535" s="91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2.75" customHeight="1" spans="1:26">
      <c r="A536" s="85"/>
      <c r="B536" s="85"/>
      <c r="C536" s="85"/>
      <c r="D536" s="85"/>
      <c r="E536" s="85"/>
      <c r="F536" s="85"/>
      <c r="G536" s="85"/>
      <c r="H536" s="85"/>
      <c r="I536" s="91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2.75" customHeight="1" spans="1:26">
      <c r="A537" s="85"/>
      <c r="B537" s="85"/>
      <c r="C537" s="85"/>
      <c r="D537" s="85"/>
      <c r="E537" s="85"/>
      <c r="F537" s="85"/>
      <c r="G537" s="85"/>
      <c r="H537" s="85"/>
      <c r="I537" s="91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2.75" customHeight="1" spans="1:26">
      <c r="A538" s="85"/>
      <c r="B538" s="85"/>
      <c r="C538" s="85"/>
      <c r="D538" s="85"/>
      <c r="E538" s="85"/>
      <c r="F538" s="85"/>
      <c r="G538" s="85"/>
      <c r="H538" s="85"/>
      <c r="I538" s="91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2.75" customHeight="1" spans="1:26">
      <c r="A539" s="85"/>
      <c r="B539" s="85"/>
      <c r="C539" s="85"/>
      <c r="D539" s="85"/>
      <c r="E539" s="85"/>
      <c r="F539" s="85"/>
      <c r="G539" s="85"/>
      <c r="H539" s="85"/>
      <c r="I539" s="91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2.75" customHeight="1" spans="1:26">
      <c r="A540" s="85"/>
      <c r="B540" s="85"/>
      <c r="C540" s="85"/>
      <c r="D540" s="85"/>
      <c r="E540" s="85"/>
      <c r="F540" s="85"/>
      <c r="G540" s="85"/>
      <c r="H540" s="85"/>
      <c r="I540" s="91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2.75" customHeight="1" spans="1:26">
      <c r="A541" s="85"/>
      <c r="B541" s="85"/>
      <c r="C541" s="85"/>
      <c r="D541" s="85"/>
      <c r="E541" s="85"/>
      <c r="F541" s="85"/>
      <c r="G541" s="85"/>
      <c r="H541" s="85"/>
      <c r="I541" s="91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2.75" customHeight="1" spans="1:26">
      <c r="A542" s="85"/>
      <c r="B542" s="85"/>
      <c r="C542" s="85"/>
      <c r="D542" s="85"/>
      <c r="E542" s="85"/>
      <c r="F542" s="85"/>
      <c r="G542" s="85"/>
      <c r="H542" s="85"/>
      <c r="I542" s="91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2.75" customHeight="1" spans="1:26">
      <c r="A543" s="85"/>
      <c r="B543" s="85"/>
      <c r="C543" s="85"/>
      <c r="D543" s="85"/>
      <c r="E543" s="85"/>
      <c r="F543" s="85"/>
      <c r="G543" s="85"/>
      <c r="H543" s="85"/>
      <c r="I543" s="91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2.75" customHeight="1" spans="1:26">
      <c r="A544" s="85"/>
      <c r="B544" s="85"/>
      <c r="C544" s="85"/>
      <c r="D544" s="85"/>
      <c r="E544" s="85"/>
      <c r="F544" s="85"/>
      <c r="G544" s="85"/>
      <c r="H544" s="85"/>
      <c r="I544" s="91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2.75" customHeight="1" spans="1:26">
      <c r="A545" s="85"/>
      <c r="B545" s="85"/>
      <c r="C545" s="85"/>
      <c r="D545" s="85"/>
      <c r="E545" s="85"/>
      <c r="F545" s="85"/>
      <c r="G545" s="85"/>
      <c r="H545" s="85"/>
      <c r="I545" s="91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2.75" customHeight="1" spans="1:26">
      <c r="A546" s="85"/>
      <c r="B546" s="85"/>
      <c r="C546" s="85"/>
      <c r="D546" s="85"/>
      <c r="E546" s="85"/>
      <c r="F546" s="85"/>
      <c r="G546" s="85"/>
      <c r="H546" s="85"/>
      <c r="I546" s="91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2.75" customHeight="1" spans="1:26">
      <c r="A547" s="85"/>
      <c r="B547" s="85"/>
      <c r="C547" s="85"/>
      <c r="D547" s="85"/>
      <c r="E547" s="85"/>
      <c r="F547" s="85"/>
      <c r="G547" s="85"/>
      <c r="H547" s="85"/>
      <c r="I547" s="91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2.75" customHeight="1" spans="1:26">
      <c r="A548" s="85"/>
      <c r="B548" s="85"/>
      <c r="C548" s="85"/>
      <c r="D548" s="85"/>
      <c r="E548" s="85"/>
      <c r="F548" s="85"/>
      <c r="G548" s="85"/>
      <c r="H548" s="85"/>
      <c r="I548" s="91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2.75" customHeight="1" spans="1:26">
      <c r="A549" s="85"/>
      <c r="B549" s="85"/>
      <c r="C549" s="85"/>
      <c r="D549" s="85"/>
      <c r="E549" s="85"/>
      <c r="F549" s="85"/>
      <c r="G549" s="85"/>
      <c r="H549" s="85"/>
      <c r="I549" s="91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2.75" customHeight="1" spans="1:26">
      <c r="A550" s="85"/>
      <c r="B550" s="85"/>
      <c r="C550" s="85"/>
      <c r="D550" s="85"/>
      <c r="E550" s="85"/>
      <c r="F550" s="85"/>
      <c r="G550" s="85"/>
      <c r="H550" s="85"/>
      <c r="I550" s="91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2.75" customHeight="1" spans="1:26">
      <c r="A551" s="85"/>
      <c r="B551" s="85"/>
      <c r="C551" s="85"/>
      <c r="D551" s="85"/>
      <c r="E551" s="85"/>
      <c r="F551" s="85"/>
      <c r="G551" s="85"/>
      <c r="H551" s="85"/>
      <c r="I551" s="91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2.75" customHeight="1" spans="1:26">
      <c r="A552" s="85"/>
      <c r="B552" s="85"/>
      <c r="C552" s="85"/>
      <c r="D552" s="85"/>
      <c r="E552" s="85"/>
      <c r="F552" s="85"/>
      <c r="G552" s="85"/>
      <c r="H552" s="85"/>
      <c r="I552" s="91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2.75" customHeight="1" spans="1:26">
      <c r="A553" s="85"/>
      <c r="B553" s="85"/>
      <c r="C553" s="85"/>
      <c r="D553" s="85"/>
      <c r="E553" s="85"/>
      <c r="F553" s="85"/>
      <c r="G553" s="85"/>
      <c r="H553" s="85"/>
      <c r="I553" s="91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2.75" customHeight="1" spans="1:26">
      <c r="A554" s="85"/>
      <c r="B554" s="85"/>
      <c r="C554" s="85"/>
      <c r="D554" s="85"/>
      <c r="E554" s="85"/>
      <c r="F554" s="85"/>
      <c r="G554" s="85"/>
      <c r="H554" s="85"/>
      <c r="I554" s="91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2.75" customHeight="1" spans="1:26">
      <c r="A555" s="85"/>
      <c r="B555" s="85"/>
      <c r="C555" s="85"/>
      <c r="D555" s="85"/>
      <c r="E555" s="85"/>
      <c r="F555" s="85"/>
      <c r="G555" s="85"/>
      <c r="H555" s="85"/>
      <c r="I555" s="91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2.75" customHeight="1" spans="1:26">
      <c r="A556" s="85"/>
      <c r="B556" s="85"/>
      <c r="C556" s="85"/>
      <c r="D556" s="85"/>
      <c r="E556" s="85"/>
      <c r="F556" s="85"/>
      <c r="G556" s="85"/>
      <c r="H556" s="85"/>
      <c r="I556" s="91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2.75" customHeight="1" spans="1:26">
      <c r="A557" s="85"/>
      <c r="B557" s="85"/>
      <c r="C557" s="85"/>
      <c r="D557" s="85"/>
      <c r="E557" s="85"/>
      <c r="F557" s="85"/>
      <c r="G557" s="85"/>
      <c r="H557" s="85"/>
      <c r="I557" s="91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2.75" customHeight="1" spans="1:26">
      <c r="A558" s="85"/>
      <c r="B558" s="85"/>
      <c r="C558" s="85"/>
      <c r="D558" s="85"/>
      <c r="E558" s="85"/>
      <c r="F558" s="85"/>
      <c r="G558" s="85"/>
      <c r="H558" s="85"/>
      <c r="I558" s="91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2.75" customHeight="1" spans="1:26">
      <c r="A559" s="85"/>
      <c r="B559" s="85"/>
      <c r="C559" s="85"/>
      <c r="D559" s="85"/>
      <c r="E559" s="85"/>
      <c r="F559" s="85"/>
      <c r="G559" s="85"/>
      <c r="H559" s="85"/>
      <c r="I559" s="91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2.75" customHeight="1" spans="1:26">
      <c r="A560" s="85"/>
      <c r="B560" s="85"/>
      <c r="C560" s="85"/>
      <c r="D560" s="85"/>
      <c r="E560" s="85"/>
      <c r="F560" s="85"/>
      <c r="G560" s="85"/>
      <c r="H560" s="85"/>
      <c r="I560" s="91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2.75" customHeight="1" spans="1:26">
      <c r="A561" s="85"/>
      <c r="B561" s="85"/>
      <c r="C561" s="85"/>
      <c r="D561" s="85"/>
      <c r="E561" s="85"/>
      <c r="F561" s="85"/>
      <c r="G561" s="85"/>
      <c r="H561" s="85"/>
      <c r="I561" s="91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2.75" customHeight="1" spans="1:26">
      <c r="A562" s="85"/>
      <c r="B562" s="85"/>
      <c r="C562" s="85"/>
      <c r="D562" s="85"/>
      <c r="E562" s="85"/>
      <c r="F562" s="85"/>
      <c r="G562" s="85"/>
      <c r="H562" s="85"/>
      <c r="I562" s="91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2.75" customHeight="1" spans="1:26">
      <c r="A563" s="85"/>
      <c r="B563" s="85"/>
      <c r="C563" s="85"/>
      <c r="D563" s="85"/>
      <c r="E563" s="85"/>
      <c r="F563" s="85"/>
      <c r="G563" s="85"/>
      <c r="H563" s="85"/>
      <c r="I563" s="91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2.75" customHeight="1" spans="1:26">
      <c r="A564" s="85"/>
      <c r="B564" s="85"/>
      <c r="C564" s="85"/>
      <c r="D564" s="85"/>
      <c r="E564" s="85"/>
      <c r="F564" s="85"/>
      <c r="G564" s="85"/>
      <c r="H564" s="85"/>
      <c r="I564" s="91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2.75" customHeight="1" spans="1:26">
      <c r="A565" s="85"/>
      <c r="B565" s="85"/>
      <c r="C565" s="85"/>
      <c r="D565" s="85"/>
      <c r="E565" s="85"/>
      <c r="F565" s="85"/>
      <c r="G565" s="85"/>
      <c r="H565" s="85"/>
      <c r="I565" s="91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2.75" customHeight="1" spans="1:26">
      <c r="A566" s="85"/>
      <c r="B566" s="85"/>
      <c r="C566" s="85"/>
      <c r="D566" s="85"/>
      <c r="E566" s="85"/>
      <c r="F566" s="85"/>
      <c r="G566" s="85"/>
      <c r="H566" s="85"/>
      <c r="I566" s="91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2.75" customHeight="1" spans="1:26">
      <c r="A567" s="85"/>
      <c r="B567" s="85"/>
      <c r="C567" s="85"/>
      <c r="D567" s="85"/>
      <c r="E567" s="85"/>
      <c r="F567" s="85"/>
      <c r="G567" s="85"/>
      <c r="H567" s="85"/>
      <c r="I567" s="91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2.75" customHeight="1" spans="1:26">
      <c r="A568" s="85"/>
      <c r="B568" s="85"/>
      <c r="C568" s="85"/>
      <c r="D568" s="85"/>
      <c r="E568" s="85"/>
      <c r="F568" s="85"/>
      <c r="G568" s="85"/>
      <c r="H568" s="85"/>
      <c r="I568" s="91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2.75" customHeight="1" spans="1:26">
      <c r="A569" s="85"/>
      <c r="B569" s="85"/>
      <c r="C569" s="85"/>
      <c r="D569" s="85"/>
      <c r="E569" s="85"/>
      <c r="F569" s="85"/>
      <c r="G569" s="85"/>
      <c r="H569" s="85"/>
      <c r="I569" s="91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2.75" customHeight="1" spans="1:26">
      <c r="A570" s="85"/>
      <c r="B570" s="85"/>
      <c r="C570" s="85"/>
      <c r="D570" s="85"/>
      <c r="E570" s="85"/>
      <c r="F570" s="85"/>
      <c r="G570" s="85"/>
      <c r="H570" s="85"/>
      <c r="I570" s="91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2.75" customHeight="1" spans="1:26">
      <c r="A571" s="85"/>
      <c r="B571" s="85"/>
      <c r="C571" s="85"/>
      <c r="D571" s="85"/>
      <c r="E571" s="85"/>
      <c r="F571" s="85"/>
      <c r="G571" s="85"/>
      <c r="H571" s="85"/>
      <c r="I571" s="91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2.75" customHeight="1" spans="1:26">
      <c r="A572" s="85"/>
      <c r="B572" s="85"/>
      <c r="C572" s="85"/>
      <c r="D572" s="85"/>
      <c r="E572" s="85"/>
      <c r="F572" s="85"/>
      <c r="G572" s="85"/>
      <c r="H572" s="85"/>
      <c r="I572" s="91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2.75" customHeight="1" spans="1:26">
      <c r="A573" s="85"/>
      <c r="B573" s="85"/>
      <c r="C573" s="85"/>
      <c r="D573" s="85"/>
      <c r="E573" s="85"/>
      <c r="F573" s="85"/>
      <c r="G573" s="85"/>
      <c r="H573" s="85"/>
      <c r="I573" s="91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2.75" customHeight="1" spans="1:26">
      <c r="A574" s="85"/>
      <c r="B574" s="85"/>
      <c r="C574" s="85"/>
      <c r="D574" s="85"/>
      <c r="E574" s="85"/>
      <c r="F574" s="85"/>
      <c r="G574" s="85"/>
      <c r="H574" s="85"/>
      <c r="I574" s="91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2.75" customHeight="1" spans="1:26">
      <c r="A575" s="85"/>
      <c r="B575" s="85"/>
      <c r="C575" s="85"/>
      <c r="D575" s="85"/>
      <c r="E575" s="85"/>
      <c r="F575" s="85"/>
      <c r="G575" s="85"/>
      <c r="H575" s="85"/>
      <c r="I575" s="91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2.75" customHeight="1" spans="1:26">
      <c r="A576" s="85"/>
      <c r="B576" s="85"/>
      <c r="C576" s="85"/>
      <c r="D576" s="85"/>
      <c r="E576" s="85"/>
      <c r="F576" s="85"/>
      <c r="G576" s="85"/>
      <c r="H576" s="85"/>
      <c r="I576" s="91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2.75" customHeight="1" spans="1:26">
      <c r="A577" s="85"/>
      <c r="B577" s="85"/>
      <c r="C577" s="85"/>
      <c r="D577" s="85"/>
      <c r="E577" s="85"/>
      <c r="F577" s="85"/>
      <c r="G577" s="85"/>
      <c r="H577" s="85"/>
      <c r="I577" s="91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2.75" customHeight="1" spans="1:26">
      <c r="A578" s="85"/>
      <c r="B578" s="85"/>
      <c r="C578" s="85"/>
      <c r="D578" s="85"/>
      <c r="E578" s="85"/>
      <c r="F578" s="85"/>
      <c r="G578" s="85"/>
      <c r="H578" s="85"/>
      <c r="I578" s="91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2.75" customHeight="1" spans="1:26">
      <c r="A579" s="85"/>
      <c r="B579" s="85"/>
      <c r="C579" s="85"/>
      <c r="D579" s="85"/>
      <c r="E579" s="85"/>
      <c r="F579" s="85"/>
      <c r="G579" s="85"/>
      <c r="H579" s="85"/>
      <c r="I579" s="91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2.75" customHeight="1" spans="1:26">
      <c r="A580" s="85"/>
      <c r="B580" s="85"/>
      <c r="C580" s="85"/>
      <c r="D580" s="85"/>
      <c r="E580" s="85"/>
      <c r="F580" s="85"/>
      <c r="G580" s="85"/>
      <c r="H580" s="85"/>
      <c r="I580" s="91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2.75" customHeight="1" spans="1:26">
      <c r="A581" s="85"/>
      <c r="B581" s="85"/>
      <c r="C581" s="85"/>
      <c r="D581" s="85"/>
      <c r="E581" s="85"/>
      <c r="F581" s="85"/>
      <c r="G581" s="85"/>
      <c r="H581" s="85"/>
      <c r="I581" s="91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2.75" customHeight="1" spans="1:26">
      <c r="A582" s="85"/>
      <c r="B582" s="85"/>
      <c r="C582" s="85"/>
      <c r="D582" s="85"/>
      <c r="E582" s="85"/>
      <c r="F582" s="85"/>
      <c r="G582" s="85"/>
      <c r="H582" s="85"/>
      <c r="I582" s="91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2.75" customHeight="1" spans="1:26">
      <c r="A583" s="85"/>
      <c r="B583" s="85"/>
      <c r="C583" s="85"/>
      <c r="D583" s="85"/>
      <c r="E583" s="85"/>
      <c r="F583" s="85"/>
      <c r="G583" s="85"/>
      <c r="H583" s="85"/>
      <c r="I583" s="91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2.75" customHeight="1" spans="1:26">
      <c r="A584" s="85"/>
      <c r="B584" s="85"/>
      <c r="C584" s="85"/>
      <c r="D584" s="85"/>
      <c r="E584" s="85"/>
      <c r="F584" s="85"/>
      <c r="G584" s="85"/>
      <c r="H584" s="85"/>
      <c r="I584" s="91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2.75" customHeight="1" spans="1:26">
      <c r="A585" s="85"/>
      <c r="B585" s="85"/>
      <c r="C585" s="85"/>
      <c r="D585" s="85"/>
      <c r="E585" s="85"/>
      <c r="F585" s="85"/>
      <c r="G585" s="85"/>
      <c r="H585" s="85"/>
      <c r="I585" s="91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2.75" customHeight="1" spans="1:26">
      <c r="A586" s="85"/>
      <c r="B586" s="85"/>
      <c r="C586" s="85"/>
      <c r="D586" s="85"/>
      <c r="E586" s="85"/>
      <c r="F586" s="85"/>
      <c r="G586" s="85"/>
      <c r="H586" s="85"/>
      <c r="I586" s="91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2.75" customHeight="1" spans="1:26">
      <c r="A587" s="85"/>
      <c r="B587" s="85"/>
      <c r="C587" s="85"/>
      <c r="D587" s="85"/>
      <c r="E587" s="85"/>
      <c r="F587" s="85"/>
      <c r="G587" s="85"/>
      <c r="H587" s="85"/>
      <c r="I587" s="91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2.75" customHeight="1" spans="1:26">
      <c r="A588" s="85"/>
      <c r="B588" s="85"/>
      <c r="C588" s="85"/>
      <c r="D588" s="85"/>
      <c r="E588" s="85"/>
      <c r="F588" s="85"/>
      <c r="G588" s="85"/>
      <c r="H588" s="85"/>
      <c r="I588" s="91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2.75" customHeight="1" spans="1:26">
      <c r="A589" s="85"/>
      <c r="B589" s="85"/>
      <c r="C589" s="85"/>
      <c r="D589" s="85"/>
      <c r="E589" s="85"/>
      <c r="F589" s="85"/>
      <c r="G589" s="85"/>
      <c r="H589" s="85"/>
      <c r="I589" s="91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2.75" customHeight="1" spans="1:26">
      <c r="A590" s="85"/>
      <c r="B590" s="85"/>
      <c r="C590" s="85"/>
      <c r="D590" s="85"/>
      <c r="E590" s="85"/>
      <c r="F590" s="85"/>
      <c r="G590" s="85"/>
      <c r="H590" s="85"/>
      <c r="I590" s="91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2.75" customHeight="1" spans="1:26">
      <c r="A591" s="85"/>
      <c r="B591" s="85"/>
      <c r="C591" s="85"/>
      <c r="D591" s="85"/>
      <c r="E591" s="85"/>
      <c r="F591" s="85"/>
      <c r="G591" s="85"/>
      <c r="H591" s="85"/>
      <c r="I591" s="91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2.75" customHeight="1" spans="1:26">
      <c r="A592" s="85"/>
      <c r="B592" s="85"/>
      <c r="C592" s="85"/>
      <c r="D592" s="85"/>
      <c r="E592" s="85"/>
      <c r="F592" s="85"/>
      <c r="G592" s="85"/>
      <c r="H592" s="85"/>
      <c r="I592" s="91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2.75" customHeight="1" spans="1:26">
      <c r="A593" s="85"/>
      <c r="B593" s="85"/>
      <c r="C593" s="85"/>
      <c r="D593" s="85"/>
      <c r="E593" s="85"/>
      <c r="F593" s="85"/>
      <c r="G593" s="85"/>
      <c r="H593" s="85"/>
      <c r="I593" s="91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2.75" customHeight="1" spans="1:26">
      <c r="A594" s="85"/>
      <c r="B594" s="85"/>
      <c r="C594" s="85"/>
      <c r="D594" s="85"/>
      <c r="E594" s="85"/>
      <c r="F594" s="85"/>
      <c r="G594" s="85"/>
      <c r="H594" s="85"/>
      <c r="I594" s="91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2.75" customHeight="1" spans="1:26">
      <c r="A595" s="85"/>
      <c r="B595" s="85"/>
      <c r="C595" s="85"/>
      <c r="D595" s="85"/>
      <c r="E595" s="85"/>
      <c r="F595" s="85"/>
      <c r="G595" s="85"/>
      <c r="H595" s="85"/>
      <c r="I595" s="91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2.75" customHeight="1" spans="1:26">
      <c r="A596" s="85"/>
      <c r="B596" s="85"/>
      <c r="C596" s="85"/>
      <c r="D596" s="85"/>
      <c r="E596" s="85"/>
      <c r="F596" s="85"/>
      <c r="G596" s="85"/>
      <c r="H596" s="85"/>
      <c r="I596" s="91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2.75" customHeight="1" spans="1:26">
      <c r="A597" s="85"/>
      <c r="B597" s="85"/>
      <c r="C597" s="85"/>
      <c r="D597" s="85"/>
      <c r="E597" s="85"/>
      <c r="F597" s="85"/>
      <c r="G597" s="85"/>
      <c r="H597" s="85"/>
      <c r="I597" s="91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2.75" customHeight="1" spans="1:26">
      <c r="A598" s="85"/>
      <c r="B598" s="85"/>
      <c r="C598" s="85"/>
      <c r="D598" s="85"/>
      <c r="E598" s="85"/>
      <c r="F598" s="85"/>
      <c r="G598" s="85"/>
      <c r="H598" s="85"/>
      <c r="I598" s="91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2.75" customHeight="1" spans="1:26">
      <c r="A599" s="85"/>
      <c r="B599" s="85"/>
      <c r="C599" s="85"/>
      <c r="D599" s="85"/>
      <c r="E599" s="85"/>
      <c r="F599" s="85"/>
      <c r="G599" s="85"/>
      <c r="H599" s="85"/>
      <c r="I599" s="91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2.75" customHeight="1" spans="1:26">
      <c r="A600" s="85"/>
      <c r="B600" s="85"/>
      <c r="C600" s="85"/>
      <c r="D600" s="85"/>
      <c r="E600" s="85"/>
      <c r="F600" s="85"/>
      <c r="G600" s="85"/>
      <c r="H600" s="85"/>
      <c r="I600" s="91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2.75" customHeight="1" spans="1:26">
      <c r="A601" s="85"/>
      <c r="B601" s="85"/>
      <c r="C601" s="85"/>
      <c r="D601" s="85"/>
      <c r="E601" s="85"/>
      <c r="F601" s="85"/>
      <c r="G601" s="85"/>
      <c r="H601" s="85"/>
      <c r="I601" s="91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2.75" customHeight="1" spans="1:26">
      <c r="A602" s="85"/>
      <c r="B602" s="85"/>
      <c r="C602" s="85"/>
      <c r="D602" s="85"/>
      <c r="E602" s="85"/>
      <c r="F602" s="85"/>
      <c r="G602" s="85"/>
      <c r="H602" s="85"/>
      <c r="I602" s="91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2.75" customHeight="1" spans="1:26">
      <c r="A603" s="85"/>
      <c r="B603" s="85"/>
      <c r="C603" s="85"/>
      <c r="D603" s="85"/>
      <c r="E603" s="85"/>
      <c r="F603" s="85"/>
      <c r="G603" s="85"/>
      <c r="H603" s="85"/>
      <c r="I603" s="91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2.75" customHeight="1" spans="1:26">
      <c r="A604" s="85"/>
      <c r="B604" s="85"/>
      <c r="C604" s="85"/>
      <c r="D604" s="85"/>
      <c r="E604" s="85"/>
      <c r="F604" s="85"/>
      <c r="G604" s="85"/>
      <c r="H604" s="85"/>
      <c r="I604" s="91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2.75" customHeight="1" spans="1:26">
      <c r="A605" s="85"/>
      <c r="B605" s="85"/>
      <c r="C605" s="85"/>
      <c r="D605" s="85"/>
      <c r="E605" s="85"/>
      <c r="F605" s="85"/>
      <c r="G605" s="85"/>
      <c r="H605" s="85"/>
      <c r="I605" s="91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2.75" customHeight="1" spans="1:26">
      <c r="A606" s="85"/>
      <c r="B606" s="85"/>
      <c r="C606" s="85"/>
      <c r="D606" s="85"/>
      <c r="E606" s="85"/>
      <c r="F606" s="85"/>
      <c r="G606" s="85"/>
      <c r="H606" s="85"/>
      <c r="I606" s="91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2.75" customHeight="1" spans="1:26">
      <c r="A607" s="85"/>
      <c r="B607" s="85"/>
      <c r="C607" s="85"/>
      <c r="D607" s="85"/>
      <c r="E607" s="85"/>
      <c r="F607" s="85"/>
      <c r="G607" s="85"/>
      <c r="H607" s="85"/>
      <c r="I607" s="91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2.75" customHeight="1" spans="1:26">
      <c r="A608" s="85"/>
      <c r="B608" s="85"/>
      <c r="C608" s="85"/>
      <c r="D608" s="85"/>
      <c r="E608" s="85"/>
      <c r="F608" s="85"/>
      <c r="G608" s="85"/>
      <c r="H608" s="85"/>
      <c r="I608" s="91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2.75" customHeight="1" spans="1:26">
      <c r="A609" s="85"/>
      <c r="B609" s="85"/>
      <c r="C609" s="85"/>
      <c r="D609" s="85"/>
      <c r="E609" s="85"/>
      <c r="F609" s="85"/>
      <c r="G609" s="85"/>
      <c r="H609" s="85"/>
      <c r="I609" s="91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2.75" customHeight="1" spans="1:26">
      <c r="A610" s="85"/>
      <c r="B610" s="85"/>
      <c r="C610" s="85"/>
      <c r="D610" s="85"/>
      <c r="E610" s="85"/>
      <c r="F610" s="85"/>
      <c r="G610" s="85"/>
      <c r="H610" s="85"/>
      <c r="I610" s="91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2.75" customHeight="1" spans="1:26">
      <c r="A611" s="85"/>
      <c r="B611" s="85"/>
      <c r="C611" s="85"/>
      <c r="D611" s="85"/>
      <c r="E611" s="85"/>
      <c r="F611" s="85"/>
      <c r="G611" s="85"/>
      <c r="H611" s="85"/>
      <c r="I611" s="91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2.75" customHeight="1" spans="1:26">
      <c r="A612" s="85"/>
      <c r="B612" s="85"/>
      <c r="C612" s="85"/>
      <c r="D612" s="85"/>
      <c r="E612" s="85"/>
      <c r="F612" s="85"/>
      <c r="G612" s="85"/>
      <c r="H612" s="85"/>
      <c r="I612" s="91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2.75" customHeight="1" spans="1:26">
      <c r="A613" s="85"/>
      <c r="B613" s="85"/>
      <c r="C613" s="85"/>
      <c r="D613" s="85"/>
      <c r="E613" s="85"/>
      <c r="F613" s="85"/>
      <c r="G613" s="85"/>
      <c r="H613" s="85"/>
      <c r="I613" s="91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2.75" customHeight="1" spans="1:26">
      <c r="A614" s="85"/>
      <c r="B614" s="85"/>
      <c r="C614" s="85"/>
      <c r="D614" s="85"/>
      <c r="E614" s="85"/>
      <c r="F614" s="85"/>
      <c r="G614" s="85"/>
      <c r="H614" s="85"/>
      <c r="I614" s="91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2.75" customHeight="1" spans="1:26">
      <c r="A615" s="85"/>
      <c r="B615" s="85"/>
      <c r="C615" s="85"/>
      <c r="D615" s="85"/>
      <c r="E615" s="85"/>
      <c r="F615" s="85"/>
      <c r="G615" s="85"/>
      <c r="H615" s="85"/>
      <c r="I615" s="91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2.75" customHeight="1" spans="1:26">
      <c r="A616" s="85"/>
      <c r="B616" s="85"/>
      <c r="C616" s="85"/>
      <c r="D616" s="85"/>
      <c r="E616" s="85"/>
      <c r="F616" s="85"/>
      <c r="G616" s="85"/>
      <c r="H616" s="85"/>
      <c r="I616" s="91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2.75" customHeight="1" spans="1:26">
      <c r="A617" s="85"/>
      <c r="B617" s="85"/>
      <c r="C617" s="85"/>
      <c r="D617" s="85"/>
      <c r="E617" s="85"/>
      <c r="F617" s="85"/>
      <c r="G617" s="85"/>
      <c r="H617" s="85"/>
      <c r="I617" s="91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2.75" customHeight="1" spans="1:26">
      <c r="A618" s="85"/>
      <c r="B618" s="85"/>
      <c r="C618" s="85"/>
      <c r="D618" s="85"/>
      <c r="E618" s="85"/>
      <c r="F618" s="85"/>
      <c r="G618" s="85"/>
      <c r="H618" s="85"/>
      <c r="I618" s="91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2.75" customHeight="1" spans="1:26">
      <c r="A619" s="85"/>
      <c r="B619" s="85"/>
      <c r="C619" s="85"/>
      <c r="D619" s="85"/>
      <c r="E619" s="85"/>
      <c r="F619" s="85"/>
      <c r="G619" s="85"/>
      <c r="H619" s="85"/>
      <c r="I619" s="91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2.75" customHeight="1" spans="1:26">
      <c r="A620" s="85"/>
      <c r="B620" s="85"/>
      <c r="C620" s="85"/>
      <c r="D620" s="85"/>
      <c r="E620" s="85"/>
      <c r="F620" s="85"/>
      <c r="G620" s="85"/>
      <c r="H620" s="85"/>
      <c r="I620" s="91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2.75" customHeight="1" spans="1:26">
      <c r="A621" s="85"/>
      <c r="B621" s="85"/>
      <c r="C621" s="85"/>
      <c r="D621" s="85"/>
      <c r="E621" s="85"/>
      <c r="F621" s="85"/>
      <c r="G621" s="85"/>
      <c r="H621" s="85"/>
      <c r="I621" s="91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2.75" customHeight="1" spans="1:26">
      <c r="A622" s="85"/>
      <c r="B622" s="85"/>
      <c r="C622" s="85"/>
      <c r="D622" s="85"/>
      <c r="E622" s="85"/>
      <c r="F622" s="85"/>
      <c r="G622" s="85"/>
      <c r="H622" s="85"/>
      <c r="I622" s="91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2.75" customHeight="1" spans="1:26">
      <c r="A623" s="85"/>
      <c r="B623" s="85"/>
      <c r="C623" s="85"/>
      <c r="D623" s="85"/>
      <c r="E623" s="85"/>
      <c r="F623" s="85"/>
      <c r="G623" s="85"/>
      <c r="H623" s="85"/>
      <c r="I623" s="91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2.75" customHeight="1" spans="1:26">
      <c r="A624" s="85"/>
      <c r="B624" s="85"/>
      <c r="C624" s="85"/>
      <c r="D624" s="85"/>
      <c r="E624" s="85"/>
      <c r="F624" s="85"/>
      <c r="G624" s="85"/>
      <c r="H624" s="85"/>
      <c r="I624" s="91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2.75" customHeight="1" spans="1:26">
      <c r="A625" s="85"/>
      <c r="B625" s="85"/>
      <c r="C625" s="85"/>
      <c r="D625" s="85"/>
      <c r="E625" s="85"/>
      <c r="F625" s="85"/>
      <c r="G625" s="85"/>
      <c r="H625" s="85"/>
      <c r="I625" s="91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2.75" customHeight="1" spans="1:26">
      <c r="A626" s="85"/>
      <c r="B626" s="85"/>
      <c r="C626" s="85"/>
      <c r="D626" s="85"/>
      <c r="E626" s="85"/>
      <c r="F626" s="85"/>
      <c r="G626" s="85"/>
      <c r="H626" s="85"/>
      <c r="I626" s="91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2.75" customHeight="1" spans="1:26">
      <c r="A627" s="85"/>
      <c r="B627" s="85"/>
      <c r="C627" s="85"/>
      <c r="D627" s="85"/>
      <c r="E627" s="85"/>
      <c r="F627" s="85"/>
      <c r="G627" s="85"/>
      <c r="H627" s="85"/>
      <c r="I627" s="91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2.75" customHeight="1" spans="1:26">
      <c r="A628" s="85"/>
      <c r="B628" s="85"/>
      <c r="C628" s="85"/>
      <c r="D628" s="85"/>
      <c r="E628" s="85"/>
      <c r="F628" s="85"/>
      <c r="G628" s="85"/>
      <c r="H628" s="85"/>
      <c r="I628" s="91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2.75" customHeight="1" spans="1:26">
      <c r="A629" s="85"/>
      <c r="B629" s="85"/>
      <c r="C629" s="85"/>
      <c r="D629" s="85"/>
      <c r="E629" s="85"/>
      <c r="F629" s="85"/>
      <c r="G629" s="85"/>
      <c r="H629" s="85"/>
      <c r="I629" s="91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2.75" customHeight="1" spans="1:26">
      <c r="A630" s="85"/>
      <c r="B630" s="85"/>
      <c r="C630" s="85"/>
      <c r="D630" s="85"/>
      <c r="E630" s="85"/>
      <c r="F630" s="85"/>
      <c r="G630" s="85"/>
      <c r="H630" s="85"/>
      <c r="I630" s="91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2.75" customHeight="1" spans="1:26">
      <c r="A631" s="85"/>
      <c r="B631" s="85"/>
      <c r="C631" s="85"/>
      <c r="D631" s="85"/>
      <c r="E631" s="85"/>
      <c r="F631" s="85"/>
      <c r="G631" s="85"/>
      <c r="H631" s="85"/>
      <c r="I631" s="91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2.75" customHeight="1" spans="1:26">
      <c r="A632" s="85"/>
      <c r="B632" s="85"/>
      <c r="C632" s="85"/>
      <c r="D632" s="85"/>
      <c r="E632" s="85"/>
      <c r="F632" s="85"/>
      <c r="G632" s="85"/>
      <c r="H632" s="85"/>
      <c r="I632" s="91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2.75" customHeight="1" spans="1:26">
      <c r="A633" s="85"/>
      <c r="B633" s="85"/>
      <c r="C633" s="85"/>
      <c r="D633" s="85"/>
      <c r="E633" s="85"/>
      <c r="F633" s="85"/>
      <c r="G633" s="85"/>
      <c r="H633" s="85"/>
      <c r="I633" s="91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2.75" customHeight="1" spans="1:26">
      <c r="A634" s="85"/>
      <c r="B634" s="85"/>
      <c r="C634" s="85"/>
      <c r="D634" s="85"/>
      <c r="E634" s="85"/>
      <c r="F634" s="85"/>
      <c r="G634" s="85"/>
      <c r="H634" s="85"/>
      <c r="I634" s="91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2.75" customHeight="1" spans="1:26">
      <c r="A635" s="85"/>
      <c r="B635" s="85"/>
      <c r="C635" s="85"/>
      <c r="D635" s="85"/>
      <c r="E635" s="85"/>
      <c r="F635" s="85"/>
      <c r="G635" s="85"/>
      <c r="H635" s="85"/>
      <c r="I635" s="91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2.75" customHeight="1" spans="1:26">
      <c r="A636" s="85"/>
      <c r="B636" s="85"/>
      <c r="C636" s="85"/>
      <c r="D636" s="85"/>
      <c r="E636" s="85"/>
      <c r="F636" s="85"/>
      <c r="G636" s="85"/>
      <c r="H636" s="85"/>
      <c r="I636" s="91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2.75" customHeight="1" spans="1:26">
      <c r="A637" s="85"/>
      <c r="B637" s="85"/>
      <c r="C637" s="85"/>
      <c r="D637" s="85"/>
      <c r="E637" s="85"/>
      <c r="F637" s="85"/>
      <c r="G637" s="85"/>
      <c r="H637" s="85"/>
      <c r="I637" s="91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2.75" customHeight="1" spans="1:26">
      <c r="A638" s="85"/>
      <c r="B638" s="85"/>
      <c r="C638" s="85"/>
      <c r="D638" s="85"/>
      <c r="E638" s="85"/>
      <c r="F638" s="85"/>
      <c r="G638" s="85"/>
      <c r="H638" s="85"/>
      <c r="I638" s="91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2.75" customHeight="1" spans="1:26">
      <c r="A639" s="85"/>
      <c r="B639" s="85"/>
      <c r="C639" s="85"/>
      <c r="D639" s="85"/>
      <c r="E639" s="85"/>
      <c r="F639" s="85"/>
      <c r="G639" s="85"/>
      <c r="H639" s="85"/>
      <c r="I639" s="91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2.75" customHeight="1" spans="1:26">
      <c r="A640" s="85"/>
      <c r="B640" s="85"/>
      <c r="C640" s="85"/>
      <c r="D640" s="85"/>
      <c r="E640" s="85"/>
      <c r="F640" s="85"/>
      <c r="G640" s="85"/>
      <c r="H640" s="85"/>
      <c r="I640" s="91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2.75" customHeight="1" spans="1:26">
      <c r="A641" s="85"/>
      <c r="B641" s="85"/>
      <c r="C641" s="85"/>
      <c r="D641" s="85"/>
      <c r="E641" s="85"/>
      <c r="F641" s="85"/>
      <c r="G641" s="85"/>
      <c r="H641" s="85"/>
      <c r="I641" s="91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2.75" customHeight="1" spans="1:26">
      <c r="A642" s="85"/>
      <c r="B642" s="85"/>
      <c r="C642" s="85"/>
      <c r="D642" s="85"/>
      <c r="E642" s="85"/>
      <c r="F642" s="85"/>
      <c r="G642" s="85"/>
      <c r="H642" s="85"/>
      <c r="I642" s="91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2.75" customHeight="1" spans="1:26">
      <c r="A643" s="85"/>
      <c r="B643" s="85"/>
      <c r="C643" s="85"/>
      <c r="D643" s="85"/>
      <c r="E643" s="85"/>
      <c r="F643" s="85"/>
      <c r="G643" s="85"/>
      <c r="H643" s="85"/>
      <c r="I643" s="91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2.75" customHeight="1" spans="1:26">
      <c r="A644" s="85"/>
      <c r="B644" s="85"/>
      <c r="C644" s="85"/>
      <c r="D644" s="85"/>
      <c r="E644" s="85"/>
      <c r="F644" s="85"/>
      <c r="G644" s="85"/>
      <c r="H644" s="85"/>
      <c r="I644" s="91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2.75" customHeight="1" spans="1:26">
      <c r="A645" s="85"/>
      <c r="B645" s="85"/>
      <c r="C645" s="85"/>
      <c r="D645" s="85"/>
      <c r="E645" s="85"/>
      <c r="F645" s="85"/>
      <c r="G645" s="85"/>
      <c r="H645" s="85"/>
      <c r="I645" s="91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2.75" customHeight="1" spans="1:26">
      <c r="A646" s="85"/>
      <c r="B646" s="85"/>
      <c r="C646" s="85"/>
      <c r="D646" s="85"/>
      <c r="E646" s="85"/>
      <c r="F646" s="85"/>
      <c r="G646" s="85"/>
      <c r="H646" s="85"/>
      <c r="I646" s="91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2.75" customHeight="1" spans="1:26">
      <c r="A647" s="85"/>
      <c r="B647" s="85"/>
      <c r="C647" s="85"/>
      <c r="D647" s="85"/>
      <c r="E647" s="85"/>
      <c r="F647" s="85"/>
      <c r="G647" s="85"/>
      <c r="H647" s="85"/>
      <c r="I647" s="91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2.75" customHeight="1" spans="1:26">
      <c r="A648" s="85"/>
      <c r="B648" s="85"/>
      <c r="C648" s="85"/>
      <c r="D648" s="85"/>
      <c r="E648" s="85"/>
      <c r="F648" s="85"/>
      <c r="G648" s="85"/>
      <c r="H648" s="85"/>
      <c r="I648" s="91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2.75" customHeight="1" spans="1:26">
      <c r="A649" s="85"/>
      <c r="B649" s="85"/>
      <c r="C649" s="85"/>
      <c r="D649" s="85"/>
      <c r="E649" s="85"/>
      <c r="F649" s="85"/>
      <c r="G649" s="85"/>
      <c r="H649" s="85"/>
      <c r="I649" s="91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2.75" customHeight="1" spans="1:26">
      <c r="A650" s="85"/>
      <c r="B650" s="85"/>
      <c r="C650" s="85"/>
      <c r="D650" s="85"/>
      <c r="E650" s="85"/>
      <c r="F650" s="85"/>
      <c r="G650" s="85"/>
      <c r="H650" s="85"/>
      <c r="I650" s="91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2.75" customHeight="1" spans="1:26">
      <c r="A651" s="85"/>
      <c r="B651" s="85"/>
      <c r="C651" s="85"/>
      <c r="D651" s="85"/>
      <c r="E651" s="85"/>
      <c r="F651" s="85"/>
      <c r="G651" s="85"/>
      <c r="H651" s="85"/>
      <c r="I651" s="91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2.75" customHeight="1" spans="1:26">
      <c r="A652" s="85"/>
      <c r="B652" s="85"/>
      <c r="C652" s="85"/>
      <c r="D652" s="85"/>
      <c r="E652" s="85"/>
      <c r="F652" s="85"/>
      <c r="G652" s="85"/>
      <c r="H652" s="85"/>
      <c r="I652" s="91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2.75" customHeight="1" spans="1:26">
      <c r="A653" s="85"/>
      <c r="B653" s="85"/>
      <c r="C653" s="85"/>
      <c r="D653" s="85"/>
      <c r="E653" s="85"/>
      <c r="F653" s="85"/>
      <c r="G653" s="85"/>
      <c r="H653" s="85"/>
      <c r="I653" s="91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2.75" customHeight="1" spans="1:26">
      <c r="A654" s="85"/>
      <c r="B654" s="85"/>
      <c r="C654" s="85"/>
      <c r="D654" s="85"/>
      <c r="E654" s="85"/>
      <c r="F654" s="85"/>
      <c r="G654" s="85"/>
      <c r="H654" s="85"/>
      <c r="I654" s="91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2.75" customHeight="1" spans="1:26">
      <c r="A655" s="85"/>
      <c r="B655" s="85"/>
      <c r="C655" s="85"/>
      <c r="D655" s="85"/>
      <c r="E655" s="85"/>
      <c r="F655" s="85"/>
      <c r="G655" s="85"/>
      <c r="H655" s="85"/>
      <c r="I655" s="91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2.75" customHeight="1" spans="1:26">
      <c r="A656" s="85"/>
      <c r="B656" s="85"/>
      <c r="C656" s="85"/>
      <c r="D656" s="85"/>
      <c r="E656" s="85"/>
      <c r="F656" s="85"/>
      <c r="G656" s="85"/>
      <c r="H656" s="85"/>
      <c r="I656" s="91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2.75" customHeight="1" spans="1:26">
      <c r="A657" s="85"/>
      <c r="B657" s="85"/>
      <c r="C657" s="85"/>
      <c r="D657" s="85"/>
      <c r="E657" s="85"/>
      <c r="F657" s="85"/>
      <c r="G657" s="85"/>
      <c r="H657" s="85"/>
      <c r="I657" s="91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2.75" customHeight="1" spans="1:26">
      <c r="A658" s="85"/>
      <c r="B658" s="85"/>
      <c r="C658" s="85"/>
      <c r="D658" s="85"/>
      <c r="E658" s="85"/>
      <c r="F658" s="85"/>
      <c r="G658" s="85"/>
      <c r="H658" s="85"/>
      <c r="I658" s="91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2.75" customHeight="1" spans="1:26">
      <c r="A659" s="85"/>
      <c r="B659" s="85"/>
      <c r="C659" s="85"/>
      <c r="D659" s="85"/>
      <c r="E659" s="85"/>
      <c r="F659" s="85"/>
      <c r="G659" s="85"/>
      <c r="H659" s="85"/>
      <c r="I659" s="91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2.75" customHeight="1" spans="1:26">
      <c r="A660" s="85"/>
      <c r="B660" s="85"/>
      <c r="C660" s="85"/>
      <c r="D660" s="85"/>
      <c r="E660" s="85"/>
      <c r="F660" s="85"/>
      <c r="G660" s="85"/>
      <c r="H660" s="85"/>
      <c r="I660" s="91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2.75" customHeight="1" spans="1:26">
      <c r="A661" s="85"/>
      <c r="B661" s="85"/>
      <c r="C661" s="85"/>
      <c r="D661" s="85"/>
      <c r="E661" s="85"/>
      <c r="F661" s="85"/>
      <c r="G661" s="85"/>
      <c r="H661" s="85"/>
      <c r="I661" s="91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2.75" customHeight="1" spans="1:26">
      <c r="A662" s="85"/>
      <c r="B662" s="85"/>
      <c r="C662" s="85"/>
      <c r="D662" s="85"/>
      <c r="E662" s="85"/>
      <c r="F662" s="85"/>
      <c r="G662" s="85"/>
      <c r="H662" s="85"/>
      <c r="I662" s="91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2.75" customHeight="1" spans="1:26">
      <c r="A663" s="85"/>
      <c r="B663" s="85"/>
      <c r="C663" s="85"/>
      <c r="D663" s="85"/>
      <c r="E663" s="85"/>
      <c r="F663" s="85"/>
      <c r="G663" s="85"/>
      <c r="H663" s="85"/>
      <c r="I663" s="91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2.75" customHeight="1" spans="1:26">
      <c r="A664" s="85"/>
      <c r="B664" s="85"/>
      <c r="C664" s="85"/>
      <c r="D664" s="85"/>
      <c r="E664" s="85"/>
      <c r="F664" s="85"/>
      <c r="G664" s="85"/>
      <c r="H664" s="85"/>
      <c r="I664" s="91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2.75" customHeight="1" spans="1:26">
      <c r="A665" s="85"/>
      <c r="B665" s="85"/>
      <c r="C665" s="85"/>
      <c r="D665" s="85"/>
      <c r="E665" s="85"/>
      <c r="F665" s="85"/>
      <c r="G665" s="85"/>
      <c r="H665" s="85"/>
      <c r="I665" s="91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2.75" customHeight="1" spans="1:26">
      <c r="A666" s="85"/>
      <c r="B666" s="85"/>
      <c r="C666" s="85"/>
      <c r="D666" s="85"/>
      <c r="E666" s="85"/>
      <c r="F666" s="85"/>
      <c r="G666" s="85"/>
      <c r="H666" s="85"/>
      <c r="I666" s="91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2.75" customHeight="1" spans="1:26">
      <c r="A667" s="85"/>
      <c r="B667" s="85"/>
      <c r="C667" s="85"/>
      <c r="D667" s="85"/>
      <c r="E667" s="85"/>
      <c r="F667" s="85"/>
      <c r="G667" s="85"/>
      <c r="H667" s="85"/>
      <c r="I667" s="91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2.75" customHeight="1" spans="1:26">
      <c r="A668" s="85"/>
      <c r="B668" s="85"/>
      <c r="C668" s="85"/>
      <c r="D668" s="85"/>
      <c r="E668" s="85"/>
      <c r="F668" s="85"/>
      <c r="G668" s="85"/>
      <c r="H668" s="85"/>
      <c r="I668" s="91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2.75" customHeight="1" spans="1:26">
      <c r="A669" s="85"/>
      <c r="B669" s="85"/>
      <c r="C669" s="85"/>
      <c r="D669" s="85"/>
      <c r="E669" s="85"/>
      <c r="F669" s="85"/>
      <c r="G669" s="85"/>
      <c r="H669" s="85"/>
      <c r="I669" s="91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2.75" customHeight="1" spans="1:26">
      <c r="A670" s="85"/>
      <c r="B670" s="85"/>
      <c r="C670" s="85"/>
      <c r="D670" s="85"/>
      <c r="E670" s="85"/>
      <c r="F670" s="85"/>
      <c r="G670" s="85"/>
      <c r="H670" s="85"/>
      <c r="I670" s="91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2.75" customHeight="1" spans="1:26">
      <c r="A671" s="85"/>
      <c r="B671" s="85"/>
      <c r="C671" s="85"/>
      <c r="D671" s="85"/>
      <c r="E671" s="85"/>
      <c r="F671" s="85"/>
      <c r="G671" s="85"/>
      <c r="H671" s="85"/>
      <c r="I671" s="91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2.75" customHeight="1" spans="1:26">
      <c r="A672" s="85"/>
      <c r="B672" s="85"/>
      <c r="C672" s="85"/>
      <c r="D672" s="85"/>
      <c r="E672" s="85"/>
      <c r="F672" s="85"/>
      <c r="G672" s="85"/>
      <c r="H672" s="85"/>
      <c r="I672" s="91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2.75" customHeight="1" spans="1:26">
      <c r="A673" s="85"/>
      <c r="B673" s="85"/>
      <c r="C673" s="85"/>
      <c r="D673" s="85"/>
      <c r="E673" s="85"/>
      <c r="F673" s="85"/>
      <c r="G673" s="85"/>
      <c r="H673" s="85"/>
      <c r="I673" s="91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2.75" customHeight="1" spans="1:26">
      <c r="A674" s="85"/>
      <c r="B674" s="85"/>
      <c r="C674" s="85"/>
      <c r="D674" s="85"/>
      <c r="E674" s="85"/>
      <c r="F674" s="85"/>
      <c r="G674" s="85"/>
      <c r="H674" s="85"/>
      <c r="I674" s="91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2.75" customHeight="1" spans="1:26">
      <c r="A675" s="85"/>
      <c r="B675" s="85"/>
      <c r="C675" s="85"/>
      <c r="D675" s="85"/>
      <c r="E675" s="85"/>
      <c r="F675" s="85"/>
      <c r="G675" s="85"/>
      <c r="H675" s="85"/>
      <c r="I675" s="91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2.75" customHeight="1" spans="1:26">
      <c r="A676" s="85"/>
      <c r="B676" s="85"/>
      <c r="C676" s="85"/>
      <c r="D676" s="85"/>
      <c r="E676" s="85"/>
      <c r="F676" s="85"/>
      <c r="G676" s="85"/>
      <c r="H676" s="85"/>
      <c r="I676" s="91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2.75" customHeight="1" spans="1:26">
      <c r="A677" s="85"/>
      <c r="B677" s="85"/>
      <c r="C677" s="85"/>
      <c r="D677" s="85"/>
      <c r="E677" s="85"/>
      <c r="F677" s="85"/>
      <c r="G677" s="85"/>
      <c r="H677" s="85"/>
      <c r="I677" s="91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2.75" customHeight="1" spans="1:26">
      <c r="A678" s="85"/>
      <c r="B678" s="85"/>
      <c r="C678" s="85"/>
      <c r="D678" s="85"/>
      <c r="E678" s="85"/>
      <c r="F678" s="85"/>
      <c r="G678" s="85"/>
      <c r="H678" s="85"/>
      <c r="I678" s="91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2.75" customHeight="1" spans="1:26">
      <c r="A679" s="85"/>
      <c r="B679" s="85"/>
      <c r="C679" s="85"/>
      <c r="D679" s="85"/>
      <c r="E679" s="85"/>
      <c r="F679" s="85"/>
      <c r="G679" s="85"/>
      <c r="H679" s="85"/>
      <c r="I679" s="91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2.75" customHeight="1" spans="1:26">
      <c r="A680" s="85"/>
      <c r="B680" s="85"/>
      <c r="C680" s="85"/>
      <c r="D680" s="85"/>
      <c r="E680" s="85"/>
      <c r="F680" s="85"/>
      <c r="G680" s="85"/>
      <c r="H680" s="85"/>
      <c r="I680" s="91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2.75" customHeight="1" spans="1:26">
      <c r="A681" s="85"/>
      <c r="B681" s="85"/>
      <c r="C681" s="85"/>
      <c r="D681" s="85"/>
      <c r="E681" s="85"/>
      <c r="F681" s="85"/>
      <c r="G681" s="85"/>
      <c r="H681" s="85"/>
      <c r="I681" s="91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2.75" customHeight="1" spans="1:26">
      <c r="A682" s="85"/>
      <c r="B682" s="85"/>
      <c r="C682" s="85"/>
      <c r="D682" s="85"/>
      <c r="E682" s="85"/>
      <c r="F682" s="85"/>
      <c r="G682" s="85"/>
      <c r="H682" s="85"/>
      <c r="I682" s="91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2.75" customHeight="1" spans="1:26">
      <c r="A683" s="85"/>
      <c r="B683" s="85"/>
      <c r="C683" s="85"/>
      <c r="D683" s="85"/>
      <c r="E683" s="85"/>
      <c r="F683" s="85"/>
      <c r="G683" s="85"/>
      <c r="H683" s="85"/>
      <c r="I683" s="91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2.75" customHeight="1" spans="1:26">
      <c r="A684" s="85"/>
      <c r="B684" s="85"/>
      <c r="C684" s="85"/>
      <c r="D684" s="85"/>
      <c r="E684" s="85"/>
      <c r="F684" s="85"/>
      <c r="G684" s="85"/>
      <c r="H684" s="85"/>
      <c r="I684" s="91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2.75" customHeight="1" spans="1:26">
      <c r="A685" s="85"/>
      <c r="B685" s="85"/>
      <c r="C685" s="85"/>
      <c r="D685" s="85"/>
      <c r="E685" s="85"/>
      <c r="F685" s="85"/>
      <c r="G685" s="85"/>
      <c r="H685" s="85"/>
      <c r="I685" s="91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2.75" customHeight="1" spans="1:26">
      <c r="A686" s="85"/>
      <c r="B686" s="85"/>
      <c r="C686" s="85"/>
      <c r="D686" s="85"/>
      <c r="E686" s="85"/>
      <c r="F686" s="85"/>
      <c r="G686" s="85"/>
      <c r="H686" s="85"/>
      <c r="I686" s="91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2.75" customHeight="1" spans="1:26">
      <c r="A687" s="85"/>
      <c r="B687" s="85"/>
      <c r="C687" s="85"/>
      <c r="D687" s="85"/>
      <c r="E687" s="85"/>
      <c r="F687" s="85"/>
      <c r="G687" s="85"/>
      <c r="H687" s="85"/>
      <c r="I687" s="91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2.75" customHeight="1" spans="1:26">
      <c r="A688" s="85"/>
      <c r="B688" s="85"/>
      <c r="C688" s="85"/>
      <c r="D688" s="85"/>
      <c r="E688" s="85"/>
      <c r="F688" s="85"/>
      <c r="G688" s="85"/>
      <c r="H688" s="85"/>
      <c r="I688" s="91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2.75" customHeight="1" spans="1:26">
      <c r="A689" s="85"/>
      <c r="B689" s="85"/>
      <c r="C689" s="85"/>
      <c r="D689" s="85"/>
      <c r="E689" s="85"/>
      <c r="F689" s="85"/>
      <c r="G689" s="85"/>
      <c r="H689" s="85"/>
      <c r="I689" s="91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2.75" customHeight="1" spans="1:26">
      <c r="A690" s="85"/>
      <c r="B690" s="85"/>
      <c r="C690" s="85"/>
      <c r="D690" s="85"/>
      <c r="E690" s="85"/>
      <c r="F690" s="85"/>
      <c r="G690" s="85"/>
      <c r="H690" s="85"/>
      <c r="I690" s="91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2.75" customHeight="1" spans="1:26">
      <c r="A691" s="85"/>
      <c r="B691" s="85"/>
      <c r="C691" s="85"/>
      <c r="D691" s="85"/>
      <c r="E691" s="85"/>
      <c r="F691" s="85"/>
      <c r="G691" s="85"/>
      <c r="H691" s="85"/>
      <c r="I691" s="91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2.75" customHeight="1" spans="1:26">
      <c r="A692" s="85"/>
      <c r="B692" s="85"/>
      <c r="C692" s="85"/>
      <c r="D692" s="85"/>
      <c r="E692" s="85"/>
      <c r="F692" s="85"/>
      <c r="G692" s="85"/>
      <c r="H692" s="85"/>
      <c r="I692" s="91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2.75" customHeight="1" spans="1:26">
      <c r="A693" s="85"/>
      <c r="B693" s="85"/>
      <c r="C693" s="85"/>
      <c r="D693" s="85"/>
      <c r="E693" s="85"/>
      <c r="F693" s="85"/>
      <c r="G693" s="85"/>
      <c r="H693" s="85"/>
      <c r="I693" s="91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2.75" customHeight="1" spans="1:26">
      <c r="A694" s="85"/>
      <c r="B694" s="85"/>
      <c r="C694" s="85"/>
      <c r="D694" s="85"/>
      <c r="E694" s="85"/>
      <c r="F694" s="85"/>
      <c r="G694" s="85"/>
      <c r="H694" s="85"/>
      <c r="I694" s="91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2.75" customHeight="1" spans="1:26">
      <c r="A695" s="85"/>
      <c r="B695" s="85"/>
      <c r="C695" s="85"/>
      <c r="D695" s="85"/>
      <c r="E695" s="85"/>
      <c r="F695" s="85"/>
      <c r="G695" s="85"/>
      <c r="H695" s="85"/>
      <c r="I695" s="91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2.75" customHeight="1" spans="1:26">
      <c r="A696" s="85"/>
      <c r="B696" s="85"/>
      <c r="C696" s="85"/>
      <c r="D696" s="85"/>
      <c r="E696" s="85"/>
      <c r="F696" s="85"/>
      <c r="G696" s="85"/>
      <c r="H696" s="85"/>
      <c r="I696" s="91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2.75" customHeight="1" spans="1:26">
      <c r="A697" s="85"/>
      <c r="B697" s="85"/>
      <c r="C697" s="85"/>
      <c r="D697" s="85"/>
      <c r="E697" s="85"/>
      <c r="F697" s="85"/>
      <c r="G697" s="85"/>
      <c r="H697" s="85"/>
      <c r="I697" s="91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2.75" customHeight="1" spans="1:26">
      <c r="A698" s="85"/>
      <c r="B698" s="85"/>
      <c r="C698" s="85"/>
      <c r="D698" s="85"/>
      <c r="E698" s="85"/>
      <c r="F698" s="85"/>
      <c r="G698" s="85"/>
      <c r="H698" s="85"/>
      <c r="I698" s="91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2.75" customHeight="1" spans="1:26">
      <c r="A699" s="85"/>
      <c r="B699" s="85"/>
      <c r="C699" s="85"/>
      <c r="D699" s="85"/>
      <c r="E699" s="85"/>
      <c r="F699" s="85"/>
      <c r="G699" s="85"/>
      <c r="H699" s="85"/>
      <c r="I699" s="91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2.75" customHeight="1" spans="1:26">
      <c r="A700" s="85"/>
      <c r="B700" s="85"/>
      <c r="C700" s="85"/>
      <c r="D700" s="85"/>
      <c r="E700" s="85"/>
      <c r="F700" s="85"/>
      <c r="G700" s="85"/>
      <c r="H700" s="85"/>
      <c r="I700" s="91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2.75" customHeight="1" spans="1:26">
      <c r="A701" s="85"/>
      <c r="B701" s="85"/>
      <c r="C701" s="85"/>
      <c r="D701" s="85"/>
      <c r="E701" s="85"/>
      <c r="F701" s="85"/>
      <c r="G701" s="85"/>
      <c r="H701" s="85"/>
      <c r="I701" s="91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2.75" customHeight="1" spans="1:26">
      <c r="A702" s="85"/>
      <c r="B702" s="85"/>
      <c r="C702" s="85"/>
      <c r="D702" s="85"/>
      <c r="E702" s="85"/>
      <c r="F702" s="85"/>
      <c r="G702" s="85"/>
      <c r="H702" s="85"/>
      <c r="I702" s="91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2.75" customHeight="1" spans="1:26">
      <c r="A703" s="85"/>
      <c r="B703" s="85"/>
      <c r="C703" s="85"/>
      <c r="D703" s="85"/>
      <c r="E703" s="85"/>
      <c r="F703" s="85"/>
      <c r="G703" s="85"/>
      <c r="H703" s="85"/>
      <c r="I703" s="91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2.75" customHeight="1" spans="1:26">
      <c r="A704" s="85"/>
      <c r="B704" s="85"/>
      <c r="C704" s="85"/>
      <c r="D704" s="85"/>
      <c r="E704" s="85"/>
      <c r="F704" s="85"/>
      <c r="G704" s="85"/>
      <c r="H704" s="85"/>
      <c r="I704" s="91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2.75" customHeight="1" spans="1:26">
      <c r="A705" s="85"/>
      <c r="B705" s="85"/>
      <c r="C705" s="85"/>
      <c r="D705" s="85"/>
      <c r="E705" s="85"/>
      <c r="F705" s="85"/>
      <c r="G705" s="85"/>
      <c r="H705" s="85"/>
      <c r="I705" s="91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2.75" customHeight="1" spans="1:26">
      <c r="A706" s="85"/>
      <c r="B706" s="85"/>
      <c r="C706" s="85"/>
      <c r="D706" s="85"/>
      <c r="E706" s="85"/>
      <c r="F706" s="85"/>
      <c r="G706" s="85"/>
      <c r="H706" s="85"/>
      <c r="I706" s="91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2.75" customHeight="1" spans="1:26">
      <c r="A707" s="85"/>
      <c r="B707" s="85"/>
      <c r="C707" s="85"/>
      <c r="D707" s="85"/>
      <c r="E707" s="85"/>
      <c r="F707" s="85"/>
      <c r="G707" s="85"/>
      <c r="H707" s="85"/>
      <c r="I707" s="91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2.75" customHeight="1" spans="1:26">
      <c r="A708" s="85"/>
      <c r="B708" s="85"/>
      <c r="C708" s="85"/>
      <c r="D708" s="85"/>
      <c r="E708" s="85"/>
      <c r="F708" s="85"/>
      <c r="G708" s="85"/>
      <c r="H708" s="85"/>
      <c r="I708" s="91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2.75" customHeight="1" spans="1:26">
      <c r="A709" s="85"/>
      <c r="B709" s="85"/>
      <c r="C709" s="85"/>
      <c r="D709" s="85"/>
      <c r="E709" s="85"/>
      <c r="F709" s="85"/>
      <c r="G709" s="85"/>
      <c r="H709" s="85"/>
      <c r="I709" s="91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2.75" customHeight="1" spans="1:26">
      <c r="A710" s="85"/>
      <c r="B710" s="85"/>
      <c r="C710" s="85"/>
      <c r="D710" s="85"/>
      <c r="E710" s="85"/>
      <c r="F710" s="85"/>
      <c r="G710" s="85"/>
      <c r="H710" s="85"/>
      <c r="I710" s="91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2.75" customHeight="1" spans="1:26">
      <c r="A711" s="85"/>
      <c r="B711" s="85"/>
      <c r="C711" s="85"/>
      <c r="D711" s="85"/>
      <c r="E711" s="85"/>
      <c r="F711" s="85"/>
      <c r="G711" s="85"/>
      <c r="H711" s="85"/>
      <c r="I711" s="91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2.75" customHeight="1" spans="1:26">
      <c r="A712" s="85"/>
      <c r="B712" s="85"/>
      <c r="C712" s="85"/>
      <c r="D712" s="85"/>
      <c r="E712" s="85"/>
      <c r="F712" s="85"/>
      <c r="G712" s="85"/>
      <c r="H712" s="85"/>
      <c r="I712" s="91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2.75" customHeight="1" spans="1:26">
      <c r="A713" s="85"/>
      <c r="B713" s="85"/>
      <c r="C713" s="85"/>
      <c r="D713" s="85"/>
      <c r="E713" s="85"/>
      <c r="F713" s="85"/>
      <c r="G713" s="85"/>
      <c r="H713" s="85"/>
      <c r="I713" s="91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2.75" customHeight="1" spans="1:26">
      <c r="A714" s="85"/>
      <c r="B714" s="85"/>
      <c r="C714" s="85"/>
      <c r="D714" s="85"/>
      <c r="E714" s="85"/>
      <c r="F714" s="85"/>
      <c r="G714" s="85"/>
      <c r="H714" s="85"/>
      <c r="I714" s="91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2.75" customHeight="1" spans="1:26">
      <c r="A715" s="85"/>
      <c r="B715" s="85"/>
      <c r="C715" s="85"/>
      <c r="D715" s="85"/>
      <c r="E715" s="85"/>
      <c r="F715" s="85"/>
      <c r="G715" s="85"/>
      <c r="H715" s="85"/>
      <c r="I715" s="91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2.75" customHeight="1" spans="1:26">
      <c r="A716" s="85"/>
      <c r="B716" s="85"/>
      <c r="C716" s="85"/>
      <c r="D716" s="85"/>
      <c r="E716" s="85"/>
      <c r="F716" s="85"/>
      <c r="G716" s="85"/>
      <c r="H716" s="85"/>
      <c r="I716" s="91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2.75" customHeight="1" spans="1:26">
      <c r="A717" s="85"/>
      <c r="B717" s="85"/>
      <c r="C717" s="85"/>
      <c r="D717" s="85"/>
      <c r="E717" s="85"/>
      <c r="F717" s="85"/>
      <c r="G717" s="85"/>
      <c r="H717" s="85"/>
      <c r="I717" s="91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2.75" customHeight="1" spans="1:26">
      <c r="A718" s="85"/>
      <c r="B718" s="85"/>
      <c r="C718" s="85"/>
      <c r="D718" s="85"/>
      <c r="E718" s="85"/>
      <c r="F718" s="85"/>
      <c r="G718" s="85"/>
      <c r="H718" s="85"/>
      <c r="I718" s="91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2.75" customHeight="1" spans="1:26">
      <c r="A719" s="85"/>
      <c r="B719" s="85"/>
      <c r="C719" s="85"/>
      <c r="D719" s="85"/>
      <c r="E719" s="85"/>
      <c r="F719" s="85"/>
      <c r="G719" s="85"/>
      <c r="H719" s="85"/>
      <c r="I719" s="91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2.75" customHeight="1" spans="1:26">
      <c r="A720" s="85"/>
      <c r="B720" s="85"/>
      <c r="C720" s="85"/>
      <c r="D720" s="85"/>
      <c r="E720" s="85"/>
      <c r="F720" s="85"/>
      <c r="G720" s="85"/>
      <c r="H720" s="85"/>
      <c r="I720" s="91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2.75" customHeight="1" spans="1:26">
      <c r="A721" s="85"/>
      <c r="B721" s="85"/>
      <c r="C721" s="85"/>
      <c r="D721" s="85"/>
      <c r="E721" s="85"/>
      <c r="F721" s="85"/>
      <c r="G721" s="85"/>
      <c r="H721" s="85"/>
      <c r="I721" s="91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2.75" customHeight="1" spans="1:26">
      <c r="A722" s="85"/>
      <c r="B722" s="85"/>
      <c r="C722" s="85"/>
      <c r="D722" s="85"/>
      <c r="E722" s="85"/>
      <c r="F722" s="85"/>
      <c r="G722" s="85"/>
      <c r="H722" s="85"/>
      <c r="I722" s="91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2.75" customHeight="1" spans="1:26">
      <c r="A723" s="85"/>
      <c r="B723" s="85"/>
      <c r="C723" s="85"/>
      <c r="D723" s="85"/>
      <c r="E723" s="85"/>
      <c r="F723" s="85"/>
      <c r="G723" s="85"/>
      <c r="H723" s="85"/>
      <c r="I723" s="91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2.75" customHeight="1" spans="1:26">
      <c r="A724" s="85"/>
      <c r="B724" s="85"/>
      <c r="C724" s="85"/>
      <c r="D724" s="85"/>
      <c r="E724" s="85"/>
      <c r="F724" s="85"/>
      <c r="G724" s="85"/>
      <c r="H724" s="85"/>
      <c r="I724" s="91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2.75" customHeight="1" spans="1:26">
      <c r="A725" s="85"/>
      <c r="B725" s="85"/>
      <c r="C725" s="85"/>
      <c r="D725" s="85"/>
      <c r="E725" s="85"/>
      <c r="F725" s="85"/>
      <c r="G725" s="85"/>
      <c r="H725" s="85"/>
      <c r="I725" s="91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2.75" customHeight="1" spans="1:26">
      <c r="A726" s="85"/>
      <c r="B726" s="85"/>
      <c r="C726" s="85"/>
      <c r="D726" s="85"/>
      <c r="E726" s="85"/>
      <c r="F726" s="85"/>
      <c r="G726" s="85"/>
      <c r="H726" s="85"/>
      <c r="I726" s="91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2.75" customHeight="1" spans="1:26">
      <c r="A727" s="85"/>
      <c r="B727" s="85"/>
      <c r="C727" s="85"/>
      <c r="D727" s="85"/>
      <c r="E727" s="85"/>
      <c r="F727" s="85"/>
      <c r="G727" s="85"/>
      <c r="H727" s="85"/>
      <c r="I727" s="91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2.75" customHeight="1" spans="1:26">
      <c r="A728" s="85"/>
      <c r="B728" s="85"/>
      <c r="C728" s="85"/>
      <c r="D728" s="85"/>
      <c r="E728" s="85"/>
      <c r="F728" s="85"/>
      <c r="G728" s="85"/>
      <c r="H728" s="85"/>
      <c r="I728" s="91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2.75" customHeight="1" spans="1:26">
      <c r="A729" s="85"/>
      <c r="B729" s="85"/>
      <c r="C729" s="85"/>
      <c r="D729" s="85"/>
      <c r="E729" s="85"/>
      <c r="F729" s="85"/>
      <c r="G729" s="85"/>
      <c r="H729" s="85"/>
      <c r="I729" s="91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2.75" customHeight="1" spans="1:26">
      <c r="A730" s="85"/>
      <c r="B730" s="85"/>
      <c r="C730" s="85"/>
      <c r="D730" s="85"/>
      <c r="E730" s="85"/>
      <c r="F730" s="85"/>
      <c r="G730" s="85"/>
      <c r="H730" s="85"/>
      <c r="I730" s="91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2.75" customHeight="1" spans="1:26">
      <c r="A731" s="85"/>
      <c r="B731" s="85"/>
      <c r="C731" s="85"/>
      <c r="D731" s="85"/>
      <c r="E731" s="85"/>
      <c r="F731" s="85"/>
      <c r="G731" s="85"/>
      <c r="H731" s="85"/>
      <c r="I731" s="91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2.75" customHeight="1" spans="1:26">
      <c r="A732" s="85"/>
      <c r="B732" s="85"/>
      <c r="C732" s="85"/>
      <c r="D732" s="85"/>
      <c r="E732" s="85"/>
      <c r="F732" s="85"/>
      <c r="G732" s="85"/>
      <c r="H732" s="85"/>
      <c r="I732" s="91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2.75" customHeight="1" spans="1:26">
      <c r="A733" s="85"/>
      <c r="B733" s="85"/>
      <c r="C733" s="85"/>
      <c r="D733" s="85"/>
      <c r="E733" s="85"/>
      <c r="F733" s="85"/>
      <c r="G733" s="85"/>
      <c r="H733" s="85"/>
      <c r="I733" s="91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2.75" customHeight="1" spans="1:26">
      <c r="A734" s="85"/>
      <c r="B734" s="85"/>
      <c r="C734" s="85"/>
      <c r="D734" s="85"/>
      <c r="E734" s="85"/>
      <c r="F734" s="85"/>
      <c r="G734" s="85"/>
      <c r="H734" s="85"/>
      <c r="I734" s="91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2.75" customHeight="1" spans="1:26">
      <c r="A735" s="85"/>
      <c r="B735" s="85"/>
      <c r="C735" s="85"/>
      <c r="D735" s="85"/>
      <c r="E735" s="85"/>
      <c r="F735" s="85"/>
      <c r="G735" s="85"/>
      <c r="H735" s="85"/>
      <c r="I735" s="91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2.75" customHeight="1" spans="1:26">
      <c r="A736" s="85"/>
      <c r="B736" s="85"/>
      <c r="C736" s="85"/>
      <c r="D736" s="85"/>
      <c r="E736" s="85"/>
      <c r="F736" s="85"/>
      <c r="G736" s="85"/>
      <c r="H736" s="85"/>
      <c r="I736" s="91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2.75" customHeight="1" spans="1:26">
      <c r="A737" s="85"/>
      <c r="B737" s="85"/>
      <c r="C737" s="85"/>
      <c r="D737" s="85"/>
      <c r="E737" s="85"/>
      <c r="F737" s="85"/>
      <c r="G737" s="85"/>
      <c r="H737" s="85"/>
      <c r="I737" s="91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2.75" customHeight="1" spans="1:26">
      <c r="A738" s="85"/>
      <c r="B738" s="85"/>
      <c r="C738" s="85"/>
      <c r="D738" s="85"/>
      <c r="E738" s="85"/>
      <c r="F738" s="85"/>
      <c r="G738" s="85"/>
      <c r="H738" s="85"/>
      <c r="I738" s="91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2.75" customHeight="1" spans="1:26">
      <c r="A739" s="85"/>
      <c r="B739" s="85"/>
      <c r="C739" s="85"/>
      <c r="D739" s="85"/>
      <c r="E739" s="85"/>
      <c r="F739" s="85"/>
      <c r="G739" s="85"/>
      <c r="H739" s="85"/>
      <c r="I739" s="91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2.75" customHeight="1" spans="1:26">
      <c r="A740" s="85"/>
      <c r="B740" s="85"/>
      <c r="C740" s="85"/>
      <c r="D740" s="85"/>
      <c r="E740" s="85"/>
      <c r="F740" s="85"/>
      <c r="G740" s="85"/>
      <c r="H740" s="85"/>
      <c r="I740" s="91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2.75" customHeight="1" spans="1:26">
      <c r="A741" s="85"/>
      <c r="B741" s="85"/>
      <c r="C741" s="85"/>
      <c r="D741" s="85"/>
      <c r="E741" s="85"/>
      <c r="F741" s="85"/>
      <c r="G741" s="85"/>
      <c r="H741" s="85"/>
      <c r="I741" s="91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2.75" customHeight="1" spans="1:26">
      <c r="A742" s="85"/>
      <c r="B742" s="85"/>
      <c r="C742" s="85"/>
      <c r="D742" s="85"/>
      <c r="E742" s="85"/>
      <c r="F742" s="85"/>
      <c r="G742" s="85"/>
      <c r="H742" s="85"/>
      <c r="I742" s="91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2.75" customHeight="1" spans="1:26">
      <c r="A743" s="85"/>
      <c r="B743" s="85"/>
      <c r="C743" s="85"/>
      <c r="D743" s="85"/>
      <c r="E743" s="85"/>
      <c r="F743" s="85"/>
      <c r="G743" s="85"/>
      <c r="H743" s="85"/>
      <c r="I743" s="91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2.75" customHeight="1" spans="1:26">
      <c r="A744" s="85"/>
      <c r="B744" s="85"/>
      <c r="C744" s="85"/>
      <c r="D744" s="85"/>
      <c r="E744" s="85"/>
      <c r="F744" s="85"/>
      <c r="G744" s="85"/>
      <c r="H744" s="85"/>
      <c r="I744" s="91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2.75" customHeight="1" spans="1:26">
      <c r="A745" s="85"/>
      <c r="B745" s="85"/>
      <c r="C745" s="85"/>
      <c r="D745" s="85"/>
      <c r="E745" s="85"/>
      <c r="F745" s="85"/>
      <c r="G745" s="85"/>
      <c r="H745" s="85"/>
      <c r="I745" s="91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2.75" customHeight="1" spans="1:26">
      <c r="A746" s="85"/>
      <c r="B746" s="85"/>
      <c r="C746" s="85"/>
      <c r="D746" s="85"/>
      <c r="E746" s="85"/>
      <c r="F746" s="85"/>
      <c r="G746" s="85"/>
      <c r="H746" s="85"/>
      <c r="I746" s="91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2.75" customHeight="1" spans="1:26">
      <c r="A747" s="85"/>
      <c r="B747" s="85"/>
      <c r="C747" s="85"/>
      <c r="D747" s="85"/>
      <c r="E747" s="85"/>
      <c r="F747" s="85"/>
      <c r="G747" s="85"/>
      <c r="H747" s="85"/>
      <c r="I747" s="91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2.75" customHeight="1" spans="1:26">
      <c r="A748" s="85"/>
      <c r="B748" s="85"/>
      <c r="C748" s="85"/>
      <c r="D748" s="85"/>
      <c r="E748" s="85"/>
      <c r="F748" s="85"/>
      <c r="G748" s="85"/>
      <c r="H748" s="85"/>
      <c r="I748" s="91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2.75" customHeight="1" spans="1:26">
      <c r="A749" s="85"/>
      <c r="B749" s="85"/>
      <c r="C749" s="85"/>
      <c r="D749" s="85"/>
      <c r="E749" s="85"/>
      <c r="F749" s="85"/>
      <c r="G749" s="85"/>
      <c r="H749" s="85"/>
      <c r="I749" s="91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2.75" customHeight="1" spans="1:26">
      <c r="A750" s="85"/>
      <c r="B750" s="85"/>
      <c r="C750" s="85"/>
      <c r="D750" s="85"/>
      <c r="E750" s="85"/>
      <c r="F750" s="85"/>
      <c r="G750" s="85"/>
      <c r="H750" s="85"/>
      <c r="I750" s="91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2.75" customHeight="1" spans="1:26">
      <c r="A751" s="85"/>
      <c r="B751" s="85"/>
      <c r="C751" s="85"/>
      <c r="D751" s="85"/>
      <c r="E751" s="85"/>
      <c r="F751" s="85"/>
      <c r="G751" s="85"/>
      <c r="H751" s="85"/>
      <c r="I751" s="91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2.75" customHeight="1" spans="1:26">
      <c r="A752" s="85"/>
      <c r="B752" s="85"/>
      <c r="C752" s="85"/>
      <c r="D752" s="85"/>
      <c r="E752" s="85"/>
      <c r="F752" s="85"/>
      <c r="G752" s="85"/>
      <c r="H752" s="85"/>
      <c r="I752" s="91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2.75" customHeight="1" spans="1:26">
      <c r="A753" s="85"/>
      <c r="B753" s="85"/>
      <c r="C753" s="85"/>
      <c r="D753" s="85"/>
      <c r="E753" s="85"/>
      <c r="F753" s="85"/>
      <c r="G753" s="85"/>
      <c r="H753" s="85"/>
      <c r="I753" s="91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2.75" customHeight="1" spans="1:26">
      <c r="A754" s="85"/>
      <c r="B754" s="85"/>
      <c r="C754" s="85"/>
      <c r="D754" s="85"/>
      <c r="E754" s="85"/>
      <c r="F754" s="85"/>
      <c r="G754" s="85"/>
      <c r="H754" s="85"/>
      <c r="I754" s="91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2.75" customHeight="1" spans="1:26">
      <c r="A755" s="85"/>
      <c r="B755" s="85"/>
      <c r="C755" s="85"/>
      <c r="D755" s="85"/>
      <c r="E755" s="85"/>
      <c r="F755" s="85"/>
      <c r="G755" s="85"/>
      <c r="H755" s="85"/>
      <c r="I755" s="91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2.75" customHeight="1" spans="1:26">
      <c r="A756" s="85"/>
      <c r="B756" s="85"/>
      <c r="C756" s="85"/>
      <c r="D756" s="85"/>
      <c r="E756" s="85"/>
      <c r="F756" s="85"/>
      <c r="G756" s="85"/>
      <c r="H756" s="85"/>
      <c r="I756" s="91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2.75" customHeight="1" spans="1:26">
      <c r="A757" s="85"/>
      <c r="B757" s="85"/>
      <c r="C757" s="85"/>
      <c r="D757" s="85"/>
      <c r="E757" s="85"/>
      <c r="F757" s="85"/>
      <c r="G757" s="85"/>
      <c r="H757" s="85"/>
      <c r="I757" s="91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2.75" customHeight="1" spans="1:26">
      <c r="A758" s="85"/>
      <c r="B758" s="85"/>
      <c r="C758" s="85"/>
      <c r="D758" s="85"/>
      <c r="E758" s="85"/>
      <c r="F758" s="85"/>
      <c r="G758" s="85"/>
      <c r="H758" s="85"/>
      <c r="I758" s="91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2.75" customHeight="1" spans="1:26">
      <c r="A759" s="85"/>
      <c r="B759" s="85"/>
      <c r="C759" s="85"/>
      <c r="D759" s="85"/>
      <c r="E759" s="85"/>
      <c r="F759" s="85"/>
      <c r="G759" s="85"/>
      <c r="H759" s="85"/>
      <c r="I759" s="91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2.75" customHeight="1" spans="1:26">
      <c r="A760" s="85"/>
      <c r="B760" s="85"/>
      <c r="C760" s="85"/>
      <c r="D760" s="85"/>
      <c r="E760" s="85"/>
      <c r="F760" s="85"/>
      <c r="G760" s="85"/>
      <c r="H760" s="85"/>
      <c r="I760" s="91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2.75" customHeight="1" spans="1:26">
      <c r="A761" s="85"/>
      <c r="B761" s="85"/>
      <c r="C761" s="85"/>
      <c r="D761" s="85"/>
      <c r="E761" s="85"/>
      <c r="F761" s="85"/>
      <c r="G761" s="85"/>
      <c r="H761" s="85"/>
      <c r="I761" s="91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2.75" customHeight="1" spans="1:26">
      <c r="A762" s="85"/>
      <c r="B762" s="85"/>
      <c r="C762" s="85"/>
      <c r="D762" s="85"/>
      <c r="E762" s="85"/>
      <c r="F762" s="85"/>
      <c r="G762" s="85"/>
      <c r="H762" s="85"/>
      <c r="I762" s="91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2.75" customHeight="1" spans="1:26">
      <c r="A763" s="85"/>
      <c r="B763" s="85"/>
      <c r="C763" s="85"/>
      <c r="D763" s="85"/>
      <c r="E763" s="85"/>
      <c r="F763" s="85"/>
      <c r="G763" s="85"/>
      <c r="H763" s="85"/>
      <c r="I763" s="91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2.75" customHeight="1" spans="1:26">
      <c r="A764" s="85"/>
      <c r="B764" s="85"/>
      <c r="C764" s="85"/>
      <c r="D764" s="85"/>
      <c r="E764" s="85"/>
      <c r="F764" s="85"/>
      <c r="G764" s="85"/>
      <c r="H764" s="85"/>
      <c r="I764" s="91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2.75" customHeight="1" spans="1:26">
      <c r="A765" s="85"/>
      <c r="B765" s="85"/>
      <c r="C765" s="85"/>
      <c r="D765" s="85"/>
      <c r="E765" s="85"/>
      <c r="F765" s="85"/>
      <c r="G765" s="85"/>
      <c r="H765" s="85"/>
      <c r="I765" s="91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2.75" customHeight="1" spans="1:26">
      <c r="A766" s="85"/>
      <c r="B766" s="85"/>
      <c r="C766" s="85"/>
      <c r="D766" s="85"/>
      <c r="E766" s="85"/>
      <c r="F766" s="85"/>
      <c r="G766" s="85"/>
      <c r="H766" s="85"/>
      <c r="I766" s="91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2.75" customHeight="1" spans="1:26">
      <c r="A767" s="85"/>
      <c r="B767" s="85"/>
      <c r="C767" s="85"/>
      <c r="D767" s="85"/>
      <c r="E767" s="85"/>
      <c r="F767" s="85"/>
      <c r="G767" s="85"/>
      <c r="H767" s="85"/>
      <c r="I767" s="91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2.75" customHeight="1" spans="1:26">
      <c r="A768" s="85"/>
      <c r="B768" s="85"/>
      <c r="C768" s="85"/>
      <c r="D768" s="85"/>
      <c r="E768" s="85"/>
      <c r="F768" s="85"/>
      <c r="G768" s="85"/>
      <c r="H768" s="85"/>
      <c r="I768" s="91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2.75" customHeight="1" spans="1:26">
      <c r="A769" s="85"/>
      <c r="B769" s="85"/>
      <c r="C769" s="85"/>
      <c r="D769" s="85"/>
      <c r="E769" s="85"/>
      <c r="F769" s="85"/>
      <c r="G769" s="85"/>
      <c r="H769" s="85"/>
      <c r="I769" s="91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2.75" customHeight="1" spans="1:26">
      <c r="A770" s="85"/>
      <c r="B770" s="85"/>
      <c r="C770" s="85"/>
      <c r="D770" s="85"/>
      <c r="E770" s="85"/>
      <c r="F770" s="85"/>
      <c r="G770" s="85"/>
      <c r="H770" s="85"/>
      <c r="I770" s="91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2.75" customHeight="1" spans="1:26">
      <c r="A771" s="85"/>
      <c r="B771" s="85"/>
      <c r="C771" s="85"/>
      <c r="D771" s="85"/>
      <c r="E771" s="85"/>
      <c r="F771" s="85"/>
      <c r="G771" s="85"/>
      <c r="H771" s="85"/>
      <c r="I771" s="91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2.75" customHeight="1" spans="1:26">
      <c r="A772" s="85"/>
      <c r="B772" s="85"/>
      <c r="C772" s="85"/>
      <c r="D772" s="85"/>
      <c r="E772" s="85"/>
      <c r="F772" s="85"/>
      <c r="G772" s="85"/>
      <c r="H772" s="85"/>
      <c r="I772" s="91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2.75" customHeight="1" spans="1:26">
      <c r="A773" s="85"/>
      <c r="B773" s="85"/>
      <c r="C773" s="85"/>
      <c r="D773" s="85"/>
      <c r="E773" s="85"/>
      <c r="F773" s="85"/>
      <c r="G773" s="85"/>
      <c r="H773" s="85"/>
      <c r="I773" s="91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2.75" customHeight="1" spans="1:26">
      <c r="A774" s="85"/>
      <c r="B774" s="85"/>
      <c r="C774" s="85"/>
      <c r="D774" s="85"/>
      <c r="E774" s="85"/>
      <c r="F774" s="85"/>
      <c r="G774" s="85"/>
      <c r="H774" s="85"/>
      <c r="I774" s="91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2.75" customHeight="1" spans="1:26">
      <c r="A775" s="85"/>
      <c r="B775" s="85"/>
      <c r="C775" s="85"/>
      <c r="D775" s="85"/>
      <c r="E775" s="85"/>
      <c r="F775" s="85"/>
      <c r="G775" s="85"/>
      <c r="H775" s="85"/>
      <c r="I775" s="91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2.75" customHeight="1" spans="1:26">
      <c r="A776" s="85"/>
      <c r="B776" s="85"/>
      <c r="C776" s="85"/>
      <c r="D776" s="85"/>
      <c r="E776" s="85"/>
      <c r="F776" s="85"/>
      <c r="G776" s="85"/>
      <c r="H776" s="85"/>
      <c r="I776" s="91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2.75" customHeight="1" spans="1:26">
      <c r="A777" s="85"/>
      <c r="B777" s="85"/>
      <c r="C777" s="85"/>
      <c r="D777" s="85"/>
      <c r="E777" s="85"/>
      <c r="F777" s="85"/>
      <c r="G777" s="85"/>
      <c r="H777" s="85"/>
      <c r="I777" s="91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2.75" customHeight="1" spans="1:26">
      <c r="A778" s="85"/>
      <c r="B778" s="85"/>
      <c r="C778" s="85"/>
      <c r="D778" s="85"/>
      <c r="E778" s="85"/>
      <c r="F778" s="85"/>
      <c r="G778" s="85"/>
      <c r="H778" s="85"/>
      <c r="I778" s="91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2.75" customHeight="1" spans="1:26">
      <c r="A779" s="85"/>
      <c r="B779" s="85"/>
      <c r="C779" s="85"/>
      <c r="D779" s="85"/>
      <c r="E779" s="85"/>
      <c r="F779" s="85"/>
      <c r="G779" s="85"/>
      <c r="H779" s="85"/>
      <c r="I779" s="91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2.75" customHeight="1" spans="1:26">
      <c r="A780" s="85"/>
      <c r="B780" s="85"/>
      <c r="C780" s="85"/>
      <c r="D780" s="85"/>
      <c r="E780" s="85"/>
      <c r="F780" s="85"/>
      <c r="G780" s="85"/>
      <c r="H780" s="85"/>
      <c r="I780" s="91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2.75" customHeight="1" spans="1:26">
      <c r="A781" s="85"/>
      <c r="B781" s="85"/>
      <c r="C781" s="85"/>
      <c r="D781" s="85"/>
      <c r="E781" s="85"/>
      <c r="F781" s="85"/>
      <c r="G781" s="85"/>
      <c r="H781" s="85"/>
      <c r="I781" s="91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2.75" customHeight="1" spans="1:26">
      <c r="A782" s="85"/>
      <c r="B782" s="85"/>
      <c r="C782" s="85"/>
      <c r="D782" s="85"/>
      <c r="E782" s="85"/>
      <c r="F782" s="85"/>
      <c r="G782" s="85"/>
      <c r="H782" s="85"/>
      <c r="I782" s="91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2.75" customHeight="1" spans="1:26">
      <c r="A783" s="85"/>
      <c r="B783" s="85"/>
      <c r="C783" s="85"/>
      <c r="D783" s="85"/>
      <c r="E783" s="85"/>
      <c r="F783" s="85"/>
      <c r="G783" s="85"/>
      <c r="H783" s="85"/>
      <c r="I783" s="91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2.75" customHeight="1" spans="1:26">
      <c r="A784" s="85"/>
      <c r="B784" s="85"/>
      <c r="C784" s="85"/>
      <c r="D784" s="85"/>
      <c r="E784" s="85"/>
      <c r="F784" s="85"/>
      <c r="G784" s="85"/>
      <c r="H784" s="85"/>
      <c r="I784" s="91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2.75" customHeight="1" spans="1:26">
      <c r="A785" s="85"/>
      <c r="B785" s="85"/>
      <c r="C785" s="85"/>
      <c r="D785" s="85"/>
      <c r="E785" s="85"/>
      <c r="F785" s="85"/>
      <c r="G785" s="85"/>
      <c r="H785" s="85"/>
      <c r="I785" s="91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2.75" customHeight="1" spans="1:26">
      <c r="A786" s="85"/>
      <c r="B786" s="85"/>
      <c r="C786" s="85"/>
      <c r="D786" s="85"/>
      <c r="E786" s="85"/>
      <c r="F786" s="85"/>
      <c r="G786" s="85"/>
      <c r="H786" s="85"/>
      <c r="I786" s="91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2.75" customHeight="1" spans="1:26">
      <c r="A787" s="85"/>
      <c r="B787" s="85"/>
      <c r="C787" s="85"/>
      <c r="D787" s="85"/>
      <c r="E787" s="85"/>
      <c r="F787" s="85"/>
      <c r="G787" s="85"/>
      <c r="H787" s="85"/>
      <c r="I787" s="91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2.75" customHeight="1" spans="1:26">
      <c r="A788" s="85"/>
      <c r="B788" s="85"/>
      <c r="C788" s="85"/>
      <c r="D788" s="85"/>
      <c r="E788" s="85"/>
      <c r="F788" s="85"/>
      <c r="G788" s="85"/>
      <c r="H788" s="85"/>
      <c r="I788" s="91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2.75" customHeight="1" spans="1:26">
      <c r="A789" s="85"/>
      <c r="B789" s="85"/>
      <c r="C789" s="85"/>
      <c r="D789" s="85"/>
      <c r="E789" s="85"/>
      <c r="F789" s="85"/>
      <c r="G789" s="85"/>
      <c r="H789" s="85"/>
      <c r="I789" s="91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2.75" customHeight="1" spans="1:26">
      <c r="A790" s="85"/>
      <c r="B790" s="85"/>
      <c r="C790" s="85"/>
      <c r="D790" s="85"/>
      <c r="E790" s="85"/>
      <c r="F790" s="85"/>
      <c r="G790" s="85"/>
      <c r="H790" s="85"/>
      <c r="I790" s="91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2.75" customHeight="1" spans="1:26">
      <c r="A791" s="85"/>
      <c r="B791" s="85"/>
      <c r="C791" s="85"/>
      <c r="D791" s="85"/>
      <c r="E791" s="85"/>
      <c r="F791" s="85"/>
      <c r="G791" s="85"/>
      <c r="H791" s="85"/>
      <c r="I791" s="91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2.75" customHeight="1" spans="1:26">
      <c r="A792" s="85"/>
      <c r="B792" s="85"/>
      <c r="C792" s="85"/>
      <c r="D792" s="85"/>
      <c r="E792" s="85"/>
      <c r="F792" s="85"/>
      <c r="G792" s="85"/>
      <c r="H792" s="85"/>
      <c r="I792" s="91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2.75" customHeight="1" spans="1:26">
      <c r="A793" s="85"/>
      <c r="B793" s="85"/>
      <c r="C793" s="85"/>
      <c r="D793" s="85"/>
      <c r="E793" s="85"/>
      <c r="F793" s="85"/>
      <c r="G793" s="85"/>
      <c r="H793" s="85"/>
      <c r="I793" s="91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2.75" customHeight="1" spans="1:26">
      <c r="A794" s="85"/>
      <c r="B794" s="85"/>
      <c r="C794" s="85"/>
      <c r="D794" s="85"/>
      <c r="E794" s="85"/>
      <c r="F794" s="85"/>
      <c r="G794" s="85"/>
      <c r="H794" s="85"/>
      <c r="I794" s="91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2.75" customHeight="1" spans="1:26">
      <c r="A795" s="85"/>
      <c r="B795" s="85"/>
      <c r="C795" s="85"/>
      <c r="D795" s="85"/>
      <c r="E795" s="85"/>
      <c r="F795" s="85"/>
      <c r="G795" s="85"/>
      <c r="H795" s="85"/>
      <c r="I795" s="91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2.75" customHeight="1" spans="1:26">
      <c r="A796" s="85"/>
      <c r="B796" s="85"/>
      <c r="C796" s="85"/>
      <c r="D796" s="85"/>
      <c r="E796" s="85"/>
      <c r="F796" s="85"/>
      <c r="G796" s="85"/>
      <c r="H796" s="85"/>
      <c r="I796" s="91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2.75" customHeight="1" spans="1:26">
      <c r="A797" s="85"/>
      <c r="B797" s="85"/>
      <c r="C797" s="85"/>
      <c r="D797" s="85"/>
      <c r="E797" s="85"/>
      <c r="F797" s="85"/>
      <c r="G797" s="85"/>
      <c r="H797" s="85"/>
      <c r="I797" s="91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2.75" customHeight="1" spans="1:26">
      <c r="A798" s="85"/>
      <c r="B798" s="85"/>
      <c r="C798" s="85"/>
      <c r="D798" s="85"/>
      <c r="E798" s="85"/>
      <c r="F798" s="85"/>
      <c r="G798" s="85"/>
      <c r="H798" s="85"/>
      <c r="I798" s="91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2.75" customHeight="1" spans="1:26">
      <c r="A799" s="85"/>
      <c r="B799" s="85"/>
      <c r="C799" s="85"/>
      <c r="D799" s="85"/>
      <c r="E799" s="85"/>
      <c r="F799" s="85"/>
      <c r="G799" s="85"/>
      <c r="H799" s="85"/>
      <c r="I799" s="91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2.75" customHeight="1" spans="1:26">
      <c r="A800" s="85"/>
      <c r="B800" s="85"/>
      <c r="C800" s="85"/>
      <c r="D800" s="85"/>
      <c r="E800" s="85"/>
      <c r="F800" s="85"/>
      <c r="G800" s="85"/>
      <c r="H800" s="85"/>
      <c r="I800" s="91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2.75" customHeight="1" spans="1:26">
      <c r="A801" s="85"/>
      <c r="B801" s="85"/>
      <c r="C801" s="85"/>
      <c r="D801" s="85"/>
      <c r="E801" s="85"/>
      <c r="F801" s="85"/>
      <c r="G801" s="85"/>
      <c r="H801" s="85"/>
      <c r="I801" s="91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2.75" customHeight="1" spans="1:26">
      <c r="A802" s="85"/>
      <c r="B802" s="85"/>
      <c r="C802" s="85"/>
      <c r="D802" s="85"/>
      <c r="E802" s="85"/>
      <c r="F802" s="85"/>
      <c r="G802" s="85"/>
      <c r="H802" s="85"/>
      <c r="I802" s="91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2.75" customHeight="1" spans="1:26">
      <c r="A803" s="85"/>
      <c r="B803" s="85"/>
      <c r="C803" s="85"/>
      <c r="D803" s="85"/>
      <c r="E803" s="85"/>
      <c r="F803" s="85"/>
      <c r="G803" s="85"/>
      <c r="H803" s="85"/>
      <c r="I803" s="91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2.75" customHeight="1" spans="1:26">
      <c r="A804" s="85"/>
      <c r="B804" s="85"/>
      <c r="C804" s="85"/>
      <c r="D804" s="85"/>
      <c r="E804" s="85"/>
      <c r="F804" s="85"/>
      <c r="G804" s="85"/>
      <c r="H804" s="85"/>
      <c r="I804" s="91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2.75" customHeight="1" spans="1:26">
      <c r="A805" s="85"/>
      <c r="B805" s="85"/>
      <c r="C805" s="85"/>
      <c r="D805" s="85"/>
      <c r="E805" s="85"/>
      <c r="F805" s="85"/>
      <c r="G805" s="85"/>
      <c r="H805" s="85"/>
      <c r="I805" s="91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2.75" customHeight="1" spans="1:26">
      <c r="A806" s="85"/>
      <c r="B806" s="85"/>
      <c r="C806" s="85"/>
      <c r="D806" s="85"/>
      <c r="E806" s="85"/>
      <c r="F806" s="85"/>
      <c r="G806" s="85"/>
      <c r="H806" s="85"/>
      <c r="I806" s="91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2.75" customHeight="1" spans="1:26">
      <c r="A807" s="85"/>
      <c r="B807" s="85"/>
      <c r="C807" s="85"/>
      <c r="D807" s="85"/>
      <c r="E807" s="85"/>
      <c r="F807" s="85"/>
      <c r="G807" s="85"/>
      <c r="H807" s="85"/>
      <c r="I807" s="91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2.75" customHeight="1" spans="1:26">
      <c r="A808" s="85"/>
      <c r="B808" s="85"/>
      <c r="C808" s="85"/>
      <c r="D808" s="85"/>
      <c r="E808" s="85"/>
      <c r="F808" s="85"/>
      <c r="G808" s="85"/>
      <c r="H808" s="85"/>
      <c r="I808" s="91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2.75" customHeight="1" spans="1:26">
      <c r="A809" s="85"/>
      <c r="B809" s="85"/>
      <c r="C809" s="85"/>
      <c r="D809" s="85"/>
      <c r="E809" s="85"/>
      <c r="F809" s="85"/>
      <c r="G809" s="85"/>
      <c r="H809" s="85"/>
      <c r="I809" s="91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2.75" customHeight="1" spans="1:26">
      <c r="A810" s="85"/>
      <c r="B810" s="85"/>
      <c r="C810" s="85"/>
      <c r="D810" s="85"/>
      <c r="E810" s="85"/>
      <c r="F810" s="85"/>
      <c r="G810" s="85"/>
      <c r="H810" s="85"/>
      <c r="I810" s="91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2.75" customHeight="1" spans="1:26">
      <c r="A811" s="85"/>
      <c r="B811" s="85"/>
      <c r="C811" s="85"/>
      <c r="D811" s="85"/>
      <c r="E811" s="85"/>
      <c r="F811" s="85"/>
      <c r="G811" s="85"/>
      <c r="H811" s="85"/>
      <c r="I811" s="91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2.75" customHeight="1" spans="1:26">
      <c r="A812" s="85"/>
      <c r="B812" s="85"/>
      <c r="C812" s="85"/>
      <c r="D812" s="85"/>
      <c r="E812" s="85"/>
      <c r="F812" s="85"/>
      <c r="G812" s="85"/>
      <c r="H812" s="85"/>
      <c r="I812" s="91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2.75" customHeight="1" spans="1:26">
      <c r="A813" s="85"/>
      <c r="B813" s="85"/>
      <c r="C813" s="85"/>
      <c r="D813" s="85"/>
      <c r="E813" s="85"/>
      <c r="F813" s="85"/>
      <c r="G813" s="85"/>
      <c r="H813" s="85"/>
      <c r="I813" s="91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2.75" customHeight="1" spans="1:26">
      <c r="A814" s="85"/>
      <c r="B814" s="85"/>
      <c r="C814" s="85"/>
      <c r="D814" s="85"/>
      <c r="E814" s="85"/>
      <c r="F814" s="85"/>
      <c r="G814" s="85"/>
      <c r="H814" s="85"/>
      <c r="I814" s="91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2.75" customHeight="1" spans="1:26">
      <c r="A815" s="85"/>
      <c r="B815" s="85"/>
      <c r="C815" s="85"/>
      <c r="D815" s="85"/>
      <c r="E815" s="85"/>
      <c r="F815" s="85"/>
      <c r="G815" s="85"/>
      <c r="H815" s="85"/>
      <c r="I815" s="91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2.75" customHeight="1" spans="1:26">
      <c r="A816" s="85"/>
      <c r="B816" s="85"/>
      <c r="C816" s="85"/>
      <c r="D816" s="85"/>
      <c r="E816" s="85"/>
      <c r="F816" s="85"/>
      <c r="G816" s="85"/>
      <c r="H816" s="85"/>
      <c r="I816" s="91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2.75" customHeight="1" spans="1:26">
      <c r="A817" s="85"/>
      <c r="B817" s="85"/>
      <c r="C817" s="85"/>
      <c r="D817" s="85"/>
      <c r="E817" s="85"/>
      <c r="F817" s="85"/>
      <c r="G817" s="85"/>
      <c r="H817" s="85"/>
      <c r="I817" s="91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2.75" customHeight="1" spans="1:26">
      <c r="A818" s="85"/>
      <c r="B818" s="85"/>
      <c r="C818" s="85"/>
      <c r="D818" s="85"/>
      <c r="E818" s="85"/>
      <c r="F818" s="85"/>
      <c r="G818" s="85"/>
      <c r="H818" s="85"/>
      <c r="I818" s="91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2.75" customHeight="1" spans="1:26">
      <c r="A819" s="85"/>
      <c r="B819" s="85"/>
      <c r="C819" s="85"/>
      <c r="D819" s="85"/>
      <c r="E819" s="85"/>
      <c r="F819" s="85"/>
      <c r="G819" s="85"/>
      <c r="H819" s="85"/>
      <c r="I819" s="91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2.75" customHeight="1" spans="1:26">
      <c r="A820" s="85"/>
      <c r="B820" s="85"/>
      <c r="C820" s="85"/>
      <c r="D820" s="85"/>
      <c r="E820" s="85"/>
      <c r="F820" s="85"/>
      <c r="G820" s="85"/>
      <c r="H820" s="85"/>
      <c r="I820" s="91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2.75" customHeight="1" spans="1:26">
      <c r="A821" s="85"/>
      <c r="B821" s="85"/>
      <c r="C821" s="85"/>
      <c r="D821" s="85"/>
      <c r="E821" s="85"/>
      <c r="F821" s="85"/>
      <c r="G821" s="85"/>
      <c r="H821" s="85"/>
      <c r="I821" s="91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2.75" customHeight="1" spans="1:26">
      <c r="A822" s="85"/>
      <c r="B822" s="85"/>
      <c r="C822" s="85"/>
      <c r="D822" s="85"/>
      <c r="E822" s="85"/>
      <c r="F822" s="85"/>
      <c r="G822" s="85"/>
      <c r="H822" s="85"/>
      <c r="I822" s="91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2.75" customHeight="1" spans="1:26">
      <c r="A823" s="85"/>
      <c r="B823" s="85"/>
      <c r="C823" s="85"/>
      <c r="D823" s="85"/>
      <c r="E823" s="85"/>
      <c r="F823" s="85"/>
      <c r="G823" s="85"/>
      <c r="H823" s="85"/>
      <c r="I823" s="91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2.75" customHeight="1" spans="1:26">
      <c r="A824" s="85"/>
      <c r="B824" s="85"/>
      <c r="C824" s="85"/>
      <c r="D824" s="85"/>
      <c r="E824" s="85"/>
      <c r="F824" s="85"/>
      <c r="G824" s="85"/>
      <c r="H824" s="85"/>
      <c r="I824" s="91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2.75" customHeight="1" spans="1:26">
      <c r="A825" s="85"/>
      <c r="B825" s="85"/>
      <c r="C825" s="85"/>
      <c r="D825" s="85"/>
      <c r="E825" s="85"/>
      <c r="F825" s="85"/>
      <c r="G825" s="85"/>
      <c r="H825" s="85"/>
      <c r="I825" s="91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2.75" customHeight="1" spans="1:26">
      <c r="A826" s="85"/>
      <c r="B826" s="85"/>
      <c r="C826" s="85"/>
      <c r="D826" s="85"/>
      <c r="E826" s="85"/>
      <c r="F826" s="85"/>
      <c r="G826" s="85"/>
      <c r="H826" s="85"/>
      <c r="I826" s="91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2.75" customHeight="1" spans="1:26">
      <c r="A827" s="85"/>
      <c r="B827" s="85"/>
      <c r="C827" s="85"/>
      <c r="D827" s="85"/>
      <c r="E827" s="85"/>
      <c r="F827" s="85"/>
      <c r="G827" s="85"/>
      <c r="H827" s="85"/>
      <c r="I827" s="91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2.75" customHeight="1" spans="1:26">
      <c r="A828" s="85"/>
      <c r="B828" s="85"/>
      <c r="C828" s="85"/>
      <c r="D828" s="85"/>
      <c r="E828" s="85"/>
      <c r="F828" s="85"/>
      <c r="G828" s="85"/>
      <c r="H828" s="85"/>
      <c r="I828" s="91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2.75" customHeight="1" spans="1:26">
      <c r="A829" s="85"/>
      <c r="B829" s="85"/>
      <c r="C829" s="85"/>
      <c r="D829" s="85"/>
      <c r="E829" s="85"/>
      <c r="F829" s="85"/>
      <c r="G829" s="85"/>
      <c r="H829" s="85"/>
      <c r="I829" s="91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2.75" customHeight="1" spans="1:26">
      <c r="A830" s="85"/>
      <c r="B830" s="85"/>
      <c r="C830" s="85"/>
      <c r="D830" s="85"/>
      <c r="E830" s="85"/>
      <c r="F830" s="85"/>
      <c r="G830" s="85"/>
      <c r="H830" s="85"/>
      <c r="I830" s="91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2.75" customHeight="1" spans="1:26">
      <c r="A831" s="85"/>
      <c r="B831" s="85"/>
      <c r="C831" s="85"/>
      <c r="D831" s="85"/>
      <c r="E831" s="85"/>
      <c r="F831" s="85"/>
      <c r="G831" s="85"/>
      <c r="H831" s="85"/>
      <c r="I831" s="91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2.75" customHeight="1" spans="1:26">
      <c r="A832" s="85"/>
      <c r="B832" s="85"/>
      <c r="C832" s="85"/>
      <c r="D832" s="85"/>
      <c r="E832" s="85"/>
      <c r="F832" s="85"/>
      <c r="G832" s="85"/>
      <c r="H832" s="85"/>
      <c r="I832" s="91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2.75" customHeight="1" spans="1:26">
      <c r="A833" s="85"/>
      <c r="B833" s="85"/>
      <c r="C833" s="85"/>
      <c r="D833" s="85"/>
      <c r="E833" s="85"/>
      <c r="F833" s="85"/>
      <c r="G833" s="85"/>
      <c r="H833" s="85"/>
      <c r="I833" s="91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2.75" customHeight="1" spans="1:26">
      <c r="A834" s="85"/>
      <c r="B834" s="85"/>
      <c r="C834" s="85"/>
      <c r="D834" s="85"/>
      <c r="E834" s="85"/>
      <c r="F834" s="85"/>
      <c r="G834" s="85"/>
      <c r="H834" s="85"/>
      <c r="I834" s="91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2.75" customHeight="1" spans="1:26">
      <c r="A835" s="85"/>
      <c r="B835" s="85"/>
      <c r="C835" s="85"/>
      <c r="D835" s="85"/>
      <c r="E835" s="85"/>
      <c r="F835" s="85"/>
      <c r="G835" s="85"/>
      <c r="H835" s="85"/>
      <c r="I835" s="91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2.75" customHeight="1" spans="1:26">
      <c r="A836" s="85"/>
      <c r="B836" s="85"/>
      <c r="C836" s="85"/>
      <c r="D836" s="85"/>
      <c r="E836" s="85"/>
      <c r="F836" s="85"/>
      <c r="G836" s="85"/>
      <c r="H836" s="85"/>
      <c r="I836" s="91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2.75" customHeight="1" spans="1:26">
      <c r="A837" s="85"/>
      <c r="B837" s="85"/>
      <c r="C837" s="85"/>
      <c r="D837" s="85"/>
      <c r="E837" s="85"/>
      <c r="F837" s="85"/>
      <c r="G837" s="85"/>
      <c r="H837" s="85"/>
      <c r="I837" s="91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2.75" customHeight="1" spans="1:26">
      <c r="A838" s="85"/>
      <c r="B838" s="85"/>
      <c r="C838" s="85"/>
      <c r="D838" s="85"/>
      <c r="E838" s="85"/>
      <c r="F838" s="85"/>
      <c r="G838" s="85"/>
      <c r="H838" s="85"/>
      <c r="I838" s="91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2.75" customHeight="1" spans="1:26">
      <c r="A839" s="85"/>
      <c r="B839" s="85"/>
      <c r="C839" s="85"/>
      <c r="D839" s="85"/>
      <c r="E839" s="85"/>
      <c r="F839" s="85"/>
      <c r="G839" s="85"/>
      <c r="H839" s="85"/>
      <c r="I839" s="91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2.75" customHeight="1" spans="1:26">
      <c r="A840" s="85"/>
      <c r="B840" s="85"/>
      <c r="C840" s="85"/>
      <c r="D840" s="85"/>
      <c r="E840" s="85"/>
      <c r="F840" s="85"/>
      <c r="G840" s="85"/>
      <c r="H840" s="85"/>
      <c r="I840" s="91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2.75" customHeight="1" spans="1:26">
      <c r="A841" s="85"/>
      <c r="B841" s="85"/>
      <c r="C841" s="85"/>
      <c r="D841" s="85"/>
      <c r="E841" s="85"/>
      <c r="F841" s="85"/>
      <c r="G841" s="85"/>
      <c r="H841" s="85"/>
      <c r="I841" s="91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2.75" customHeight="1" spans="1:26">
      <c r="A842" s="85"/>
      <c r="B842" s="85"/>
      <c r="C842" s="85"/>
      <c r="D842" s="85"/>
      <c r="E842" s="85"/>
      <c r="F842" s="85"/>
      <c r="G842" s="85"/>
      <c r="H842" s="85"/>
      <c r="I842" s="91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2.75" customHeight="1" spans="1:26">
      <c r="A843" s="85"/>
      <c r="B843" s="85"/>
      <c r="C843" s="85"/>
      <c r="D843" s="85"/>
      <c r="E843" s="85"/>
      <c r="F843" s="85"/>
      <c r="G843" s="85"/>
      <c r="H843" s="85"/>
      <c r="I843" s="91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2.75" customHeight="1" spans="1:26">
      <c r="A844" s="85"/>
      <c r="B844" s="85"/>
      <c r="C844" s="85"/>
      <c r="D844" s="85"/>
      <c r="E844" s="85"/>
      <c r="F844" s="85"/>
      <c r="G844" s="85"/>
      <c r="H844" s="85"/>
      <c r="I844" s="91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2.75" customHeight="1" spans="1:26">
      <c r="A845" s="85"/>
      <c r="B845" s="85"/>
      <c r="C845" s="85"/>
      <c r="D845" s="85"/>
      <c r="E845" s="85"/>
      <c r="F845" s="85"/>
      <c r="G845" s="85"/>
      <c r="H845" s="85"/>
      <c r="I845" s="91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2.75" customHeight="1" spans="1:26">
      <c r="A846" s="85"/>
      <c r="B846" s="85"/>
      <c r="C846" s="85"/>
      <c r="D846" s="85"/>
      <c r="E846" s="85"/>
      <c r="F846" s="85"/>
      <c r="G846" s="85"/>
      <c r="H846" s="85"/>
      <c r="I846" s="91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2.75" customHeight="1" spans="1:26">
      <c r="A847" s="85"/>
      <c r="B847" s="85"/>
      <c r="C847" s="85"/>
      <c r="D847" s="85"/>
      <c r="E847" s="85"/>
      <c r="F847" s="85"/>
      <c r="G847" s="85"/>
      <c r="H847" s="85"/>
      <c r="I847" s="91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2.75" customHeight="1" spans="1:26">
      <c r="A848" s="85"/>
      <c r="B848" s="85"/>
      <c r="C848" s="85"/>
      <c r="D848" s="85"/>
      <c r="E848" s="85"/>
      <c r="F848" s="85"/>
      <c r="G848" s="85"/>
      <c r="H848" s="85"/>
      <c r="I848" s="91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2.75" customHeight="1" spans="1:26">
      <c r="A849" s="85"/>
      <c r="B849" s="85"/>
      <c r="C849" s="85"/>
      <c r="D849" s="85"/>
      <c r="E849" s="85"/>
      <c r="F849" s="85"/>
      <c r="G849" s="85"/>
      <c r="H849" s="85"/>
      <c r="I849" s="91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2.75" customHeight="1" spans="1:26">
      <c r="A850" s="85"/>
      <c r="B850" s="85"/>
      <c r="C850" s="85"/>
      <c r="D850" s="85"/>
      <c r="E850" s="85"/>
      <c r="F850" s="85"/>
      <c r="G850" s="85"/>
      <c r="H850" s="85"/>
      <c r="I850" s="91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2.75" customHeight="1" spans="1:26">
      <c r="A851" s="85"/>
      <c r="B851" s="85"/>
      <c r="C851" s="85"/>
      <c r="D851" s="85"/>
      <c r="E851" s="85"/>
      <c r="F851" s="85"/>
      <c r="G851" s="85"/>
      <c r="H851" s="85"/>
      <c r="I851" s="91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2.75" customHeight="1" spans="1:26">
      <c r="A852" s="85"/>
      <c r="B852" s="85"/>
      <c r="C852" s="85"/>
      <c r="D852" s="85"/>
      <c r="E852" s="85"/>
      <c r="F852" s="85"/>
      <c r="G852" s="85"/>
      <c r="H852" s="85"/>
      <c r="I852" s="91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2.75" customHeight="1" spans="1:26">
      <c r="A853" s="85"/>
      <c r="B853" s="85"/>
      <c r="C853" s="85"/>
      <c r="D853" s="85"/>
      <c r="E853" s="85"/>
      <c r="F853" s="85"/>
      <c r="G853" s="85"/>
      <c r="H853" s="85"/>
      <c r="I853" s="91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2.75" customHeight="1" spans="1:26">
      <c r="A854" s="85"/>
      <c r="B854" s="85"/>
      <c r="C854" s="85"/>
      <c r="D854" s="85"/>
      <c r="E854" s="85"/>
      <c r="F854" s="85"/>
      <c r="G854" s="85"/>
      <c r="H854" s="85"/>
      <c r="I854" s="91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2.75" customHeight="1" spans="1:26">
      <c r="A855" s="85"/>
      <c r="B855" s="85"/>
      <c r="C855" s="85"/>
      <c r="D855" s="85"/>
      <c r="E855" s="85"/>
      <c r="F855" s="85"/>
      <c r="G855" s="85"/>
      <c r="H855" s="85"/>
      <c r="I855" s="91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2.75" customHeight="1" spans="1:26">
      <c r="A856" s="85"/>
      <c r="B856" s="85"/>
      <c r="C856" s="85"/>
      <c r="D856" s="85"/>
      <c r="E856" s="85"/>
      <c r="F856" s="85"/>
      <c r="G856" s="85"/>
      <c r="H856" s="85"/>
      <c r="I856" s="91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2.75" customHeight="1" spans="1:26">
      <c r="A857" s="85"/>
      <c r="B857" s="85"/>
      <c r="C857" s="85"/>
      <c r="D857" s="85"/>
      <c r="E857" s="85"/>
      <c r="F857" s="85"/>
      <c r="G857" s="85"/>
      <c r="H857" s="85"/>
      <c r="I857" s="91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2.75" customHeight="1" spans="1:26">
      <c r="A858" s="85"/>
      <c r="B858" s="85"/>
      <c r="C858" s="85"/>
      <c r="D858" s="85"/>
      <c r="E858" s="85"/>
      <c r="F858" s="85"/>
      <c r="G858" s="85"/>
      <c r="H858" s="85"/>
      <c r="I858" s="91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2.75" customHeight="1" spans="1:26">
      <c r="A859" s="85"/>
      <c r="B859" s="85"/>
      <c r="C859" s="85"/>
      <c r="D859" s="85"/>
      <c r="E859" s="85"/>
      <c r="F859" s="85"/>
      <c r="G859" s="85"/>
      <c r="H859" s="85"/>
      <c r="I859" s="91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2.75" customHeight="1" spans="1:26">
      <c r="A860" s="85"/>
      <c r="B860" s="85"/>
      <c r="C860" s="85"/>
      <c r="D860" s="85"/>
      <c r="E860" s="85"/>
      <c r="F860" s="85"/>
      <c r="G860" s="85"/>
      <c r="H860" s="85"/>
      <c r="I860" s="91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2.75" customHeight="1" spans="1:26">
      <c r="A861" s="85"/>
      <c r="B861" s="85"/>
      <c r="C861" s="85"/>
      <c r="D861" s="85"/>
      <c r="E861" s="85"/>
      <c r="F861" s="85"/>
      <c r="G861" s="85"/>
      <c r="H861" s="85"/>
      <c r="I861" s="91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2.75" customHeight="1" spans="1:26">
      <c r="A862" s="85"/>
      <c r="B862" s="85"/>
      <c r="C862" s="85"/>
      <c r="D862" s="85"/>
      <c r="E862" s="85"/>
      <c r="F862" s="85"/>
      <c r="G862" s="85"/>
      <c r="H862" s="85"/>
      <c r="I862" s="91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2.75" customHeight="1" spans="1:26">
      <c r="A863" s="85"/>
      <c r="B863" s="85"/>
      <c r="C863" s="85"/>
      <c r="D863" s="85"/>
      <c r="E863" s="85"/>
      <c r="F863" s="85"/>
      <c r="G863" s="85"/>
      <c r="H863" s="85"/>
      <c r="I863" s="91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2.75" customHeight="1" spans="1:26">
      <c r="A864" s="85"/>
      <c r="B864" s="85"/>
      <c r="C864" s="85"/>
      <c r="D864" s="85"/>
      <c r="E864" s="85"/>
      <c r="F864" s="85"/>
      <c r="G864" s="85"/>
      <c r="H864" s="85"/>
      <c r="I864" s="91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2.75" customHeight="1" spans="1:26">
      <c r="A865" s="85"/>
      <c r="B865" s="85"/>
      <c r="C865" s="85"/>
      <c r="D865" s="85"/>
      <c r="E865" s="85"/>
      <c r="F865" s="85"/>
      <c r="G865" s="85"/>
      <c r="H865" s="85"/>
      <c r="I865" s="91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2.75" customHeight="1" spans="1:26">
      <c r="A866" s="85"/>
      <c r="B866" s="85"/>
      <c r="C866" s="85"/>
      <c r="D866" s="85"/>
      <c r="E866" s="85"/>
      <c r="F866" s="85"/>
      <c r="G866" s="85"/>
      <c r="H866" s="85"/>
      <c r="I866" s="91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2.75" customHeight="1" spans="1:26">
      <c r="A867" s="85"/>
      <c r="B867" s="85"/>
      <c r="C867" s="85"/>
      <c r="D867" s="85"/>
      <c r="E867" s="85"/>
      <c r="F867" s="85"/>
      <c r="G867" s="85"/>
      <c r="H867" s="85"/>
      <c r="I867" s="91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2.75" customHeight="1" spans="1:26">
      <c r="A868" s="85"/>
      <c r="B868" s="85"/>
      <c r="C868" s="85"/>
      <c r="D868" s="85"/>
      <c r="E868" s="85"/>
      <c r="F868" s="85"/>
      <c r="G868" s="85"/>
      <c r="H868" s="85"/>
      <c r="I868" s="91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2.75" customHeight="1" spans="1:26">
      <c r="A869" s="85"/>
      <c r="B869" s="85"/>
      <c r="C869" s="85"/>
      <c r="D869" s="85"/>
      <c r="E869" s="85"/>
      <c r="F869" s="85"/>
      <c r="G869" s="85"/>
      <c r="H869" s="85"/>
      <c r="I869" s="91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 G8:G16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70"/>
  <sheetViews>
    <sheetView zoomScale="85" zoomScaleNormal="85" workbookViewId="0">
      <pane ySplit="8" topLeftCell="A9" activePane="bottomLeft" state="frozen"/>
      <selection/>
      <selection pane="bottomLeft" activeCell="E6" sqref="A2:F6"/>
    </sheetView>
  </sheetViews>
  <sheetFormatPr defaultColWidth="12.6333333333333" defaultRowHeight="15" customHeight="1"/>
  <cols>
    <col min="1" max="1" width="16.75" style="53" customWidth="1"/>
    <col min="2" max="2" width="19.1333333333333" style="53" customWidth="1"/>
    <col min="3" max="3" width="25.6333333333333" style="53" customWidth="1"/>
    <col min="4" max="4" width="28.5" style="53" customWidth="1"/>
    <col min="5" max="5" width="28.1333333333333" style="53" customWidth="1"/>
    <col min="6" max="6" width="28.3833333333333" style="53" customWidth="1"/>
    <col min="7" max="7" width="9" style="53" customWidth="1"/>
    <col min="8" max="8" width="17.6333333333333" style="53" customWidth="1"/>
    <col min="9" max="9" width="8.13333333333333" style="53" customWidth="1"/>
    <col min="10" max="10" width="3.88333333333333" style="53" hidden="1" customWidth="1"/>
    <col min="11" max="26" width="10" style="53" customWidth="1"/>
    <col min="27" max="16384" width="12.6333333333333" style="53"/>
  </cols>
  <sheetData>
    <row r="1" ht="12.75" customHeight="1" spans="1:26">
      <c r="A1" s="54"/>
      <c r="B1" s="55"/>
      <c r="C1" s="55"/>
      <c r="D1" s="55"/>
      <c r="E1" s="55"/>
      <c r="F1" s="56"/>
      <c r="G1" s="57"/>
      <c r="H1" s="58"/>
      <c r="I1" s="8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customHeight="1" spans="1:26">
      <c r="A2" s="59" t="s">
        <v>54</v>
      </c>
      <c r="B2" s="60" t="s">
        <v>53</v>
      </c>
      <c r="C2" s="61"/>
      <c r="D2" s="61"/>
      <c r="E2" s="61"/>
      <c r="F2" s="62"/>
      <c r="G2" s="58"/>
      <c r="H2" s="58"/>
      <c r="I2" s="86"/>
      <c r="J2" s="76" t="s">
        <v>55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25.5" customHeight="1" spans="1:26">
      <c r="A3" s="63" t="s">
        <v>56</v>
      </c>
      <c r="B3" s="60" t="s">
        <v>272</v>
      </c>
      <c r="C3" s="61"/>
      <c r="D3" s="61"/>
      <c r="E3" s="61"/>
      <c r="F3" s="62"/>
      <c r="G3" s="58"/>
      <c r="H3" s="58"/>
      <c r="I3" s="86"/>
      <c r="J3" s="76" t="s">
        <v>58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8" customHeight="1" spans="1:26">
      <c r="A4" s="59" t="s">
        <v>59</v>
      </c>
      <c r="B4" s="64" t="s">
        <v>49</v>
      </c>
      <c r="C4" s="65"/>
      <c r="D4" s="65"/>
      <c r="E4" s="65"/>
      <c r="F4" s="66"/>
      <c r="G4" s="58"/>
      <c r="H4" s="58"/>
      <c r="I4" s="86"/>
      <c r="J4" s="87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9.5" customHeight="1" spans="1:26">
      <c r="A5" s="67" t="s">
        <v>55</v>
      </c>
      <c r="B5" s="68" t="s">
        <v>58</v>
      </c>
      <c r="C5" s="68" t="s">
        <v>60</v>
      </c>
      <c r="D5" s="69" t="s">
        <v>61</v>
      </c>
      <c r="E5" s="69" t="s">
        <v>62</v>
      </c>
      <c r="F5" s="62"/>
      <c r="G5" s="70"/>
      <c r="H5" s="70"/>
      <c r="I5" s="88"/>
      <c r="J5" s="76" t="s">
        <v>63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customHeight="1" spans="1:26">
      <c r="A6" s="71">
        <f>COUNTIF(F10:G868,"Pass")</f>
        <v>5</v>
      </c>
      <c r="B6" s="72">
        <f>COUNTIF(F10:G868,"Fail")</f>
        <v>1</v>
      </c>
      <c r="C6" s="72">
        <f>E6-D6-B6-A6</f>
        <v>1</v>
      </c>
      <c r="D6" s="73">
        <f>COUNTIF(F$9:F$868,"N/A")</f>
        <v>0</v>
      </c>
      <c r="E6" s="74">
        <f>COUNTA(A9:A868)</f>
        <v>7</v>
      </c>
      <c r="F6" s="75"/>
      <c r="G6" s="70"/>
      <c r="H6" s="70"/>
      <c r="I6" s="88"/>
      <c r="J6" s="76" t="s">
        <v>61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customHeight="1" spans="1:26">
      <c r="A7" s="76"/>
      <c r="B7" s="76"/>
      <c r="C7" s="76"/>
      <c r="D7" s="77"/>
      <c r="E7" s="77"/>
      <c r="F7" s="70"/>
      <c r="G7" s="70"/>
      <c r="H7" s="70"/>
      <c r="I7" s="88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5.5" customHeight="1" spans="1:26">
      <c r="A8" s="78" t="s">
        <v>64</v>
      </c>
      <c r="B8" s="78" t="s">
        <v>65</v>
      </c>
      <c r="C8" s="78" t="s">
        <v>66</v>
      </c>
      <c r="D8" s="78" t="s">
        <v>67</v>
      </c>
      <c r="E8" s="78" t="s">
        <v>68</v>
      </c>
      <c r="F8" s="79" t="s">
        <v>69</v>
      </c>
      <c r="G8" s="79" t="s">
        <v>70</v>
      </c>
      <c r="H8" s="79" t="s">
        <v>71</v>
      </c>
      <c r="I8" s="78" t="s">
        <v>72</v>
      </c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3.5" spans="1:26">
      <c r="A9" s="80"/>
      <c r="B9" s="81" t="s">
        <v>73</v>
      </c>
      <c r="C9" s="80"/>
      <c r="D9" s="80"/>
      <c r="E9" s="80"/>
      <c r="F9" s="80"/>
      <c r="G9" s="80"/>
      <c r="H9" s="80"/>
      <c r="I9" s="89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63.75" spans="1:26">
      <c r="A10" s="82" t="str">
        <f>IF(OR(B10&lt;&gt;"",E10&lt;&gt;""),"["&amp;TEXT($B$2,"##")&amp;"-"&amp;TEXT(ROW()-9,"##")&amp;"]","")</f>
        <v>[M_sua_danh_muc-1]</v>
      </c>
      <c r="B10" s="82" t="s">
        <v>273</v>
      </c>
      <c r="C10" s="82" t="s">
        <v>274</v>
      </c>
      <c r="D10" s="82" t="s">
        <v>275</v>
      </c>
      <c r="E10" s="82" t="s">
        <v>276</v>
      </c>
      <c r="F10" s="83"/>
      <c r="G10" s="82" t="s">
        <v>55</v>
      </c>
      <c r="H10" s="84">
        <v>45992</v>
      </c>
      <c r="I10" s="82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54" customHeight="1" spans="1:26">
      <c r="A11" s="82" t="str">
        <f>IF(OR(B10&lt;&gt;"",E10&lt;&gt;""),"["&amp;TEXT($B$2,"##")&amp;"-"&amp;TEXT(ROW()-9,"##")&amp;"]","")</f>
        <v>[M_sua_danh_muc-2]</v>
      </c>
      <c r="B11" s="82" t="s">
        <v>277</v>
      </c>
      <c r="C11" s="82" t="s">
        <v>278</v>
      </c>
      <c r="D11" s="82" t="s">
        <v>279</v>
      </c>
      <c r="E11" s="82" t="s">
        <v>276</v>
      </c>
      <c r="F11" s="83"/>
      <c r="G11" s="82" t="s">
        <v>58</v>
      </c>
      <c r="H11" s="84">
        <v>45992</v>
      </c>
      <c r="I11" s="82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54" customHeight="1" spans="1:26">
      <c r="A12" s="82" t="str">
        <f>IF(OR(B10&lt;&gt;"",E10&lt;&gt;""),"["&amp;TEXT($B$2,"##")&amp;"-"&amp;TEXT(ROW()-9,"##")&amp;"]","")</f>
        <v>[M_sua_danh_muc-3]</v>
      </c>
      <c r="B12" s="82" t="s">
        <v>280</v>
      </c>
      <c r="C12" s="82" t="s">
        <v>281</v>
      </c>
      <c r="D12" s="82" t="s">
        <v>282</v>
      </c>
      <c r="E12" s="82" t="s">
        <v>283</v>
      </c>
      <c r="F12" s="83"/>
      <c r="G12" s="82" t="s">
        <v>55</v>
      </c>
      <c r="H12" s="84">
        <v>45992</v>
      </c>
      <c r="I12" s="90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54" customHeight="1" spans="1:26">
      <c r="A13" s="82" t="str">
        <f>IF(OR(B13&lt;&gt;"",E13&lt;&gt;""),"["&amp;TEXT($B$2,"##")&amp;"-"&amp;TEXT(ROW()-9,"##")&amp;"]","")</f>
        <v>[M_sua_danh_muc-4]</v>
      </c>
      <c r="B13" s="82" t="s">
        <v>284</v>
      </c>
      <c r="C13" s="82" t="s">
        <v>285</v>
      </c>
      <c r="D13" s="82" t="s">
        <v>286</v>
      </c>
      <c r="E13" s="82" t="s">
        <v>287</v>
      </c>
      <c r="G13" s="82" t="s">
        <v>55</v>
      </c>
      <c r="H13" s="84">
        <v>45992</v>
      </c>
      <c r="I13" s="82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13.5" spans="1:26">
      <c r="A14" s="80"/>
      <c r="B14" s="81" t="s">
        <v>80</v>
      </c>
      <c r="C14" s="80"/>
      <c r="D14" s="80"/>
      <c r="E14" s="80"/>
      <c r="F14" s="80"/>
      <c r="G14" s="80"/>
      <c r="H14" s="80"/>
      <c r="I14" s="89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63.75" spans="1:26">
      <c r="A15" s="82" t="str">
        <f>IF(OR(B15&lt;&gt;"",E15&lt;&gt;""),"["&amp;TEXT($B$2,"##")&amp;"-"&amp;TEXT(ROW()-10,"##")&amp;"]","")</f>
        <v>[M_sua_danh_muc-5]</v>
      </c>
      <c r="B15" s="82" t="s">
        <v>288</v>
      </c>
      <c r="C15" s="82" t="s">
        <v>289</v>
      </c>
      <c r="D15" s="82" t="s">
        <v>290</v>
      </c>
      <c r="E15" s="82" t="s">
        <v>291</v>
      </c>
      <c r="F15" s="83"/>
      <c r="G15" s="82" t="s">
        <v>55</v>
      </c>
      <c r="H15" s="84">
        <v>45992</v>
      </c>
      <c r="I15" s="90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63.75" spans="1:26">
      <c r="A16" s="82" t="str">
        <f>IF(OR(B16&lt;&gt;"",E16&lt;&gt;""),"["&amp;TEXT($B$2,"##")&amp;"-"&amp;TEXT(ROW()-10,"##")&amp;"]","")</f>
        <v>[M_sua_danh_muc-6]</v>
      </c>
      <c r="B16" s="82" t="s">
        <v>292</v>
      </c>
      <c r="C16" s="82" t="s">
        <v>293</v>
      </c>
      <c r="D16" s="82" t="s">
        <v>294</v>
      </c>
      <c r="E16" s="82" t="s">
        <v>295</v>
      </c>
      <c r="F16" s="83"/>
      <c r="G16" s="82" t="s">
        <v>55</v>
      </c>
      <c r="H16" s="84">
        <v>45992</v>
      </c>
      <c r="I16" s="90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63.75" spans="1:26">
      <c r="A17" s="82" t="str">
        <f>IF(OR(B17&lt;&gt;"",E17&lt;&gt;""),"["&amp;TEXT($B$2,"##")&amp;"-"&amp;TEXT(ROW()-10,"##")&amp;"]","")</f>
        <v>[M_sua_danh_muc-7]</v>
      </c>
      <c r="B17" s="82" t="s">
        <v>296</v>
      </c>
      <c r="C17" s="82" t="s">
        <v>297</v>
      </c>
      <c r="D17" s="82" t="s">
        <v>298</v>
      </c>
      <c r="E17" s="82" t="s">
        <v>299</v>
      </c>
      <c r="F17" s="83"/>
      <c r="G17" s="82" t="s">
        <v>63</v>
      </c>
      <c r="H17" s="84">
        <v>45992</v>
      </c>
      <c r="I17" s="90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2.75" customHeight="1" spans="1:26">
      <c r="A18" s="85"/>
      <c r="B18" s="85"/>
      <c r="C18" s="85"/>
      <c r="D18" s="85"/>
      <c r="E18" s="85"/>
      <c r="F18" s="85"/>
      <c r="G18" s="85"/>
      <c r="H18" s="85"/>
      <c r="I18" s="91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2.75" customHeight="1" spans="1:26">
      <c r="A19" s="85"/>
      <c r="B19" s="85"/>
      <c r="C19" s="85"/>
      <c r="D19" s="85"/>
      <c r="E19" s="85"/>
      <c r="F19" s="85"/>
      <c r="G19" s="85"/>
      <c r="H19" s="85"/>
      <c r="I19" s="91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2.75" customHeight="1" spans="1:26">
      <c r="A20" s="85"/>
      <c r="B20" s="85"/>
      <c r="C20" s="85"/>
      <c r="D20" s="85"/>
      <c r="E20" s="85"/>
      <c r="F20" s="85"/>
      <c r="G20" s="85"/>
      <c r="H20" s="85"/>
      <c r="I20" s="91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2.75" customHeight="1" spans="1:26">
      <c r="A21" s="85"/>
      <c r="B21" s="85"/>
      <c r="C21" s="85"/>
      <c r="D21" s="85"/>
      <c r="E21" s="85"/>
      <c r="F21" s="85"/>
      <c r="G21" s="85"/>
      <c r="H21" s="85"/>
      <c r="I21" s="91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2.75" customHeight="1" spans="1:26">
      <c r="A22" s="85"/>
      <c r="B22" s="85"/>
      <c r="C22" s="85"/>
      <c r="D22" s="85"/>
      <c r="E22" s="85"/>
      <c r="F22" s="85"/>
      <c r="G22" s="85"/>
      <c r="H22" s="85"/>
      <c r="I22" s="91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2.75" customHeight="1" spans="1:26">
      <c r="A23" s="85"/>
      <c r="B23" s="85"/>
      <c r="C23" s="85"/>
      <c r="D23" s="85"/>
      <c r="E23" s="85"/>
      <c r="F23" s="85"/>
      <c r="G23" s="85"/>
      <c r="H23" s="85"/>
      <c r="I23" s="91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2.75" customHeight="1" spans="1:26">
      <c r="A24" s="85"/>
      <c r="B24" s="85"/>
      <c r="C24" s="85"/>
      <c r="D24" s="85"/>
      <c r="E24" s="85"/>
      <c r="F24" s="85"/>
      <c r="G24" s="85"/>
      <c r="H24" s="85"/>
      <c r="I24" s="91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2.75" customHeight="1" spans="1:26">
      <c r="A25" s="85"/>
      <c r="B25" s="85"/>
      <c r="C25" s="85"/>
      <c r="D25" s="85"/>
      <c r="E25" s="85"/>
      <c r="F25" s="85"/>
      <c r="G25" s="85"/>
      <c r="H25" s="85"/>
      <c r="I25" s="91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2.75" customHeight="1" spans="1:26">
      <c r="A26" s="85"/>
      <c r="B26" s="85"/>
      <c r="C26" s="85"/>
      <c r="D26" s="85"/>
      <c r="E26" s="85"/>
      <c r="F26" s="85"/>
      <c r="G26" s="85"/>
      <c r="H26" s="85"/>
      <c r="I26" s="91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2.75" customHeight="1" spans="1:26">
      <c r="A27" s="85"/>
      <c r="B27" s="85"/>
      <c r="C27" s="85"/>
      <c r="D27" s="85"/>
      <c r="E27" s="85"/>
      <c r="F27" s="85"/>
      <c r="G27" s="85"/>
      <c r="H27" s="85"/>
      <c r="I27" s="91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2.75" customHeight="1" spans="1:26">
      <c r="A28" s="85"/>
      <c r="B28" s="85"/>
      <c r="C28" s="85"/>
      <c r="D28" s="85"/>
      <c r="E28" s="85"/>
      <c r="F28" s="85"/>
      <c r="G28" s="85"/>
      <c r="H28" s="85"/>
      <c r="I28" s="91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2.75" customHeight="1" spans="1:26">
      <c r="A29" s="85"/>
      <c r="B29" s="85"/>
      <c r="C29" s="85"/>
      <c r="D29" s="85"/>
      <c r="E29" s="85"/>
      <c r="F29" s="85"/>
      <c r="G29" s="85"/>
      <c r="H29" s="85"/>
      <c r="I29" s="91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2.75" customHeight="1" spans="1:26">
      <c r="A30" s="85"/>
      <c r="B30" s="85"/>
      <c r="C30" s="85"/>
      <c r="D30" s="85"/>
      <c r="E30" s="85"/>
      <c r="F30" s="85"/>
      <c r="G30" s="85"/>
      <c r="H30" s="85"/>
      <c r="I30" s="91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2.75" customHeight="1" spans="1:26">
      <c r="A31" s="85"/>
      <c r="B31" s="85"/>
      <c r="C31" s="85"/>
      <c r="D31" s="85"/>
      <c r="E31" s="85"/>
      <c r="F31" s="85"/>
      <c r="G31" s="85"/>
      <c r="H31" s="85"/>
      <c r="I31" s="91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2.75" customHeight="1" spans="1:26">
      <c r="A32" s="85"/>
      <c r="B32" s="85"/>
      <c r="C32" s="85"/>
      <c r="D32" s="85"/>
      <c r="E32" s="85"/>
      <c r="F32" s="85"/>
      <c r="G32" s="85"/>
      <c r="H32" s="85"/>
      <c r="I32" s="91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2.75" customHeight="1" spans="1:26">
      <c r="A33" s="85"/>
      <c r="B33" s="85"/>
      <c r="C33" s="85"/>
      <c r="D33" s="85"/>
      <c r="E33" s="85"/>
      <c r="F33" s="85"/>
      <c r="G33" s="85"/>
      <c r="H33" s="85"/>
      <c r="I33" s="91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2.75" customHeight="1" spans="1:26">
      <c r="A34" s="85"/>
      <c r="B34" s="85"/>
      <c r="C34" s="85"/>
      <c r="D34" s="85"/>
      <c r="E34" s="85"/>
      <c r="F34" s="85"/>
      <c r="G34" s="85"/>
      <c r="H34" s="85"/>
      <c r="I34" s="91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2.75" customHeight="1" spans="1:26">
      <c r="A35" s="85"/>
      <c r="B35" s="85"/>
      <c r="C35" s="85"/>
      <c r="D35" s="85"/>
      <c r="E35" s="85"/>
      <c r="F35" s="85"/>
      <c r="G35" s="85"/>
      <c r="H35" s="85"/>
      <c r="I35" s="91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2.75" customHeight="1" spans="1:26">
      <c r="A36" s="85"/>
      <c r="B36" s="85"/>
      <c r="C36" s="85"/>
      <c r="D36" s="85"/>
      <c r="E36" s="85"/>
      <c r="F36" s="85"/>
      <c r="G36" s="85"/>
      <c r="H36" s="85"/>
      <c r="I36" s="91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2.75" customHeight="1" spans="1:26">
      <c r="A37" s="85"/>
      <c r="B37" s="85"/>
      <c r="C37" s="85"/>
      <c r="D37" s="85"/>
      <c r="E37" s="85"/>
      <c r="F37" s="85"/>
      <c r="G37" s="85"/>
      <c r="H37" s="85"/>
      <c r="I37" s="91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2.75" customHeight="1" spans="1:26">
      <c r="A38" s="85"/>
      <c r="B38" s="85"/>
      <c r="C38" s="85"/>
      <c r="D38" s="85"/>
      <c r="E38" s="85"/>
      <c r="F38" s="85"/>
      <c r="G38" s="85"/>
      <c r="H38" s="85"/>
      <c r="I38" s="91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2.75" customHeight="1" spans="1:26">
      <c r="A39" s="85"/>
      <c r="B39" s="85"/>
      <c r="C39" s="85"/>
      <c r="D39" s="85"/>
      <c r="E39" s="85"/>
      <c r="F39" s="85"/>
      <c r="G39" s="85"/>
      <c r="H39" s="85"/>
      <c r="I39" s="91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2.75" customHeight="1" spans="1:26">
      <c r="A40" s="85"/>
      <c r="B40" s="85"/>
      <c r="C40" s="85"/>
      <c r="D40" s="85"/>
      <c r="E40" s="85"/>
      <c r="F40" s="85"/>
      <c r="G40" s="85"/>
      <c r="H40" s="85"/>
      <c r="I40" s="91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2.75" customHeight="1" spans="1:26">
      <c r="A41" s="85"/>
      <c r="B41" s="85"/>
      <c r="C41" s="85"/>
      <c r="D41" s="85"/>
      <c r="E41" s="85"/>
      <c r="F41" s="85"/>
      <c r="G41" s="85"/>
      <c r="H41" s="85"/>
      <c r="I41" s="91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2.75" customHeight="1" spans="1:26">
      <c r="A42" s="85"/>
      <c r="B42" s="85"/>
      <c r="C42" s="85"/>
      <c r="D42" s="85"/>
      <c r="E42" s="85"/>
      <c r="F42" s="85"/>
      <c r="G42" s="85"/>
      <c r="H42" s="85"/>
      <c r="I42" s="91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2.75" customHeight="1" spans="1:26">
      <c r="A43" s="85"/>
      <c r="B43" s="85"/>
      <c r="C43" s="85"/>
      <c r="D43" s="85"/>
      <c r="E43" s="85"/>
      <c r="F43" s="85"/>
      <c r="G43" s="85"/>
      <c r="H43" s="85"/>
      <c r="I43" s="91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2.75" customHeight="1" spans="1:26">
      <c r="A44" s="85"/>
      <c r="B44" s="85"/>
      <c r="C44" s="85"/>
      <c r="D44" s="85"/>
      <c r="E44" s="85"/>
      <c r="F44" s="85"/>
      <c r="G44" s="85"/>
      <c r="H44" s="85"/>
      <c r="I44" s="91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2.75" customHeight="1" spans="1:26">
      <c r="A45" s="85"/>
      <c r="B45" s="85"/>
      <c r="C45" s="85"/>
      <c r="D45" s="85"/>
      <c r="E45" s="85"/>
      <c r="F45" s="85"/>
      <c r="G45" s="85"/>
      <c r="H45" s="85"/>
      <c r="I45" s="91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2.75" customHeight="1" spans="1:26">
      <c r="A46" s="85"/>
      <c r="B46" s="85"/>
      <c r="C46" s="85"/>
      <c r="D46" s="85"/>
      <c r="E46" s="85"/>
      <c r="F46" s="85"/>
      <c r="G46" s="85"/>
      <c r="H46" s="85"/>
      <c r="I46" s="91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2.75" customHeight="1" spans="1:26">
      <c r="A47" s="85"/>
      <c r="B47" s="85"/>
      <c r="C47" s="85"/>
      <c r="D47" s="85"/>
      <c r="E47" s="85"/>
      <c r="F47" s="85"/>
      <c r="G47" s="85"/>
      <c r="H47" s="85"/>
      <c r="I47" s="91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2.75" customHeight="1" spans="1:26">
      <c r="A48" s="85"/>
      <c r="B48" s="85"/>
      <c r="C48" s="85"/>
      <c r="D48" s="85"/>
      <c r="E48" s="85"/>
      <c r="F48" s="85"/>
      <c r="G48" s="85"/>
      <c r="H48" s="85"/>
      <c r="I48" s="91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2.75" customHeight="1" spans="1:26">
      <c r="A49" s="85"/>
      <c r="B49" s="85"/>
      <c r="C49" s="85"/>
      <c r="D49" s="85"/>
      <c r="E49" s="85"/>
      <c r="F49" s="85"/>
      <c r="G49" s="85"/>
      <c r="H49" s="85"/>
      <c r="I49" s="91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2.75" customHeight="1" spans="1:26">
      <c r="A50" s="85"/>
      <c r="B50" s="85"/>
      <c r="C50" s="85"/>
      <c r="D50" s="85"/>
      <c r="E50" s="85"/>
      <c r="F50" s="85"/>
      <c r="G50" s="85"/>
      <c r="H50" s="85"/>
      <c r="I50" s="91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2.75" customHeight="1" spans="1:26">
      <c r="A51" s="85"/>
      <c r="B51" s="85"/>
      <c r="C51" s="85"/>
      <c r="D51" s="85"/>
      <c r="E51" s="85"/>
      <c r="F51" s="85"/>
      <c r="G51" s="85"/>
      <c r="H51" s="85"/>
      <c r="I51" s="91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2.75" customHeight="1" spans="1:26">
      <c r="A52" s="85"/>
      <c r="B52" s="85"/>
      <c r="C52" s="85"/>
      <c r="D52" s="85"/>
      <c r="E52" s="85"/>
      <c r="F52" s="85"/>
      <c r="G52" s="85"/>
      <c r="H52" s="85"/>
      <c r="I52" s="91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2.75" customHeight="1" spans="1:26">
      <c r="A53" s="85"/>
      <c r="B53" s="85"/>
      <c r="C53" s="85"/>
      <c r="D53" s="85"/>
      <c r="E53" s="85"/>
      <c r="F53" s="85"/>
      <c r="G53" s="85"/>
      <c r="H53" s="85"/>
      <c r="I53" s="91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2.75" customHeight="1" spans="1:26">
      <c r="A54" s="85"/>
      <c r="B54" s="85"/>
      <c r="C54" s="85"/>
      <c r="D54" s="85"/>
      <c r="E54" s="85"/>
      <c r="F54" s="85"/>
      <c r="G54" s="85"/>
      <c r="H54" s="85"/>
      <c r="I54" s="91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2.75" customHeight="1" spans="1:26">
      <c r="A55" s="85"/>
      <c r="B55" s="85"/>
      <c r="C55" s="85"/>
      <c r="D55" s="85"/>
      <c r="E55" s="85"/>
      <c r="F55" s="85"/>
      <c r="G55" s="85"/>
      <c r="H55" s="85"/>
      <c r="I55" s="91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2.75" customHeight="1" spans="1:26">
      <c r="A56" s="85"/>
      <c r="B56" s="85"/>
      <c r="C56" s="85"/>
      <c r="D56" s="85"/>
      <c r="E56" s="85"/>
      <c r="F56" s="85"/>
      <c r="G56" s="85"/>
      <c r="H56" s="85"/>
      <c r="I56" s="91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2.75" customHeight="1" spans="1:26">
      <c r="A57" s="85"/>
      <c r="B57" s="85"/>
      <c r="C57" s="85"/>
      <c r="D57" s="85"/>
      <c r="E57" s="85"/>
      <c r="F57" s="85"/>
      <c r="G57" s="85"/>
      <c r="H57" s="85"/>
      <c r="I57" s="91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2.75" customHeight="1" spans="1:26">
      <c r="A58" s="85"/>
      <c r="B58" s="85"/>
      <c r="C58" s="85"/>
      <c r="D58" s="85"/>
      <c r="E58" s="85"/>
      <c r="F58" s="85"/>
      <c r="G58" s="85"/>
      <c r="H58" s="85"/>
      <c r="I58" s="91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2.75" customHeight="1" spans="1:26">
      <c r="A59" s="85"/>
      <c r="B59" s="85"/>
      <c r="C59" s="85"/>
      <c r="D59" s="85"/>
      <c r="E59" s="85"/>
      <c r="F59" s="85"/>
      <c r="G59" s="85"/>
      <c r="H59" s="85"/>
      <c r="I59" s="91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2.75" customHeight="1" spans="1:26">
      <c r="A60" s="85"/>
      <c r="B60" s="85"/>
      <c r="C60" s="85"/>
      <c r="D60" s="85"/>
      <c r="E60" s="85"/>
      <c r="F60" s="85"/>
      <c r="G60" s="85"/>
      <c r="H60" s="85"/>
      <c r="I60" s="91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2.75" customHeight="1" spans="1:26">
      <c r="A61" s="85"/>
      <c r="B61" s="85"/>
      <c r="C61" s="85"/>
      <c r="D61" s="85"/>
      <c r="E61" s="85"/>
      <c r="F61" s="85"/>
      <c r="G61" s="85"/>
      <c r="H61" s="85"/>
      <c r="I61" s="91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2.75" customHeight="1" spans="1:26">
      <c r="A62" s="85"/>
      <c r="B62" s="85"/>
      <c r="C62" s="85"/>
      <c r="D62" s="85"/>
      <c r="E62" s="85"/>
      <c r="F62" s="85"/>
      <c r="G62" s="85"/>
      <c r="H62" s="85"/>
      <c r="I62" s="91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2.75" customHeight="1" spans="1:26">
      <c r="A63" s="85"/>
      <c r="B63" s="85"/>
      <c r="C63" s="85"/>
      <c r="D63" s="85"/>
      <c r="E63" s="85"/>
      <c r="F63" s="85"/>
      <c r="G63" s="85"/>
      <c r="H63" s="85"/>
      <c r="I63" s="91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2.75" customHeight="1" spans="1:26">
      <c r="A64" s="85"/>
      <c r="B64" s="85"/>
      <c r="C64" s="85"/>
      <c r="D64" s="85"/>
      <c r="E64" s="85"/>
      <c r="F64" s="85"/>
      <c r="G64" s="85"/>
      <c r="H64" s="85"/>
      <c r="I64" s="91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2.75" customHeight="1" spans="1:26">
      <c r="A65" s="85"/>
      <c r="B65" s="85"/>
      <c r="C65" s="85"/>
      <c r="D65" s="85"/>
      <c r="E65" s="85"/>
      <c r="F65" s="85"/>
      <c r="G65" s="85"/>
      <c r="H65" s="85"/>
      <c r="I65" s="91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2.75" customHeight="1" spans="1:26">
      <c r="A66" s="85"/>
      <c r="B66" s="85"/>
      <c r="C66" s="85"/>
      <c r="D66" s="85"/>
      <c r="E66" s="85"/>
      <c r="F66" s="85"/>
      <c r="G66" s="85"/>
      <c r="H66" s="85"/>
      <c r="I66" s="91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2.75" customHeight="1" spans="1:26">
      <c r="A67" s="85"/>
      <c r="B67" s="85"/>
      <c r="C67" s="85"/>
      <c r="D67" s="85"/>
      <c r="E67" s="85"/>
      <c r="F67" s="85"/>
      <c r="G67" s="85"/>
      <c r="H67" s="85"/>
      <c r="I67" s="91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2.75" customHeight="1" spans="1:26">
      <c r="A68" s="85"/>
      <c r="B68" s="85"/>
      <c r="C68" s="85"/>
      <c r="D68" s="85"/>
      <c r="E68" s="85"/>
      <c r="F68" s="85"/>
      <c r="G68" s="85"/>
      <c r="H68" s="85"/>
      <c r="I68" s="91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2.75" customHeight="1" spans="1:26">
      <c r="A69" s="85"/>
      <c r="B69" s="85"/>
      <c r="C69" s="85"/>
      <c r="D69" s="85"/>
      <c r="E69" s="85"/>
      <c r="F69" s="85"/>
      <c r="G69" s="85"/>
      <c r="H69" s="85"/>
      <c r="I69" s="91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2.75" customHeight="1" spans="1:26">
      <c r="A70" s="85"/>
      <c r="B70" s="85"/>
      <c r="C70" s="85"/>
      <c r="D70" s="85"/>
      <c r="E70" s="85"/>
      <c r="F70" s="85"/>
      <c r="G70" s="85"/>
      <c r="H70" s="85"/>
      <c r="I70" s="91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2.75" customHeight="1" spans="1:26">
      <c r="A71" s="85"/>
      <c r="B71" s="85"/>
      <c r="C71" s="85"/>
      <c r="D71" s="85"/>
      <c r="E71" s="85"/>
      <c r="F71" s="85"/>
      <c r="G71" s="85"/>
      <c r="H71" s="85"/>
      <c r="I71" s="91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2.75" customHeight="1" spans="1:26">
      <c r="A72" s="85"/>
      <c r="B72" s="85"/>
      <c r="C72" s="85"/>
      <c r="D72" s="85"/>
      <c r="E72" s="85"/>
      <c r="F72" s="85"/>
      <c r="G72" s="85"/>
      <c r="H72" s="85"/>
      <c r="I72" s="91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2.75" customHeight="1" spans="1:26">
      <c r="A73" s="85"/>
      <c r="B73" s="85"/>
      <c r="C73" s="85"/>
      <c r="D73" s="85"/>
      <c r="E73" s="85"/>
      <c r="F73" s="85"/>
      <c r="G73" s="85"/>
      <c r="H73" s="85"/>
      <c r="I73" s="91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2.75" customHeight="1" spans="1:26">
      <c r="A74" s="85"/>
      <c r="B74" s="85"/>
      <c r="C74" s="85"/>
      <c r="D74" s="85"/>
      <c r="E74" s="85"/>
      <c r="F74" s="85"/>
      <c r="G74" s="85"/>
      <c r="H74" s="85"/>
      <c r="I74" s="91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2.75" customHeight="1" spans="1:26">
      <c r="A75" s="85"/>
      <c r="B75" s="85"/>
      <c r="C75" s="85"/>
      <c r="D75" s="85"/>
      <c r="E75" s="85"/>
      <c r="F75" s="85"/>
      <c r="G75" s="85"/>
      <c r="H75" s="85"/>
      <c r="I75" s="91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2.75" customHeight="1" spans="1:26">
      <c r="A76" s="85"/>
      <c r="B76" s="85"/>
      <c r="C76" s="85"/>
      <c r="D76" s="85"/>
      <c r="E76" s="85"/>
      <c r="F76" s="85"/>
      <c r="G76" s="85"/>
      <c r="H76" s="85"/>
      <c r="I76" s="91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2.75" customHeight="1" spans="1:26">
      <c r="A77" s="85"/>
      <c r="B77" s="85"/>
      <c r="C77" s="85"/>
      <c r="D77" s="85"/>
      <c r="E77" s="85"/>
      <c r="F77" s="85"/>
      <c r="G77" s="85"/>
      <c r="H77" s="85"/>
      <c r="I77" s="91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2.75" customHeight="1" spans="1:26">
      <c r="A78" s="85"/>
      <c r="B78" s="85"/>
      <c r="C78" s="85"/>
      <c r="D78" s="85"/>
      <c r="E78" s="85"/>
      <c r="F78" s="85"/>
      <c r="G78" s="85"/>
      <c r="H78" s="85"/>
      <c r="I78" s="91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2.75" customHeight="1" spans="1:26">
      <c r="A79" s="85"/>
      <c r="B79" s="85"/>
      <c r="C79" s="85"/>
      <c r="D79" s="85"/>
      <c r="E79" s="85"/>
      <c r="F79" s="85"/>
      <c r="G79" s="85"/>
      <c r="H79" s="85"/>
      <c r="I79" s="91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2.75" customHeight="1" spans="1:26">
      <c r="A80" s="85"/>
      <c r="B80" s="85"/>
      <c r="C80" s="85"/>
      <c r="D80" s="85"/>
      <c r="E80" s="85"/>
      <c r="F80" s="85"/>
      <c r="G80" s="85"/>
      <c r="H80" s="85"/>
      <c r="I80" s="91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2.75" customHeight="1" spans="1:26">
      <c r="A81" s="85"/>
      <c r="B81" s="85"/>
      <c r="C81" s="85"/>
      <c r="D81" s="85"/>
      <c r="E81" s="85"/>
      <c r="F81" s="85"/>
      <c r="G81" s="85"/>
      <c r="H81" s="85"/>
      <c r="I81" s="91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2.75" customHeight="1" spans="1:26">
      <c r="A82" s="85"/>
      <c r="B82" s="85"/>
      <c r="C82" s="85"/>
      <c r="D82" s="85"/>
      <c r="E82" s="85"/>
      <c r="F82" s="85"/>
      <c r="G82" s="85"/>
      <c r="H82" s="85"/>
      <c r="I82" s="91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2.75" customHeight="1" spans="1:26">
      <c r="A83" s="85"/>
      <c r="B83" s="85"/>
      <c r="C83" s="85"/>
      <c r="D83" s="85"/>
      <c r="E83" s="85"/>
      <c r="F83" s="85"/>
      <c r="G83" s="85"/>
      <c r="H83" s="85"/>
      <c r="I83" s="91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2.75" customHeight="1" spans="1:26">
      <c r="A84" s="85"/>
      <c r="B84" s="85"/>
      <c r="C84" s="85"/>
      <c r="D84" s="85"/>
      <c r="E84" s="85"/>
      <c r="F84" s="85"/>
      <c r="G84" s="85"/>
      <c r="H84" s="85"/>
      <c r="I84" s="91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2.75" customHeight="1" spans="1:26">
      <c r="A85" s="85"/>
      <c r="B85" s="85"/>
      <c r="C85" s="85"/>
      <c r="D85" s="85"/>
      <c r="E85" s="85"/>
      <c r="F85" s="85"/>
      <c r="G85" s="85"/>
      <c r="H85" s="85"/>
      <c r="I85" s="91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2.75" customHeight="1" spans="1:26">
      <c r="A86" s="85"/>
      <c r="B86" s="85"/>
      <c r="C86" s="85"/>
      <c r="D86" s="85"/>
      <c r="E86" s="85"/>
      <c r="F86" s="85"/>
      <c r="G86" s="85"/>
      <c r="H86" s="85"/>
      <c r="I86" s="91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2.75" customHeight="1" spans="1:26">
      <c r="A87" s="85"/>
      <c r="B87" s="85"/>
      <c r="C87" s="85"/>
      <c r="D87" s="85"/>
      <c r="E87" s="85"/>
      <c r="F87" s="85"/>
      <c r="G87" s="85"/>
      <c r="H87" s="85"/>
      <c r="I87" s="91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2.75" customHeight="1" spans="1:26">
      <c r="A88" s="85"/>
      <c r="B88" s="85"/>
      <c r="C88" s="85"/>
      <c r="D88" s="85"/>
      <c r="E88" s="85"/>
      <c r="F88" s="85"/>
      <c r="G88" s="85"/>
      <c r="H88" s="85"/>
      <c r="I88" s="91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2.75" customHeight="1" spans="1:26">
      <c r="A89" s="85"/>
      <c r="B89" s="85"/>
      <c r="C89" s="85"/>
      <c r="D89" s="85"/>
      <c r="E89" s="85"/>
      <c r="F89" s="85"/>
      <c r="G89" s="85"/>
      <c r="H89" s="85"/>
      <c r="I89" s="91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2.75" customHeight="1" spans="1:26">
      <c r="A90" s="85"/>
      <c r="B90" s="85"/>
      <c r="C90" s="85"/>
      <c r="D90" s="85"/>
      <c r="E90" s="85"/>
      <c r="F90" s="85"/>
      <c r="G90" s="85"/>
      <c r="H90" s="85"/>
      <c r="I90" s="91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2.75" customHeight="1" spans="1:26">
      <c r="A91" s="85"/>
      <c r="B91" s="85"/>
      <c r="C91" s="85"/>
      <c r="D91" s="85"/>
      <c r="E91" s="85"/>
      <c r="F91" s="85"/>
      <c r="G91" s="85"/>
      <c r="H91" s="85"/>
      <c r="I91" s="91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2.75" customHeight="1" spans="1:26">
      <c r="A92" s="85"/>
      <c r="B92" s="85"/>
      <c r="C92" s="85"/>
      <c r="D92" s="85"/>
      <c r="E92" s="85"/>
      <c r="F92" s="85"/>
      <c r="G92" s="85"/>
      <c r="H92" s="85"/>
      <c r="I92" s="91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2.75" customHeight="1" spans="1:26">
      <c r="A93" s="85"/>
      <c r="B93" s="85"/>
      <c r="C93" s="85"/>
      <c r="D93" s="85"/>
      <c r="E93" s="85"/>
      <c r="F93" s="85"/>
      <c r="G93" s="85"/>
      <c r="H93" s="85"/>
      <c r="I93" s="91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2.75" customHeight="1" spans="1:26">
      <c r="A94" s="85"/>
      <c r="B94" s="85"/>
      <c r="C94" s="85"/>
      <c r="D94" s="85"/>
      <c r="E94" s="85"/>
      <c r="F94" s="85"/>
      <c r="G94" s="85"/>
      <c r="H94" s="85"/>
      <c r="I94" s="91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2.75" customHeight="1" spans="1:26">
      <c r="A95" s="85"/>
      <c r="B95" s="85"/>
      <c r="C95" s="85"/>
      <c r="D95" s="85"/>
      <c r="E95" s="85"/>
      <c r="F95" s="85"/>
      <c r="G95" s="85"/>
      <c r="H95" s="85"/>
      <c r="I95" s="91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2.75" customHeight="1" spans="1:26">
      <c r="A96" s="85"/>
      <c r="B96" s="85"/>
      <c r="C96" s="85"/>
      <c r="D96" s="85"/>
      <c r="E96" s="85"/>
      <c r="F96" s="85"/>
      <c r="G96" s="85"/>
      <c r="H96" s="85"/>
      <c r="I96" s="91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2.75" customHeight="1" spans="1:26">
      <c r="A97" s="85"/>
      <c r="B97" s="85"/>
      <c r="C97" s="85"/>
      <c r="D97" s="85"/>
      <c r="E97" s="85"/>
      <c r="F97" s="85"/>
      <c r="G97" s="85"/>
      <c r="H97" s="85"/>
      <c r="I97" s="91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2.75" customHeight="1" spans="1:26">
      <c r="A98" s="85"/>
      <c r="B98" s="85"/>
      <c r="C98" s="85"/>
      <c r="D98" s="85"/>
      <c r="E98" s="85"/>
      <c r="F98" s="85"/>
      <c r="G98" s="85"/>
      <c r="H98" s="85"/>
      <c r="I98" s="91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2.75" customHeight="1" spans="1:26">
      <c r="A99" s="85"/>
      <c r="B99" s="85"/>
      <c r="C99" s="85"/>
      <c r="D99" s="85"/>
      <c r="E99" s="85"/>
      <c r="F99" s="85"/>
      <c r="G99" s="85"/>
      <c r="H99" s="85"/>
      <c r="I99" s="91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2.75" customHeight="1" spans="1:26">
      <c r="A100" s="85"/>
      <c r="B100" s="85"/>
      <c r="C100" s="85"/>
      <c r="D100" s="85"/>
      <c r="E100" s="85"/>
      <c r="F100" s="85"/>
      <c r="G100" s="85"/>
      <c r="H100" s="85"/>
      <c r="I100" s="91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2.75" customHeight="1" spans="1:26">
      <c r="A101" s="85"/>
      <c r="B101" s="85"/>
      <c r="C101" s="85"/>
      <c r="D101" s="85"/>
      <c r="E101" s="85"/>
      <c r="F101" s="85"/>
      <c r="G101" s="85"/>
      <c r="H101" s="85"/>
      <c r="I101" s="91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2.75" customHeight="1" spans="1:26">
      <c r="A102" s="85"/>
      <c r="B102" s="85"/>
      <c r="C102" s="85"/>
      <c r="D102" s="85"/>
      <c r="E102" s="85"/>
      <c r="F102" s="85"/>
      <c r="G102" s="85"/>
      <c r="H102" s="85"/>
      <c r="I102" s="91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2.75" customHeight="1" spans="1:26">
      <c r="A103" s="85"/>
      <c r="B103" s="85"/>
      <c r="C103" s="85"/>
      <c r="D103" s="85"/>
      <c r="E103" s="85"/>
      <c r="F103" s="85"/>
      <c r="G103" s="85"/>
      <c r="H103" s="85"/>
      <c r="I103" s="91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2.75" customHeight="1" spans="1:26">
      <c r="A104" s="85"/>
      <c r="B104" s="85"/>
      <c r="C104" s="85"/>
      <c r="D104" s="85"/>
      <c r="E104" s="85"/>
      <c r="F104" s="85"/>
      <c r="G104" s="85"/>
      <c r="H104" s="85"/>
      <c r="I104" s="91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2.75" customHeight="1" spans="1:26">
      <c r="A105" s="85"/>
      <c r="B105" s="85"/>
      <c r="C105" s="85"/>
      <c r="D105" s="85"/>
      <c r="E105" s="85"/>
      <c r="F105" s="85"/>
      <c r="G105" s="85"/>
      <c r="H105" s="85"/>
      <c r="I105" s="91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2.75" customHeight="1" spans="1:26">
      <c r="A106" s="85"/>
      <c r="B106" s="85"/>
      <c r="C106" s="85"/>
      <c r="D106" s="85"/>
      <c r="E106" s="85"/>
      <c r="F106" s="85"/>
      <c r="G106" s="85"/>
      <c r="H106" s="85"/>
      <c r="I106" s="91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2.75" customHeight="1" spans="1:26">
      <c r="A107" s="85"/>
      <c r="B107" s="85"/>
      <c r="C107" s="85"/>
      <c r="D107" s="85"/>
      <c r="E107" s="85"/>
      <c r="F107" s="85"/>
      <c r="G107" s="85"/>
      <c r="H107" s="85"/>
      <c r="I107" s="91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2.75" customHeight="1" spans="1:26">
      <c r="A108" s="85"/>
      <c r="B108" s="85"/>
      <c r="C108" s="85"/>
      <c r="D108" s="85"/>
      <c r="E108" s="85"/>
      <c r="F108" s="85"/>
      <c r="G108" s="85"/>
      <c r="H108" s="85"/>
      <c r="I108" s="91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2.75" customHeight="1" spans="1:26">
      <c r="A109" s="85"/>
      <c r="B109" s="85"/>
      <c r="C109" s="85"/>
      <c r="D109" s="85"/>
      <c r="E109" s="85"/>
      <c r="F109" s="85"/>
      <c r="G109" s="85"/>
      <c r="H109" s="85"/>
      <c r="I109" s="91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2.75" customHeight="1" spans="1:26">
      <c r="A110" s="85"/>
      <c r="B110" s="85"/>
      <c r="C110" s="85"/>
      <c r="D110" s="85"/>
      <c r="E110" s="85"/>
      <c r="F110" s="85"/>
      <c r="G110" s="85"/>
      <c r="H110" s="85"/>
      <c r="I110" s="91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2.75" customHeight="1" spans="1:26">
      <c r="A111" s="85"/>
      <c r="B111" s="85"/>
      <c r="C111" s="85"/>
      <c r="D111" s="85"/>
      <c r="E111" s="85"/>
      <c r="F111" s="85"/>
      <c r="G111" s="85"/>
      <c r="H111" s="85"/>
      <c r="I111" s="91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2.75" customHeight="1" spans="1:26">
      <c r="A112" s="85"/>
      <c r="B112" s="85"/>
      <c r="C112" s="85"/>
      <c r="D112" s="85"/>
      <c r="E112" s="85"/>
      <c r="F112" s="85"/>
      <c r="G112" s="85"/>
      <c r="H112" s="85"/>
      <c r="I112" s="91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2.75" customHeight="1" spans="1:26">
      <c r="A113" s="85"/>
      <c r="B113" s="85"/>
      <c r="C113" s="85"/>
      <c r="D113" s="85"/>
      <c r="E113" s="85"/>
      <c r="F113" s="85"/>
      <c r="G113" s="85"/>
      <c r="H113" s="85"/>
      <c r="I113" s="91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2.75" customHeight="1" spans="1:26">
      <c r="A114" s="85"/>
      <c r="B114" s="85"/>
      <c r="C114" s="85"/>
      <c r="D114" s="85"/>
      <c r="E114" s="85"/>
      <c r="F114" s="85"/>
      <c r="G114" s="85"/>
      <c r="H114" s="85"/>
      <c r="I114" s="91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2.75" customHeight="1" spans="1:26">
      <c r="A115" s="85"/>
      <c r="B115" s="85"/>
      <c r="C115" s="85"/>
      <c r="D115" s="85"/>
      <c r="E115" s="85"/>
      <c r="F115" s="85"/>
      <c r="G115" s="85"/>
      <c r="H115" s="85"/>
      <c r="I115" s="91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2.75" customHeight="1" spans="1:26">
      <c r="A116" s="85"/>
      <c r="B116" s="85"/>
      <c r="C116" s="85"/>
      <c r="D116" s="85"/>
      <c r="E116" s="85"/>
      <c r="F116" s="85"/>
      <c r="G116" s="85"/>
      <c r="H116" s="85"/>
      <c r="I116" s="91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2.75" customHeight="1" spans="1:26">
      <c r="A117" s="85"/>
      <c r="B117" s="85"/>
      <c r="C117" s="85"/>
      <c r="D117" s="85"/>
      <c r="E117" s="85"/>
      <c r="F117" s="85"/>
      <c r="G117" s="85"/>
      <c r="H117" s="85"/>
      <c r="I117" s="91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2.75" customHeight="1" spans="1:26">
      <c r="A118" s="85"/>
      <c r="B118" s="85"/>
      <c r="C118" s="85"/>
      <c r="D118" s="85"/>
      <c r="E118" s="85"/>
      <c r="F118" s="85"/>
      <c r="G118" s="85"/>
      <c r="H118" s="85"/>
      <c r="I118" s="91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2.75" customHeight="1" spans="1:26">
      <c r="A119" s="85"/>
      <c r="B119" s="85"/>
      <c r="C119" s="85"/>
      <c r="D119" s="85"/>
      <c r="E119" s="85"/>
      <c r="F119" s="85"/>
      <c r="G119" s="85"/>
      <c r="H119" s="85"/>
      <c r="I119" s="91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2.75" customHeight="1" spans="1:26">
      <c r="A120" s="85"/>
      <c r="B120" s="85"/>
      <c r="C120" s="85"/>
      <c r="D120" s="85"/>
      <c r="E120" s="85"/>
      <c r="F120" s="85"/>
      <c r="G120" s="85"/>
      <c r="H120" s="85"/>
      <c r="I120" s="91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2.75" customHeight="1" spans="1:26">
      <c r="A121" s="85"/>
      <c r="B121" s="85"/>
      <c r="C121" s="85"/>
      <c r="D121" s="85"/>
      <c r="E121" s="85"/>
      <c r="F121" s="85"/>
      <c r="G121" s="85"/>
      <c r="H121" s="85"/>
      <c r="I121" s="91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2.75" customHeight="1" spans="1:26">
      <c r="A122" s="85"/>
      <c r="B122" s="85"/>
      <c r="C122" s="85"/>
      <c r="D122" s="85"/>
      <c r="E122" s="85"/>
      <c r="F122" s="85"/>
      <c r="G122" s="85"/>
      <c r="H122" s="85"/>
      <c r="I122" s="91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2.75" customHeight="1" spans="1:26">
      <c r="A123" s="85"/>
      <c r="B123" s="85"/>
      <c r="C123" s="85"/>
      <c r="D123" s="85"/>
      <c r="E123" s="85"/>
      <c r="F123" s="85"/>
      <c r="G123" s="85"/>
      <c r="H123" s="85"/>
      <c r="I123" s="91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2.75" customHeight="1" spans="1:26">
      <c r="A124" s="85"/>
      <c r="B124" s="85"/>
      <c r="C124" s="85"/>
      <c r="D124" s="85"/>
      <c r="E124" s="85"/>
      <c r="F124" s="85"/>
      <c r="G124" s="85"/>
      <c r="H124" s="85"/>
      <c r="I124" s="91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2.75" customHeight="1" spans="1:26">
      <c r="A125" s="85"/>
      <c r="B125" s="85"/>
      <c r="C125" s="85"/>
      <c r="D125" s="85"/>
      <c r="E125" s="85"/>
      <c r="F125" s="85"/>
      <c r="G125" s="85"/>
      <c r="H125" s="85"/>
      <c r="I125" s="91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2.75" customHeight="1" spans="1:26">
      <c r="A126" s="85"/>
      <c r="B126" s="85"/>
      <c r="C126" s="85"/>
      <c r="D126" s="85"/>
      <c r="E126" s="85"/>
      <c r="F126" s="85"/>
      <c r="G126" s="85"/>
      <c r="H126" s="85"/>
      <c r="I126" s="91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2.75" customHeight="1" spans="1:26">
      <c r="A127" s="85"/>
      <c r="B127" s="85"/>
      <c r="C127" s="85"/>
      <c r="D127" s="85"/>
      <c r="E127" s="85"/>
      <c r="F127" s="85"/>
      <c r="G127" s="85"/>
      <c r="H127" s="85"/>
      <c r="I127" s="91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2.75" customHeight="1" spans="1:26">
      <c r="A128" s="85"/>
      <c r="B128" s="85"/>
      <c r="C128" s="85"/>
      <c r="D128" s="85"/>
      <c r="E128" s="85"/>
      <c r="F128" s="85"/>
      <c r="G128" s="85"/>
      <c r="H128" s="85"/>
      <c r="I128" s="91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2.75" customHeight="1" spans="1:26">
      <c r="A129" s="85"/>
      <c r="B129" s="85"/>
      <c r="C129" s="85"/>
      <c r="D129" s="85"/>
      <c r="E129" s="85"/>
      <c r="F129" s="85"/>
      <c r="G129" s="85"/>
      <c r="H129" s="85"/>
      <c r="I129" s="91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2.75" customHeight="1" spans="1:26">
      <c r="A130" s="85"/>
      <c r="B130" s="85"/>
      <c r="C130" s="85"/>
      <c r="D130" s="85"/>
      <c r="E130" s="85"/>
      <c r="F130" s="85"/>
      <c r="G130" s="85"/>
      <c r="H130" s="85"/>
      <c r="I130" s="91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2.75" customHeight="1" spans="1:26">
      <c r="A131" s="85"/>
      <c r="B131" s="85"/>
      <c r="C131" s="85"/>
      <c r="D131" s="85"/>
      <c r="E131" s="85"/>
      <c r="F131" s="85"/>
      <c r="G131" s="85"/>
      <c r="H131" s="85"/>
      <c r="I131" s="91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2.75" customHeight="1" spans="1:26">
      <c r="A132" s="85"/>
      <c r="B132" s="85"/>
      <c r="C132" s="85"/>
      <c r="D132" s="85"/>
      <c r="E132" s="85"/>
      <c r="F132" s="85"/>
      <c r="G132" s="85"/>
      <c r="H132" s="85"/>
      <c r="I132" s="91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2.75" customHeight="1" spans="1:26">
      <c r="A133" s="85"/>
      <c r="B133" s="85"/>
      <c r="C133" s="85"/>
      <c r="D133" s="85"/>
      <c r="E133" s="85"/>
      <c r="F133" s="85"/>
      <c r="G133" s="85"/>
      <c r="H133" s="85"/>
      <c r="I133" s="91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2.75" customHeight="1" spans="1:26">
      <c r="A134" s="85"/>
      <c r="B134" s="85"/>
      <c r="C134" s="85"/>
      <c r="D134" s="85"/>
      <c r="E134" s="85"/>
      <c r="F134" s="85"/>
      <c r="G134" s="85"/>
      <c r="H134" s="85"/>
      <c r="I134" s="91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2.75" customHeight="1" spans="1:26">
      <c r="A135" s="85"/>
      <c r="B135" s="85"/>
      <c r="C135" s="85"/>
      <c r="D135" s="85"/>
      <c r="E135" s="85"/>
      <c r="F135" s="85"/>
      <c r="G135" s="85"/>
      <c r="H135" s="85"/>
      <c r="I135" s="91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2.75" customHeight="1" spans="1:26">
      <c r="A136" s="85"/>
      <c r="B136" s="85"/>
      <c r="C136" s="85"/>
      <c r="D136" s="85"/>
      <c r="E136" s="85"/>
      <c r="F136" s="85"/>
      <c r="G136" s="85"/>
      <c r="H136" s="85"/>
      <c r="I136" s="91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2.75" customHeight="1" spans="1:26">
      <c r="A137" s="85"/>
      <c r="B137" s="85"/>
      <c r="C137" s="85"/>
      <c r="D137" s="85"/>
      <c r="E137" s="85"/>
      <c r="F137" s="85"/>
      <c r="G137" s="85"/>
      <c r="H137" s="85"/>
      <c r="I137" s="91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2.75" customHeight="1" spans="1:26">
      <c r="A138" s="85"/>
      <c r="B138" s="85"/>
      <c r="C138" s="85"/>
      <c r="D138" s="85"/>
      <c r="E138" s="85"/>
      <c r="F138" s="85"/>
      <c r="G138" s="85"/>
      <c r="H138" s="85"/>
      <c r="I138" s="91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2.75" customHeight="1" spans="1:26">
      <c r="A139" s="85"/>
      <c r="B139" s="85"/>
      <c r="C139" s="85"/>
      <c r="D139" s="85"/>
      <c r="E139" s="85"/>
      <c r="F139" s="85"/>
      <c r="G139" s="85"/>
      <c r="H139" s="85"/>
      <c r="I139" s="91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2.75" customHeight="1" spans="1:26">
      <c r="A140" s="85"/>
      <c r="B140" s="85"/>
      <c r="C140" s="85"/>
      <c r="D140" s="85"/>
      <c r="E140" s="85"/>
      <c r="F140" s="85"/>
      <c r="G140" s="85"/>
      <c r="H140" s="85"/>
      <c r="I140" s="91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2.75" customHeight="1" spans="1:26">
      <c r="A141" s="85"/>
      <c r="B141" s="85"/>
      <c r="C141" s="85"/>
      <c r="D141" s="85"/>
      <c r="E141" s="85"/>
      <c r="F141" s="85"/>
      <c r="G141" s="85"/>
      <c r="H141" s="85"/>
      <c r="I141" s="91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2.75" customHeight="1" spans="1:26">
      <c r="A142" s="85"/>
      <c r="B142" s="85"/>
      <c r="C142" s="85"/>
      <c r="D142" s="85"/>
      <c r="E142" s="85"/>
      <c r="F142" s="85"/>
      <c r="G142" s="85"/>
      <c r="H142" s="85"/>
      <c r="I142" s="91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2.75" customHeight="1" spans="1:26">
      <c r="A143" s="85"/>
      <c r="B143" s="85"/>
      <c r="C143" s="85"/>
      <c r="D143" s="85"/>
      <c r="E143" s="85"/>
      <c r="F143" s="85"/>
      <c r="G143" s="85"/>
      <c r="H143" s="85"/>
      <c r="I143" s="91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2.75" customHeight="1" spans="1:26">
      <c r="A144" s="85"/>
      <c r="B144" s="85"/>
      <c r="C144" s="85"/>
      <c r="D144" s="85"/>
      <c r="E144" s="85"/>
      <c r="F144" s="85"/>
      <c r="G144" s="85"/>
      <c r="H144" s="85"/>
      <c r="I144" s="91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2.75" customHeight="1" spans="1:26">
      <c r="A145" s="85"/>
      <c r="B145" s="85"/>
      <c r="C145" s="85"/>
      <c r="D145" s="85"/>
      <c r="E145" s="85"/>
      <c r="F145" s="85"/>
      <c r="G145" s="85"/>
      <c r="H145" s="85"/>
      <c r="I145" s="91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2.75" customHeight="1" spans="1:26">
      <c r="A146" s="85"/>
      <c r="B146" s="85"/>
      <c r="C146" s="85"/>
      <c r="D146" s="85"/>
      <c r="E146" s="85"/>
      <c r="F146" s="85"/>
      <c r="G146" s="85"/>
      <c r="H146" s="85"/>
      <c r="I146" s="91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2.75" customHeight="1" spans="1:26">
      <c r="A147" s="85"/>
      <c r="B147" s="85"/>
      <c r="C147" s="85"/>
      <c r="D147" s="85"/>
      <c r="E147" s="85"/>
      <c r="F147" s="85"/>
      <c r="G147" s="85"/>
      <c r="H147" s="85"/>
      <c r="I147" s="91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2.75" customHeight="1" spans="1:26">
      <c r="A148" s="85"/>
      <c r="B148" s="85"/>
      <c r="C148" s="85"/>
      <c r="D148" s="85"/>
      <c r="E148" s="85"/>
      <c r="F148" s="85"/>
      <c r="G148" s="85"/>
      <c r="H148" s="85"/>
      <c r="I148" s="91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2.75" customHeight="1" spans="1:26">
      <c r="A149" s="85"/>
      <c r="B149" s="85"/>
      <c r="C149" s="85"/>
      <c r="D149" s="85"/>
      <c r="E149" s="85"/>
      <c r="F149" s="85"/>
      <c r="G149" s="85"/>
      <c r="H149" s="85"/>
      <c r="I149" s="91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2.75" customHeight="1" spans="1:26">
      <c r="A150" s="85"/>
      <c r="B150" s="85"/>
      <c r="C150" s="85"/>
      <c r="D150" s="85"/>
      <c r="E150" s="85"/>
      <c r="F150" s="85"/>
      <c r="G150" s="85"/>
      <c r="H150" s="85"/>
      <c r="I150" s="91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2.75" customHeight="1" spans="1:26">
      <c r="A151" s="85"/>
      <c r="B151" s="85"/>
      <c r="C151" s="85"/>
      <c r="D151" s="85"/>
      <c r="E151" s="85"/>
      <c r="F151" s="85"/>
      <c r="G151" s="85"/>
      <c r="H151" s="85"/>
      <c r="I151" s="91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2.75" customHeight="1" spans="1:26">
      <c r="A152" s="85"/>
      <c r="B152" s="85"/>
      <c r="C152" s="85"/>
      <c r="D152" s="85"/>
      <c r="E152" s="85"/>
      <c r="F152" s="85"/>
      <c r="G152" s="85"/>
      <c r="H152" s="85"/>
      <c r="I152" s="91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2.75" customHeight="1" spans="1:26">
      <c r="A153" s="85"/>
      <c r="B153" s="85"/>
      <c r="C153" s="85"/>
      <c r="D153" s="85"/>
      <c r="E153" s="85"/>
      <c r="F153" s="85"/>
      <c r="G153" s="85"/>
      <c r="H153" s="85"/>
      <c r="I153" s="91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2.75" customHeight="1" spans="1:26">
      <c r="A154" s="85"/>
      <c r="B154" s="85"/>
      <c r="C154" s="85"/>
      <c r="D154" s="85"/>
      <c r="E154" s="85"/>
      <c r="F154" s="85"/>
      <c r="G154" s="85"/>
      <c r="H154" s="85"/>
      <c r="I154" s="91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2.75" customHeight="1" spans="1:26">
      <c r="A155" s="85"/>
      <c r="B155" s="85"/>
      <c r="C155" s="85"/>
      <c r="D155" s="85"/>
      <c r="E155" s="85"/>
      <c r="F155" s="85"/>
      <c r="G155" s="85"/>
      <c r="H155" s="85"/>
      <c r="I155" s="91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2.75" customHeight="1" spans="1:26">
      <c r="A156" s="85"/>
      <c r="B156" s="85"/>
      <c r="C156" s="85"/>
      <c r="D156" s="85"/>
      <c r="E156" s="85"/>
      <c r="F156" s="85"/>
      <c r="G156" s="85"/>
      <c r="H156" s="85"/>
      <c r="I156" s="91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2.75" customHeight="1" spans="1:26">
      <c r="A157" s="85"/>
      <c r="B157" s="85"/>
      <c r="C157" s="85"/>
      <c r="D157" s="85"/>
      <c r="E157" s="85"/>
      <c r="F157" s="85"/>
      <c r="G157" s="85"/>
      <c r="H157" s="85"/>
      <c r="I157" s="91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2.75" customHeight="1" spans="1:26">
      <c r="A158" s="85"/>
      <c r="B158" s="85"/>
      <c r="C158" s="85"/>
      <c r="D158" s="85"/>
      <c r="E158" s="85"/>
      <c r="F158" s="85"/>
      <c r="G158" s="85"/>
      <c r="H158" s="85"/>
      <c r="I158" s="91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2.75" customHeight="1" spans="1:26">
      <c r="A159" s="85"/>
      <c r="B159" s="85"/>
      <c r="C159" s="85"/>
      <c r="D159" s="85"/>
      <c r="E159" s="85"/>
      <c r="F159" s="85"/>
      <c r="G159" s="85"/>
      <c r="H159" s="85"/>
      <c r="I159" s="91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2.75" customHeight="1" spans="1:26">
      <c r="A160" s="85"/>
      <c r="B160" s="85"/>
      <c r="C160" s="85"/>
      <c r="D160" s="85"/>
      <c r="E160" s="85"/>
      <c r="F160" s="85"/>
      <c r="G160" s="85"/>
      <c r="H160" s="85"/>
      <c r="I160" s="91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2.75" customHeight="1" spans="1:26">
      <c r="A161" s="85"/>
      <c r="B161" s="85"/>
      <c r="C161" s="85"/>
      <c r="D161" s="85"/>
      <c r="E161" s="85"/>
      <c r="F161" s="85"/>
      <c r="G161" s="85"/>
      <c r="H161" s="85"/>
      <c r="I161" s="91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2.75" customHeight="1" spans="1:26">
      <c r="A162" s="85"/>
      <c r="B162" s="85"/>
      <c r="C162" s="85"/>
      <c r="D162" s="85"/>
      <c r="E162" s="85"/>
      <c r="F162" s="85"/>
      <c r="G162" s="85"/>
      <c r="H162" s="85"/>
      <c r="I162" s="91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2.75" customHeight="1" spans="1:26">
      <c r="A163" s="85"/>
      <c r="B163" s="85"/>
      <c r="C163" s="85"/>
      <c r="D163" s="85"/>
      <c r="E163" s="85"/>
      <c r="F163" s="85"/>
      <c r="G163" s="85"/>
      <c r="H163" s="85"/>
      <c r="I163" s="91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2.75" customHeight="1" spans="1:26">
      <c r="A164" s="85"/>
      <c r="B164" s="85"/>
      <c r="C164" s="85"/>
      <c r="D164" s="85"/>
      <c r="E164" s="85"/>
      <c r="F164" s="85"/>
      <c r="G164" s="85"/>
      <c r="H164" s="85"/>
      <c r="I164" s="91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2.75" customHeight="1" spans="1:26">
      <c r="A165" s="85"/>
      <c r="B165" s="85"/>
      <c r="C165" s="85"/>
      <c r="D165" s="85"/>
      <c r="E165" s="85"/>
      <c r="F165" s="85"/>
      <c r="G165" s="85"/>
      <c r="H165" s="85"/>
      <c r="I165" s="91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2.75" customHeight="1" spans="1:26">
      <c r="A166" s="85"/>
      <c r="B166" s="85"/>
      <c r="C166" s="85"/>
      <c r="D166" s="85"/>
      <c r="E166" s="85"/>
      <c r="F166" s="85"/>
      <c r="G166" s="85"/>
      <c r="H166" s="85"/>
      <c r="I166" s="91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2.75" customHeight="1" spans="1:26">
      <c r="A167" s="85"/>
      <c r="B167" s="85"/>
      <c r="C167" s="85"/>
      <c r="D167" s="85"/>
      <c r="E167" s="85"/>
      <c r="F167" s="85"/>
      <c r="G167" s="85"/>
      <c r="H167" s="85"/>
      <c r="I167" s="91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2.75" customHeight="1" spans="1:26">
      <c r="A168" s="85"/>
      <c r="B168" s="85"/>
      <c r="C168" s="85"/>
      <c r="D168" s="85"/>
      <c r="E168" s="85"/>
      <c r="F168" s="85"/>
      <c r="G168" s="85"/>
      <c r="H168" s="85"/>
      <c r="I168" s="91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2.75" customHeight="1" spans="1:26">
      <c r="A169" s="85"/>
      <c r="B169" s="85"/>
      <c r="C169" s="85"/>
      <c r="D169" s="85"/>
      <c r="E169" s="85"/>
      <c r="F169" s="85"/>
      <c r="G169" s="85"/>
      <c r="H169" s="85"/>
      <c r="I169" s="91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2.75" customHeight="1" spans="1:26">
      <c r="A170" s="85"/>
      <c r="B170" s="85"/>
      <c r="C170" s="85"/>
      <c r="D170" s="85"/>
      <c r="E170" s="85"/>
      <c r="F170" s="85"/>
      <c r="G170" s="85"/>
      <c r="H170" s="85"/>
      <c r="I170" s="91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2.75" customHeight="1" spans="1:26">
      <c r="A171" s="85"/>
      <c r="B171" s="85"/>
      <c r="C171" s="85"/>
      <c r="D171" s="85"/>
      <c r="E171" s="85"/>
      <c r="F171" s="85"/>
      <c r="G171" s="85"/>
      <c r="H171" s="85"/>
      <c r="I171" s="91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2.75" customHeight="1" spans="1:26">
      <c r="A172" s="85"/>
      <c r="B172" s="85"/>
      <c r="C172" s="85"/>
      <c r="D172" s="85"/>
      <c r="E172" s="85"/>
      <c r="F172" s="85"/>
      <c r="G172" s="85"/>
      <c r="H172" s="85"/>
      <c r="I172" s="91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2.75" customHeight="1" spans="1:26">
      <c r="A173" s="85"/>
      <c r="B173" s="85"/>
      <c r="C173" s="85"/>
      <c r="D173" s="85"/>
      <c r="E173" s="85"/>
      <c r="F173" s="85"/>
      <c r="G173" s="85"/>
      <c r="H173" s="85"/>
      <c r="I173" s="91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2.75" customHeight="1" spans="1:26">
      <c r="A174" s="85"/>
      <c r="B174" s="85"/>
      <c r="C174" s="85"/>
      <c r="D174" s="85"/>
      <c r="E174" s="85"/>
      <c r="F174" s="85"/>
      <c r="G174" s="85"/>
      <c r="H174" s="85"/>
      <c r="I174" s="91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2.75" customHeight="1" spans="1:26">
      <c r="A175" s="85"/>
      <c r="B175" s="85"/>
      <c r="C175" s="85"/>
      <c r="D175" s="85"/>
      <c r="E175" s="85"/>
      <c r="F175" s="85"/>
      <c r="G175" s="85"/>
      <c r="H175" s="85"/>
      <c r="I175" s="91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2.75" customHeight="1" spans="1:26">
      <c r="A176" s="85"/>
      <c r="B176" s="85"/>
      <c r="C176" s="85"/>
      <c r="D176" s="85"/>
      <c r="E176" s="85"/>
      <c r="F176" s="85"/>
      <c r="G176" s="85"/>
      <c r="H176" s="85"/>
      <c r="I176" s="91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2.75" customHeight="1" spans="1:26">
      <c r="A177" s="85"/>
      <c r="B177" s="85"/>
      <c r="C177" s="85"/>
      <c r="D177" s="85"/>
      <c r="E177" s="85"/>
      <c r="F177" s="85"/>
      <c r="G177" s="85"/>
      <c r="H177" s="85"/>
      <c r="I177" s="91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2.75" customHeight="1" spans="1:26">
      <c r="A178" s="85"/>
      <c r="B178" s="85"/>
      <c r="C178" s="85"/>
      <c r="D178" s="85"/>
      <c r="E178" s="85"/>
      <c r="F178" s="85"/>
      <c r="G178" s="85"/>
      <c r="H178" s="85"/>
      <c r="I178" s="91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2.75" customHeight="1" spans="1:26">
      <c r="A179" s="85"/>
      <c r="B179" s="85"/>
      <c r="C179" s="85"/>
      <c r="D179" s="85"/>
      <c r="E179" s="85"/>
      <c r="F179" s="85"/>
      <c r="G179" s="85"/>
      <c r="H179" s="85"/>
      <c r="I179" s="91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2.75" customHeight="1" spans="1:26">
      <c r="A180" s="85"/>
      <c r="B180" s="85"/>
      <c r="C180" s="85"/>
      <c r="D180" s="85"/>
      <c r="E180" s="85"/>
      <c r="F180" s="85"/>
      <c r="G180" s="85"/>
      <c r="H180" s="85"/>
      <c r="I180" s="91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2.75" customHeight="1" spans="1:26">
      <c r="A181" s="85"/>
      <c r="B181" s="85"/>
      <c r="C181" s="85"/>
      <c r="D181" s="85"/>
      <c r="E181" s="85"/>
      <c r="F181" s="85"/>
      <c r="G181" s="85"/>
      <c r="H181" s="85"/>
      <c r="I181" s="91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2.75" customHeight="1" spans="1:26">
      <c r="A182" s="85"/>
      <c r="B182" s="85"/>
      <c r="C182" s="85"/>
      <c r="D182" s="85"/>
      <c r="E182" s="85"/>
      <c r="F182" s="85"/>
      <c r="G182" s="85"/>
      <c r="H182" s="85"/>
      <c r="I182" s="91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2.75" customHeight="1" spans="1:26">
      <c r="A183" s="85"/>
      <c r="B183" s="85"/>
      <c r="C183" s="85"/>
      <c r="D183" s="85"/>
      <c r="E183" s="85"/>
      <c r="F183" s="85"/>
      <c r="G183" s="85"/>
      <c r="H183" s="85"/>
      <c r="I183" s="91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2.75" customHeight="1" spans="1:26">
      <c r="A184" s="85"/>
      <c r="B184" s="85"/>
      <c r="C184" s="85"/>
      <c r="D184" s="85"/>
      <c r="E184" s="85"/>
      <c r="F184" s="85"/>
      <c r="G184" s="85"/>
      <c r="H184" s="85"/>
      <c r="I184" s="91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2.75" customHeight="1" spans="1:26">
      <c r="A185" s="85"/>
      <c r="B185" s="85"/>
      <c r="C185" s="85"/>
      <c r="D185" s="85"/>
      <c r="E185" s="85"/>
      <c r="F185" s="85"/>
      <c r="G185" s="85"/>
      <c r="H185" s="85"/>
      <c r="I185" s="91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2.75" customHeight="1" spans="1:26">
      <c r="A186" s="85"/>
      <c r="B186" s="85"/>
      <c r="C186" s="85"/>
      <c r="D186" s="85"/>
      <c r="E186" s="85"/>
      <c r="F186" s="85"/>
      <c r="G186" s="85"/>
      <c r="H186" s="85"/>
      <c r="I186" s="91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2.75" customHeight="1" spans="1:26">
      <c r="A187" s="85"/>
      <c r="B187" s="85"/>
      <c r="C187" s="85"/>
      <c r="D187" s="85"/>
      <c r="E187" s="85"/>
      <c r="F187" s="85"/>
      <c r="G187" s="85"/>
      <c r="H187" s="85"/>
      <c r="I187" s="91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2.75" customHeight="1" spans="1:26">
      <c r="A188" s="85"/>
      <c r="B188" s="85"/>
      <c r="C188" s="85"/>
      <c r="D188" s="85"/>
      <c r="E188" s="85"/>
      <c r="F188" s="85"/>
      <c r="G188" s="85"/>
      <c r="H188" s="85"/>
      <c r="I188" s="91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2.75" customHeight="1" spans="1:26">
      <c r="A189" s="85"/>
      <c r="B189" s="85"/>
      <c r="C189" s="85"/>
      <c r="D189" s="85"/>
      <c r="E189" s="85"/>
      <c r="F189" s="85"/>
      <c r="G189" s="85"/>
      <c r="H189" s="85"/>
      <c r="I189" s="91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2.75" customHeight="1" spans="1:26">
      <c r="A190" s="85"/>
      <c r="B190" s="85"/>
      <c r="C190" s="85"/>
      <c r="D190" s="85"/>
      <c r="E190" s="85"/>
      <c r="F190" s="85"/>
      <c r="G190" s="85"/>
      <c r="H190" s="85"/>
      <c r="I190" s="91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2.75" customHeight="1" spans="1:26">
      <c r="A191" s="85"/>
      <c r="B191" s="85"/>
      <c r="C191" s="85"/>
      <c r="D191" s="85"/>
      <c r="E191" s="85"/>
      <c r="F191" s="85"/>
      <c r="G191" s="85"/>
      <c r="H191" s="85"/>
      <c r="I191" s="91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2.75" customHeight="1" spans="1:26">
      <c r="A192" s="85"/>
      <c r="B192" s="85"/>
      <c r="C192" s="85"/>
      <c r="D192" s="85"/>
      <c r="E192" s="85"/>
      <c r="F192" s="85"/>
      <c r="G192" s="85"/>
      <c r="H192" s="85"/>
      <c r="I192" s="91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2.75" customHeight="1" spans="1:26">
      <c r="A193" s="85"/>
      <c r="B193" s="85"/>
      <c r="C193" s="85"/>
      <c r="D193" s="85"/>
      <c r="E193" s="85"/>
      <c r="F193" s="85"/>
      <c r="G193" s="85"/>
      <c r="H193" s="85"/>
      <c r="I193" s="91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2.75" customHeight="1" spans="1:26">
      <c r="A194" s="85"/>
      <c r="B194" s="85"/>
      <c r="C194" s="85"/>
      <c r="D194" s="85"/>
      <c r="E194" s="85"/>
      <c r="F194" s="85"/>
      <c r="G194" s="85"/>
      <c r="H194" s="85"/>
      <c r="I194" s="91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2.75" customHeight="1" spans="1:26">
      <c r="A195" s="85"/>
      <c r="B195" s="85"/>
      <c r="C195" s="85"/>
      <c r="D195" s="85"/>
      <c r="E195" s="85"/>
      <c r="F195" s="85"/>
      <c r="G195" s="85"/>
      <c r="H195" s="85"/>
      <c r="I195" s="91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2.75" customHeight="1" spans="1:26">
      <c r="A196" s="85"/>
      <c r="B196" s="85"/>
      <c r="C196" s="85"/>
      <c r="D196" s="85"/>
      <c r="E196" s="85"/>
      <c r="F196" s="85"/>
      <c r="G196" s="85"/>
      <c r="H196" s="85"/>
      <c r="I196" s="91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2.75" customHeight="1" spans="1:26">
      <c r="A197" s="85"/>
      <c r="B197" s="85"/>
      <c r="C197" s="85"/>
      <c r="D197" s="85"/>
      <c r="E197" s="85"/>
      <c r="F197" s="85"/>
      <c r="G197" s="85"/>
      <c r="H197" s="85"/>
      <c r="I197" s="91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2.75" customHeight="1" spans="1:26">
      <c r="A198" s="85"/>
      <c r="B198" s="85"/>
      <c r="C198" s="85"/>
      <c r="D198" s="85"/>
      <c r="E198" s="85"/>
      <c r="F198" s="85"/>
      <c r="G198" s="85"/>
      <c r="H198" s="85"/>
      <c r="I198" s="91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2.75" customHeight="1" spans="1:26">
      <c r="A199" s="85"/>
      <c r="B199" s="85"/>
      <c r="C199" s="85"/>
      <c r="D199" s="85"/>
      <c r="E199" s="85"/>
      <c r="F199" s="85"/>
      <c r="G199" s="85"/>
      <c r="H199" s="85"/>
      <c r="I199" s="91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2.75" customHeight="1" spans="1:26">
      <c r="A200" s="85"/>
      <c r="B200" s="85"/>
      <c r="C200" s="85"/>
      <c r="D200" s="85"/>
      <c r="E200" s="85"/>
      <c r="F200" s="85"/>
      <c r="G200" s="85"/>
      <c r="H200" s="85"/>
      <c r="I200" s="91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2.75" customHeight="1" spans="1:26">
      <c r="A201" s="85"/>
      <c r="B201" s="85"/>
      <c r="C201" s="85"/>
      <c r="D201" s="85"/>
      <c r="E201" s="85"/>
      <c r="F201" s="85"/>
      <c r="G201" s="85"/>
      <c r="H201" s="85"/>
      <c r="I201" s="91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2.75" customHeight="1" spans="1:26">
      <c r="A202" s="85"/>
      <c r="B202" s="85"/>
      <c r="C202" s="85"/>
      <c r="D202" s="85"/>
      <c r="E202" s="85"/>
      <c r="F202" s="85"/>
      <c r="G202" s="85"/>
      <c r="H202" s="85"/>
      <c r="I202" s="91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2.75" customHeight="1" spans="1:26">
      <c r="A203" s="85"/>
      <c r="B203" s="85"/>
      <c r="C203" s="85"/>
      <c r="D203" s="85"/>
      <c r="E203" s="85"/>
      <c r="F203" s="85"/>
      <c r="G203" s="85"/>
      <c r="H203" s="85"/>
      <c r="I203" s="91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2.75" customHeight="1" spans="1:26">
      <c r="A204" s="85"/>
      <c r="B204" s="85"/>
      <c r="C204" s="85"/>
      <c r="D204" s="85"/>
      <c r="E204" s="85"/>
      <c r="F204" s="85"/>
      <c r="G204" s="85"/>
      <c r="H204" s="85"/>
      <c r="I204" s="91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2.75" customHeight="1" spans="1:26">
      <c r="A205" s="85"/>
      <c r="B205" s="85"/>
      <c r="C205" s="85"/>
      <c r="D205" s="85"/>
      <c r="E205" s="85"/>
      <c r="F205" s="85"/>
      <c r="G205" s="85"/>
      <c r="H205" s="85"/>
      <c r="I205" s="91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2.75" customHeight="1" spans="1:26">
      <c r="A206" s="85"/>
      <c r="B206" s="85"/>
      <c r="C206" s="85"/>
      <c r="D206" s="85"/>
      <c r="E206" s="85"/>
      <c r="F206" s="85"/>
      <c r="G206" s="85"/>
      <c r="H206" s="85"/>
      <c r="I206" s="91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2.75" customHeight="1" spans="1:26">
      <c r="A207" s="85"/>
      <c r="B207" s="85"/>
      <c r="C207" s="85"/>
      <c r="D207" s="85"/>
      <c r="E207" s="85"/>
      <c r="F207" s="85"/>
      <c r="G207" s="85"/>
      <c r="H207" s="85"/>
      <c r="I207" s="91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2.75" customHeight="1" spans="1:26">
      <c r="A208" s="85"/>
      <c r="B208" s="85"/>
      <c r="C208" s="85"/>
      <c r="D208" s="85"/>
      <c r="E208" s="85"/>
      <c r="F208" s="85"/>
      <c r="G208" s="85"/>
      <c r="H208" s="85"/>
      <c r="I208" s="91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2.75" customHeight="1" spans="1:26">
      <c r="A209" s="85"/>
      <c r="B209" s="85"/>
      <c r="C209" s="85"/>
      <c r="D209" s="85"/>
      <c r="E209" s="85"/>
      <c r="F209" s="85"/>
      <c r="G209" s="85"/>
      <c r="H209" s="85"/>
      <c r="I209" s="91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2.75" customHeight="1" spans="1:26">
      <c r="A210" s="85"/>
      <c r="B210" s="85"/>
      <c r="C210" s="85"/>
      <c r="D210" s="85"/>
      <c r="E210" s="85"/>
      <c r="F210" s="85"/>
      <c r="G210" s="85"/>
      <c r="H210" s="85"/>
      <c r="I210" s="91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2.75" customHeight="1" spans="1:26">
      <c r="A211" s="85"/>
      <c r="B211" s="85"/>
      <c r="C211" s="85"/>
      <c r="D211" s="85"/>
      <c r="E211" s="85"/>
      <c r="F211" s="85"/>
      <c r="G211" s="85"/>
      <c r="H211" s="85"/>
      <c r="I211" s="91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2.75" customHeight="1" spans="1:26">
      <c r="A212" s="85"/>
      <c r="B212" s="85"/>
      <c r="C212" s="85"/>
      <c r="D212" s="85"/>
      <c r="E212" s="85"/>
      <c r="F212" s="85"/>
      <c r="G212" s="85"/>
      <c r="H212" s="85"/>
      <c r="I212" s="91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2.75" customHeight="1" spans="1:26">
      <c r="A213" s="85"/>
      <c r="B213" s="85"/>
      <c r="C213" s="85"/>
      <c r="D213" s="85"/>
      <c r="E213" s="85"/>
      <c r="F213" s="85"/>
      <c r="G213" s="85"/>
      <c r="H213" s="85"/>
      <c r="I213" s="91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2.75" customHeight="1" spans="1:26">
      <c r="A214" s="85"/>
      <c r="B214" s="85"/>
      <c r="C214" s="85"/>
      <c r="D214" s="85"/>
      <c r="E214" s="85"/>
      <c r="F214" s="85"/>
      <c r="G214" s="85"/>
      <c r="H214" s="85"/>
      <c r="I214" s="91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2.75" customHeight="1" spans="1:26">
      <c r="A215" s="85"/>
      <c r="B215" s="85"/>
      <c r="C215" s="85"/>
      <c r="D215" s="85"/>
      <c r="E215" s="85"/>
      <c r="F215" s="85"/>
      <c r="G215" s="85"/>
      <c r="H215" s="85"/>
      <c r="I215" s="91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2.75" customHeight="1" spans="1:26">
      <c r="A216" s="85"/>
      <c r="B216" s="85"/>
      <c r="C216" s="85"/>
      <c r="D216" s="85"/>
      <c r="E216" s="85"/>
      <c r="F216" s="85"/>
      <c r="G216" s="85"/>
      <c r="H216" s="85"/>
      <c r="I216" s="91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2.75" customHeight="1" spans="1:26">
      <c r="A217" s="85"/>
      <c r="B217" s="85"/>
      <c r="C217" s="85"/>
      <c r="D217" s="85"/>
      <c r="E217" s="85"/>
      <c r="F217" s="85"/>
      <c r="G217" s="85"/>
      <c r="H217" s="85"/>
      <c r="I217" s="91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2.75" customHeight="1" spans="1:26">
      <c r="A218" s="85"/>
      <c r="B218" s="85"/>
      <c r="C218" s="85"/>
      <c r="D218" s="85"/>
      <c r="E218" s="85"/>
      <c r="F218" s="85"/>
      <c r="G218" s="85"/>
      <c r="H218" s="85"/>
      <c r="I218" s="91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2.75" customHeight="1" spans="1:26">
      <c r="A219" s="85"/>
      <c r="B219" s="85"/>
      <c r="C219" s="85"/>
      <c r="D219" s="85"/>
      <c r="E219" s="85"/>
      <c r="F219" s="85"/>
      <c r="G219" s="85"/>
      <c r="H219" s="85"/>
      <c r="I219" s="91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2.75" customHeight="1" spans="1:26">
      <c r="A220" s="85"/>
      <c r="B220" s="85"/>
      <c r="C220" s="85"/>
      <c r="D220" s="85"/>
      <c r="E220" s="85"/>
      <c r="F220" s="85"/>
      <c r="G220" s="85"/>
      <c r="H220" s="85"/>
      <c r="I220" s="91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2.75" customHeight="1" spans="1:26">
      <c r="A221" s="85"/>
      <c r="B221" s="85"/>
      <c r="C221" s="85"/>
      <c r="D221" s="85"/>
      <c r="E221" s="85"/>
      <c r="F221" s="85"/>
      <c r="G221" s="85"/>
      <c r="H221" s="85"/>
      <c r="I221" s="91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2.75" customHeight="1" spans="1:26">
      <c r="A222" s="85"/>
      <c r="B222" s="85"/>
      <c r="C222" s="85"/>
      <c r="D222" s="85"/>
      <c r="E222" s="85"/>
      <c r="F222" s="85"/>
      <c r="G222" s="85"/>
      <c r="H222" s="85"/>
      <c r="I222" s="91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2.75" customHeight="1" spans="1:26">
      <c r="A223" s="85"/>
      <c r="B223" s="85"/>
      <c r="C223" s="85"/>
      <c r="D223" s="85"/>
      <c r="E223" s="85"/>
      <c r="F223" s="85"/>
      <c r="G223" s="85"/>
      <c r="H223" s="85"/>
      <c r="I223" s="91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2.75" customHeight="1" spans="1:26">
      <c r="A224" s="85"/>
      <c r="B224" s="85"/>
      <c r="C224" s="85"/>
      <c r="D224" s="85"/>
      <c r="E224" s="85"/>
      <c r="F224" s="85"/>
      <c r="G224" s="85"/>
      <c r="H224" s="85"/>
      <c r="I224" s="91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2.75" customHeight="1" spans="1:26">
      <c r="A225" s="85"/>
      <c r="B225" s="85"/>
      <c r="C225" s="85"/>
      <c r="D225" s="85"/>
      <c r="E225" s="85"/>
      <c r="F225" s="85"/>
      <c r="G225" s="85"/>
      <c r="H225" s="85"/>
      <c r="I225" s="91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2.75" customHeight="1" spans="1:26">
      <c r="A226" s="85"/>
      <c r="B226" s="85"/>
      <c r="C226" s="85"/>
      <c r="D226" s="85"/>
      <c r="E226" s="85"/>
      <c r="F226" s="85"/>
      <c r="G226" s="85"/>
      <c r="H226" s="85"/>
      <c r="I226" s="91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2.75" customHeight="1" spans="1:26">
      <c r="A227" s="85"/>
      <c r="B227" s="85"/>
      <c r="C227" s="85"/>
      <c r="D227" s="85"/>
      <c r="E227" s="85"/>
      <c r="F227" s="85"/>
      <c r="G227" s="85"/>
      <c r="H227" s="85"/>
      <c r="I227" s="91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2.75" customHeight="1" spans="1:26">
      <c r="A228" s="85"/>
      <c r="B228" s="85"/>
      <c r="C228" s="85"/>
      <c r="D228" s="85"/>
      <c r="E228" s="85"/>
      <c r="F228" s="85"/>
      <c r="G228" s="85"/>
      <c r="H228" s="85"/>
      <c r="I228" s="91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2.75" customHeight="1" spans="1:26">
      <c r="A229" s="85"/>
      <c r="B229" s="85"/>
      <c r="C229" s="85"/>
      <c r="D229" s="85"/>
      <c r="E229" s="85"/>
      <c r="F229" s="85"/>
      <c r="G229" s="85"/>
      <c r="H229" s="85"/>
      <c r="I229" s="91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2.75" customHeight="1" spans="1:26">
      <c r="A230" s="85"/>
      <c r="B230" s="85"/>
      <c r="C230" s="85"/>
      <c r="D230" s="85"/>
      <c r="E230" s="85"/>
      <c r="F230" s="85"/>
      <c r="G230" s="85"/>
      <c r="H230" s="85"/>
      <c r="I230" s="91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2.75" customHeight="1" spans="1:26">
      <c r="A231" s="85"/>
      <c r="B231" s="85"/>
      <c r="C231" s="85"/>
      <c r="D231" s="85"/>
      <c r="E231" s="85"/>
      <c r="F231" s="85"/>
      <c r="G231" s="85"/>
      <c r="H231" s="85"/>
      <c r="I231" s="91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2.75" customHeight="1" spans="1:26">
      <c r="A232" s="85"/>
      <c r="B232" s="85"/>
      <c r="C232" s="85"/>
      <c r="D232" s="85"/>
      <c r="E232" s="85"/>
      <c r="F232" s="85"/>
      <c r="G232" s="85"/>
      <c r="H232" s="85"/>
      <c r="I232" s="91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2.75" customHeight="1" spans="1:26">
      <c r="A233" s="85"/>
      <c r="B233" s="85"/>
      <c r="C233" s="85"/>
      <c r="D233" s="85"/>
      <c r="E233" s="85"/>
      <c r="F233" s="85"/>
      <c r="G233" s="85"/>
      <c r="H233" s="85"/>
      <c r="I233" s="91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2.75" customHeight="1" spans="1:26">
      <c r="A234" s="85"/>
      <c r="B234" s="85"/>
      <c r="C234" s="85"/>
      <c r="D234" s="85"/>
      <c r="E234" s="85"/>
      <c r="F234" s="85"/>
      <c r="G234" s="85"/>
      <c r="H234" s="85"/>
      <c r="I234" s="91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2.75" customHeight="1" spans="1:26">
      <c r="A235" s="85"/>
      <c r="B235" s="85"/>
      <c r="C235" s="85"/>
      <c r="D235" s="85"/>
      <c r="E235" s="85"/>
      <c r="F235" s="85"/>
      <c r="G235" s="85"/>
      <c r="H235" s="85"/>
      <c r="I235" s="91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2.75" customHeight="1" spans="1:26">
      <c r="A236" s="85"/>
      <c r="B236" s="85"/>
      <c r="C236" s="85"/>
      <c r="D236" s="85"/>
      <c r="E236" s="85"/>
      <c r="F236" s="85"/>
      <c r="G236" s="85"/>
      <c r="H236" s="85"/>
      <c r="I236" s="91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2.75" customHeight="1" spans="1:26">
      <c r="A237" s="85"/>
      <c r="B237" s="85"/>
      <c r="C237" s="85"/>
      <c r="D237" s="85"/>
      <c r="E237" s="85"/>
      <c r="F237" s="85"/>
      <c r="G237" s="85"/>
      <c r="H237" s="85"/>
      <c r="I237" s="91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2.75" customHeight="1" spans="1:26">
      <c r="A238" s="85"/>
      <c r="B238" s="85"/>
      <c r="C238" s="85"/>
      <c r="D238" s="85"/>
      <c r="E238" s="85"/>
      <c r="F238" s="85"/>
      <c r="G238" s="85"/>
      <c r="H238" s="85"/>
      <c r="I238" s="91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2.75" customHeight="1" spans="1:26">
      <c r="A239" s="85"/>
      <c r="B239" s="85"/>
      <c r="C239" s="85"/>
      <c r="D239" s="85"/>
      <c r="E239" s="85"/>
      <c r="F239" s="85"/>
      <c r="G239" s="85"/>
      <c r="H239" s="85"/>
      <c r="I239" s="91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2.75" customHeight="1" spans="1:26">
      <c r="A240" s="85"/>
      <c r="B240" s="85"/>
      <c r="C240" s="85"/>
      <c r="D240" s="85"/>
      <c r="E240" s="85"/>
      <c r="F240" s="85"/>
      <c r="G240" s="85"/>
      <c r="H240" s="85"/>
      <c r="I240" s="91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2.75" customHeight="1" spans="1:26">
      <c r="A241" s="85"/>
      <c r="B241" s="85"/>
      <c r="C241" s="85"/>
      <c r="D241" s="85"/>
      <c r="E241" s="85"/>
      <c r="F241" s="85"/>
      <c r="G241" s="85"/>
      <c r="H241" s="85"/>
      <c r="I241" s="91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2.75" customHeight="1" spans="1:26">
      <c r="A242" s="85"/>
      <c r="B242" s="85"/>
      <c r="C242" s="85"/>
      <c r="D242" s="85"/>
      <c r="E242" s="85"/>
      <c r="F242" s="85"/>
      <c r="G242" s="85"/>
      <c r="H242" s="85"/>
      <c r="I242" s="91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2.75" customHeight="1" spans="1:26">
      <c r="A243" s="85"/>
      <c r="B243" s="85"/>
      <c r="C243" s="85"/>
      <c r="D243" s="85"/>
      <c r="E243" s="85"/>
      <c r="F243" s="85"/>
      <c r="G243" s="85"/>
      <c r="H243" s="85"/>
      <c r="I243" s="91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2.75" customHeight="1" spans="1:26">
      <c r="A244" s="85"/>
      <c r="B244" s="85"/>
      <c r="C244" s="85"/>
      <c r="D244" s="85"/>
      <c r="E244" s="85"/>
      <c r="F244" s="85"/>
      <c r="G244" s="85"/>
      <c r="H244" s="85"/>
      <c r="I244" s="91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2.75" customHeight="1" spans="1:26">
      <c r="A245" s="85"/>
      <c r="B245" s="85"/>
      <c r="C245" s="85"/>
      <c r="D245" s="85"/>
      <c r="E245" s="85"/>
      <c r="F245" s="85"/>
      <c r="G245" s="85"/>
      <c r="H245" s="85"/>
      <c r="I245" s="91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2.75" customHeight="1" spans="1:26">
      <c r="A246" s="85"/>
      <c r="B246" s="85"/>
      <c r="C246" s="85"/>
      <c r="D246" s="85"/>
      <c r="E246" s="85"/>
      <c r="F246" s="85"/>
      <c r="G246" s="85"/>
      <c r="H246" s="85"/>
      <c r="I246" s="91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2.75" customHeight="1" spans="1:26">
      <c r="A247" s="85"/>
      <c r="B247" s="85"/>
      <c r="C247" s="85"/>
      <c r="D247" s="85"/>
      <c r="E247" s="85"/>
      <c r="F247" s="85"/>
      <c r="G247" s="85"/>
      <c r="H247" s="85"/>
      <c r="I247" s="91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2.75" customHeight="1" spans="1:26">
      <c r="A248" s="85"/>
      <c r="B248" s="85"/>
      <c r="C248" s="85"/>
      <c r="D248" s="85"/>
      <c r="E248" s="85"/>
      <c r="F248" s="85"/>
      <c r="G248" s="85"/>
      <c r="H248" s="85"/>
      <c r="I248" s="91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2.75" customHeight="1" spans="1:26">
      <c r="A249" s="85"/>
      <c r="B249" s="85"/>
      <c r="C249" s="85"/>
      <c r="D249" s="85"/>
      <c r="E249" s="85"/>
      <c r="F249" s="85"/>
      <c r="G249" s="85"/>
      <c r="H249" s="85"/>
      <c r="I249" s="91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2.75" customHeight="1" spans="1:26">
      <c r="A250" s="85"/>
      <c r="B250" s="85"/>
      <c r="C250" s="85"/>
      <c r="D250" s="85"/>
      <c r="E250" s="85"/>
      <c r="F250" s="85"/>
      <c r="G250" s="85"/>
      <c r="H250" s="85"/>
      <c r="I250" s="91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2.75" customHeight="1" spans="1:26">
      <c r="A251" s="85"/>
      <c r="B251" s="85"/>
      <c r="C251" s="85"/>
      <c r="D251" s="85"/>
      <c r="E251" s="85"/>
      <c r="F251" s="85"/>
      <c r="G251" s="85"/>
      <c r="H251" s="85"/>
      <c r="I251" s="91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2.75" customHeight="1" spans="1:26">
      <c r="A252" s="85"/>
      <c r="B252" s="85"/>
      <c r="C252" s="85"/>
      <c r="D252" s="85"/>
      <c r="E252" s="85"/>
      <c r="F252" s="85"/>
      <c r="G252" s="85"/>
      <c r="H252" s="85"/>
      <c r="I252" s="91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2.75" customHeight="1" spans="1:26">
      <c r="A253" s="85"/>
      <c r="B253" s="85"/>
      <c r="C253" s="85"/>
      <c r="D253" s="85"/>
      <c r="E253" s="85"/>
      <c r="F253" s="85"/>
      <c r="G253" s="85"/>
      <c r="H253" s="85"/>
      <c r="I253" s="91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2.75" customHeight="1" spans="1:26">
      <c r="A254" s="85"/>
      <c r="B254" s="85"/>
      <c r="C254" s="85"/>
      <c r="D254" s="85"/>
      <c r="E254" s="85"/>
      <c r="F254" s="85"/>
      <c r="G254" s="85"/>
      <c r="H254" s="85"/>
      <c r="I254" s="91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2.75" customHeight="1" spans="1:26">
      <c r="A255" s="85"/>
      <c r="B255" s="85"/>
      <c r="C255" s="85"/>
      <c r="D255" s="85"/>
      <c r="E255" s="85"/>
      <c r="F255" s="85"/>
      <c r="G255" s="85"/>
      <c r="H255" s="85"/>
      <c r="I255" s="91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2.75" customHeight="1" spans="1:26">
      <c r="A256" s="85"/>
      <c r="B256" s="85"/>
      <c r="C256" s="85"/>
      <c r="D256" s="85"/>
      <c r="E256" s="85"/>
      <c r="F256" s="85"/>
      <c r="G256" s="85"/>
      <c r="H256" s="85"/>
      <c r="I256" s="91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2.75" customHeight="1" spans="1:26">
      <c r="A257" s="85"/>
      <c r="B257" s="85"/>
      <c r="C257" s="85"/>
      <c r="D257" s="85"/>
      <c r="E257" s="85"/>
      <c r="F257" s="85"/>
      <c r="G257" s="85"/>
      <c r="H257" s="85"/>
      <c r="I257" s="91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2.75" customHeight="1" spans="1:26">
      <c r="A258" s="85"/>
      <c r="B258" s="85"/>
      <c r="C258" s="85"/>
      <c r="D258" s="85"/>
      <c r="E258" s="85"/>
      <c r="F258" s="85"/>
      <c r="G258" s="85"/>
      <c r="H258" s="85"/>
      <c r="I258" s="91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2.75" customHeight="1" spans="1:26">
      <c r="A259" s="85"/>
      <c r="B259" s="85"/>
      <c r="C259" s="85"/>
      <c r="D259" s="85"/>
      <c r="E259" s="85"/>
      <c r="F259" s="85"/>
      <c r="G259" s="85"/>
      <c r="H259" s="85"/>
      <c r="I259" s="91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2.75" customHeight="1" spans="1:26">
      <c r="A260" s="85"/>
      <c r="B260" s="85"/>
      <c r="C260" s="85"/>
      <c r="D260" s="85"/>
      <c r="E260" s="85"/>
      <c r="F260" s="85"/>
      <c r="G260" s="85"/>
      <c r="H260" s="85"/>
      <c r="I260" s="91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2.75" customHeight="1" spans="1:26">
      <c r="A261" s="85"/>
      <c r="B261" s="85"/>
      <c r="C261" s="85"/>
      <c r="D261" s="85"/>
      <c r="E261" s="85"/>
      <c r="F261" s="85"/>
      <c r="G261" s="85"/>
      <c r="H261" s="85"/>
      <c r="I261" s="91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2.75" customHeight="1" spans="1:26">
      <c r="A262" s="85"/>
      <c r="B262" s="85"/>
      <c r="C262" s="85"/>
      <c r="D262" s="85"/>
      <c r="E262" s="85"/>
      <c r="F262" s="85"/>
      <c r="G262" s="85"/>
      <c r="H262" s="85"/>
      <c r="I262" s="91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2.75" customHeight="1" spans="1:26">
      <c r="A263" s="85"/>
      <c r="B263" s="85"/>
      <c r="C263" s="85"/>
      <c r="D263" s="85"/>
      <c r="E263" s="85"/>
      <c r="F263" s="85"/>
      <c r="G263" s="85"/>
      <c r="H263" s="85"/>
      <c r="I263" s="91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2.75" customHeight="1" spans="1:26">
      <c r="A264" s="85"/>
      <c r="B264" s="85"/>
      <c r="C264" s="85"/>
      <c r="D264" s="85"/>
      <c r="E264" s="85"/>
      <c r="F264" s="85"/>
      <c r="G264" s="85"/>
      <c r="H264" s="85"/>
      <c r="I264" s="91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2.75" customHeight="1" spans="1:26">
      <c r="A265" s="85"/>
      <c r="B265" s="85"/>
      <c r="C265" s="85"/>
      <c r="D265" s="85"/>
      <c r="E265" s="85"/>
      <c r="F265" s="85"/>
      <c r="G265" s="85"/>
      <c r="H265" s="85"/>
      <c r="I265" s="91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2.75" customHeight="1" spans="1:26">
      <c r="A266" s="85"/>
      <c r="B266" s="85"/>
      <c r="C266" s="85"/>
      <c r="D266" s="85"/>
      <c r="E266" s="85"/>
      <c r="F266" s="85"/>
      <c r="G266" s="85"/>
      <c r="H266" s="85"/>
      <c r="I266" s="91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2.75" customHeight="1" spans="1:26">
      <c r="A267" s="85"/>
      <c r="B267" s="85"/>
      <c r="C267" s="85"/>
      <c r="D267" s="85"/>
      <c r="E267" s="85"/>
      <c r="F267" s="85"/>
      <c r="G267" s="85"/>
      <c r="H267" s="85"/>
      <c r="I267" s="91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2.75" customHeight="1" spans="1:26">
      <c r="A268" s="85"/>
      <c r="B268" s="85"/>
      <c r="C268" s="85"/>
      <c r="D268" s="85"/>
      <c r="E268" s="85"/>
      <c r="F268" s="85"/>
      <c r="G268" s="85"/>
      <c r="H268" s="85"/>
      <c r="I268" s="91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2.75" customHeight="1" spans="1:26">
      <c r="A269" s="85"/>
      <c r="B269" s="85"/>
      <c r="C269" s="85"/>
      <c r="D269" s="85"/>
      <c r="E269" s="85"/>
      <c r="F269" s="85"/>
      <c r="G269" s="85"/>
      <c r="H269" s="85"/>
      <c r="I269" s="91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2.75" customHeight="1" spans="1:26">
      <c r="A270" s="85"/>
      <c r="B270" s="85"/>
      <c r="C270" s="85"/>
      <c r="D270" s="85"/>
      <c r="E270" s="85"/>
      <c r="F270" s="85"/>
      <c r="G270" s="85"/>
      <c r="H270" s="85"/>
      <c r="I270" s="91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2.75" customHeight="1" spans="1:26">
      <c r="A271" s="85"/>
      <c r="B271" s="85"/>
      <c r="C271" s="85"/>
      <c r="D271" s="85"/>
      <c r="E271" s="85"/>
      <c r="F271" s="85"/>
      <c r="G271" s="85"/>
      <c r="H271" s="85"/>
      <c r="I271" s="91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2.75" customHeight="1" spans="1:26">
      <c r="A272" s="85"/>
      <c r="B272" s="85"/>
      <c r="C272" s="85"/>
      <c r="D272" s="85"/>
      <c r="E272" s="85"/>
      <c r="F272" s="85"/>
      <c r="G272" s="85"/>
      <c r="H272" s="85"/>
      <c r="I272" s="91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2.75" customHeight="1" spans="1:26">
      <c r="A273" s="85"/>
      <c r="B273" s="85"/>
      <c r="C273" s="85"/>
      <c r="D273" s="85"/>
      <c r="E273" s="85"/>
      <c r="F273" s="85"/>
      <c r="G273" s="85"/>
      <c r="H273" s="85"/>
      <c r="I273" s="91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2.75" customHeight="1" spans="1:26">
      <c r="A274" s="85"/>
      <c r="B274" s="85"/>
      <c r="C274" s="85"/>
      <c r="D274" s="85"/>
      <c r="E274" s="85"/>
      <c r="F274" s="85"/>
      <c r="G274" s="85"/>
      <c r="H274" s="85"/>
      <c r="I274" s="91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2.75" customHeight="1" spans="1:26">
      <c r="A275" s="85"/>
      <c r="B275" s="85"/>
      <c r="C275" s="85"/>
      <c r="D275" s="85"/>
      <c r="E275" s="85"/>
      <c r="F275" s="85"/>
      <c r="G275" s="85"/>
      <c r="H275" s="85"/>
      <c r="I275" s="91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2.75" customHeight="1" spans="1:26">
      <c r="A276" s="85"/>
      <c r="B276" s="85"/>
      <c r="C276" s="85"/>
      <c r="D276" s="85"/>
      <c r="E276" s="85"/>
      <c r="F276" s="85"/>
      <c r="G276" s="85"/>
      <c r="H276" s="85"/>
      <c r="I276" s="91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2.75" customHeight="1" spans="1:26">
      <c r="A277" s="85"/>
      <c r="B277" s="85"/>
      <c r="C277" s="85"/>
      <c r="D277" s="85"/>
      <c r="E277" s="85"/>
      <c r="F277" s="85"/>
      <c r="G277" s="85"/>
      <c r="H277" s="85"/>
      <c r="I277" s="91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2.75" customHeight="1" spans="1:26">
      <c r="A278" s="85"/>
      <c r="B278" s="85"/>
      <c r="C278" s="85"/>
      <c r="D278" s="85"/>
      <c r="E278" s="85"/>
      <c r="F278" s="85"/>
      <c r="G278" s="85"/>
      <c r="H278" s="85"/>
      <c r="I278" s="91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2.75" customHeight="1" spans="1:26">
      <c r="A279" s="85"/>
      <c r="B279" s="85"/>
      <c r="C279" s="85"/>
      <c r="D279" s="85"/>
      <c r="E279" s="85"/>
      <c r="F279" s="85"/>
      <c r="G279" s="85"/>
      <c r="H279" s="85"/>
      <c r="I279" s="91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2.75" customHeight="1" spans="1:26">
      <c r="A280" s="85"/>
      <c r="B280" s="85"/>
      <c r="C280" s="85"/>
      <c r="D280" s="85"/>
      <c r="E280" s="85"/>
      <c r="F280" s="85"/>
      <c r="G280" s="85"/>
      <c r="H280" s="85"/>
      <c r="I280" s="91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2.75" customHeight="1" spans="1:26">
      <c r="A281" s="85"/>
      <c r="B281" s="85"/>
      <c r="C281" s="85"/>
      <c r="D281" s="85"/>
      <c r="E281" s="85"/>
      <c r="F281" s="85"/>
      <c r="G281" s="85"/>
      <c r="H281" s="85"/>
      <c r="I281" s="91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2.75" customHeight="1" spans="1:26">
      <c r="A282" s="85"/>
      <c r="B282" s="85"/>
      <c r="C282" s="85"/>
      <c r="D282" s="85"/>
      <c r="E282" s="85"/>
      <c r="F282" s="85"/>
      <c r="G282" s="85"/>
      <c r="H282" s="85"/>
      <c r="I282" s="91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2.75" customHeight="1" spans="1:26">
      <c r="A283" s="85"/>
      <c r="B283" s="85"/>
      <c r="C283" s="85"/>
      <c r="D283" s="85"/>
      <c r="E283" s="85"/>
      <c r="F283" s="85"/>
      <c r="G283" s="85"/>
      <c r="H283" s="85"/>
      <c r="I283" s="91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2.75" customHeight="1" spans="1:26">
      <c r="A284" s="85"/>
      <c r="B284" s="85"/>
      <c r="C284" s="85"/>
      <c r="D284" s="85"/>
      <c r="E284" s="85"/>
      <c r="F284" s="85"/>
      <c r="G284" s="85"/>
      <c r="H284" s="85"/>
      <c r="I284" s="91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2.75" customHeight="1" spans="1:26">
      <c r="A285" s="85"/>
      <c r="B285" s="85"/>
      <c r="C285" s="85"/>
      <c r="D285" s="85"/>
      <c r="E285" s="85"/>
      <c r="F285" s="85"/>
      <c r="G285" s="85"/>
      <c r="H285" s="85"/>
      <c r="I285" s="91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2.75" customHeight="1" spans="1:26">
      <c r="A286" s="85"/>
      <c r="B286" s="85"/>
      <c r="C286" s="85"/>
      <c r="D286" s="85"/>
      <c r="E286" s="85"/>
      <c r="F286" s="85"/>
      <c r="G286" s="85"/>
      <c r="H286" s="85"/>
      <c r="I286" s="91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2.75" customHeight="1" spans="1:26">
      <c r="A287" s="85"/>
      <c r="B287" s="85"/>
      <c r="C287" s="85"/>
      <c r="D287" s="85"/>
      <c r="E287" s="85"/>
      <c r="F287" s="85"/>
      <c r="G287" s="85"/>
      <c r="H287" s="85"/>
      <c r="I287" s="91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2.75" customHeight="1" spans="1:26">
      <c r="A288" s="85"/>
      <c r="B288" s="85"/>
      <c r="C288" s="85"/>
      <c r="D288" s="85"/>
      <c r="E288" s="85"/>
      <c r="F288" s="85"/>
      <c r="G288" s="85"/>
      <c r="H288" s="85"/>
      <c r="I288" s="91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2.75" customHeight="1" spans="1:26">
      <c r="A289" s="85"/>
      <c r="B289" s="85"/>
      <c r="C289" s="85"/>
      <c r="D289" s="85"/>
      <c r="E289" s="85"/>
      <c r="F289" s="85"/>
      <c r="G289" s="85"/>
      <c r="H289" s="85"/>
      <c r="I289" s="91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2.75" customHeight="1" spans="1:26">
      <c r="A290" s="85"/>
      <c r="B290" s="85"/>
      <c r="C290" s="85"/>
      <c r="D290" s="85"/>
      <c r="E290" s="85"/>
      <c r="F290" s="85"/>
      <c r="G290" s="85"/>
      <c r="H290" s="85"/>
      <c r="I290" s="91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2.75" customHeight="1" spans="1:26">
      <c r="A291" s="85"/>
      <c r="B291" s="85"/>
      <c r="C291" s="85"/>
      <c r="D291" s="85"/>
      <c r="E291" s="85"/>
      <c r="F291" s="85"/>
      <c r="G291" s="85"/>
      <c r="H291" s="85"/>
      <c r="I291" s="91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2.75" customHeight="1" spans="1:26">
      <c r="A292" s="85"/>
      <c r="B292" s="85"/>
      <c r="C292" s="85"/>
      <c r="D292" s="85"/>
      <c r="E292" s="85"/>
      <c r="F292" s="85"/>
      <c r="G292" s="85"/>
      <c r="H292" s="85"/>
      <c r="I292" s="91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2.75" customHeight="1" spans="1:26">
      <c r="A293" s="85"/>
      <c r="B293" s="85"/>
      <c r="C293" s="85"/>
      <c r="D293" s="85"/>
      <c r="E293" s="85"/>
      <c r="F293" s="85"/>
      <c r="G293" s="85"/>
      <c r="H293" s="85"/>
      <c r="I293" s="91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2.75" customHeight="1" spans="1:26">
      <c r="A294" s="85"/>
      <c r="B294" s="85"/>
      <c r="C294" s="85"/>
      <c r="D294" s="85"/>
      <c r="E294" s="85"/>
      <c r="F294" s="85"/>
      <c r="G294" s="85"/>
      <c r="H294" s="85"/>
      <c r="I294" s="91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2.75" customHeight="1" spans="1:26">
      <c r="A295" s="85"/>
      <c r="B295" s="85"/>
      <c r="C295" s="85"/>
      <c r="D295" s="85"/>
      <c r="E295" s="85"/>
      <c r="F295" s="85"/>
      <c r="G295" s="85"/>
      <c r="H295" s="85"/>
      <c r="I295" s="91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2.75" customHeight="1" spans="1:26">
      <c r="A296" s="85"/>
      <c r="B296" s="85"/>
      <c r="C296" s="85"/>
      <c r="D296" s="85"/>
      <c r="E296" s="85"/>
      <c r="F296" s="85"/>
      <c r="G296" s="85"/>
      <c r="H296" s="85"/>
      <c r="I296" s="91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2.75" customHeight="1" spans="1:26">
      <c r="A297" s="85"/>
      <c r="B297" s="85"/>
      <c r="C297" s="85"/>
      <c r="D297" s="85"/>
      <c r="E297" s="85"/>
      <c r="F297" s="85"/>
      <c r="G297" s="85"/>
      <c r="H297" s="85"/>
      <c r="I297" s="91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2.75" customHeight="1" spans="1:26">
      <c r="A298" s="85"/>
      <c r="B298" s="85"/>
      <c r="C298" s="85"/>
      <c r="D298" s="85"/>
      <c r="E298" s="85"/>
      <c r="F298" s="85"/>
      <c r="G298" s="85"/>
      <c r="H298" s="85"/>
      <c r="I298" s="91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2.75" customHeight="1" spans="1:26">
      <c r="A299" s="85"/>
      <c r="B299" s="85"/>
      <c r="C299" s="85"/>
      <c r="D299" s="85"/>
      <c r="E299" s="85"/>
      <c r="F299" s="85"/>
      <c r="G299" s="85"/>
      <c r="H299" s="85"/>
      <c r="I299" s="91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2.75" customHeight="1" spans="1:26">
      <c r="A300" s="85"/>
      <c r="B300" s="85"/>
      <c r="C300" s="85"/>
      <c r="D300" s="85"/>
      <c r="E300" s="85"/>
      <c r="F300" s="85"/>
      <c r="G300" s="85"/>
      <c r="H300" s="85"/>
      <c r="I300" s="91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2.75" customHeight="1" spans="1:26">
      <c r="A301" s="85"/>
      <c r="B301" s="85"/>
      <c r="C301" s="85"/>
      <c r="D301" s="85"/>
      <c r="E301" s="85"/>
      <c r="F301" s="85"/>
      <c r="G301" s="85"/>
      <c r="H301" s="85"/>
      <c r="I301" s="91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2.75" customHeight="1" spans="1:26">
      <c r="A302" s="85"/>
      <c r="B302" s="85"/>
      <c r="C302" s="85"/>
      <c r="D302" s="85"/>
      <c r="E302" s="85"/>
      <c r="F302" s="85"/>
      <c r="G302" s="85"/>
      <c r="H302" s="85"/>
      <c r="I302" s="91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2.75" customHeight="1" spans="1:26">
      <c r="A303" s="85"/>
      <c r="B303" s="85"/>
      <c r="C303" s="85"/>
      <c r="D303" s="85"/>
      <c r="E303" s="85"/>
      <c r="F303" s="85"/>
      <c r="G303" s="85"/>
      <c r="H303" s="85"/>
      <c r="I303" s="91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2.75" customHeight="1" spans="1:26">
      <c r="A304" s="85"/>
      <c r="B304" s="85"/>
      <c r="C304" s="85"/>
      <c r="D304" s="85"/>
      <c r="E304" s="85"/>
      <c r="F304" s="85"/>
      <c r="G304" s="85"/>
      <c r="H304" s="85"/>
      <c r="I304" s="91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2.75" customHeight="1" spans="1:26">
      <c r="A305" s="85"/>
      <c r="B305" s="85"/>
      <c r="C305" s="85"/>
      <c r="D305" s="85"/>
      <c r="E305" s="85"/>
      <c r="F305" s="85"/>
      <c r="G305" s="85"/>
      <c r="H305" s="85"/>
      <c r="I305" s="91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2.75" customHeight="1" spans="1:26">
      <c r="A306" s="85"/>
      <c r="B306" s="85"/>
      <c r="C306" s="85"/>
      <c r="D306" s="85"/>
      <c r="E306" s="85"/>
      <c r="F306" s="85"/>
      <c r="G306" s="85"/>
      <c r="H306" s="85"/>
      <c r="I306" s="91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2.75" customHeight="1" spans="1:26">
      <c r="A307" s="85"/>
      <c r="B307" s="85"/>
      <c r="C307" s="85"/>
      <c r="D307" s="85"/>
      <c r="E307" s="85"/>
      <c r="F307" s="85"/>
      <c r="G307" s="85"/>
      <c r="H307" s="85"/>
      <c r="I307" s="91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2.75" customHeight="1" spans="1:26">
      <c r="A308" s="85"/>
      <c r="B308" s="85"/>
      <c r="C308" s="85"/>
      <c r="D308" s="85"/>
      <c r="E308" s="85"/>
      <c r="F308" s="85"/>
      <c r="G308" s="85"/>
      <c r="H308" s="85"/>
      <c r="I308" s="91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2.75" customHeight="1" spans="1:26">
      <c r="A309" s="85"/>
      <c r="B309" s="85"/>
      <c r="C309" s="85"/>
      <c r="D309" s="85"/>
      <c r="E309" s="85"/>
      <c r="F309" s="85"/>
      <c r="G309" s="85"/>
      <c r="H309" s="85"/>
      <c r="I309" s="91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2.75" customHeight="1" spans="1:26">
      <c r="A310" s="85"/>
      <c r="B310" s="85"/>
      <c r="C310" s="85"/>
      <c r="D310" s="85"/>
      <c r="E310" s="85"/>
      <c r="F310" s="85"/>
      <c r="G310" s="85"/>
      <c r="H310" s="85"/>
      <c r="I310" s="91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2.75" customHeight="1" spans="1:26">
      <c r="A311" s="85"/>
      <c r="B311" s="85"/>
      <c r="C311" s="85"/>
      <c r="D311" s="85"/>
      <c r="E311" s="85"/>
      <c r="F311" s="85"/>
      <c r="G311" s="85"/>
      <c r="H311" s="85"/>
      <c r="I311" s="91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2.75" customHeight="1" spans="1:26">
      <c r="A312" s="85"/>
      <c r="B312" s="85"/>
      <c r="C312" s="85"/>
      <c r="D312" s="85"/>
      <c r="E312" s="85"/>
      <c r="F312" s="85"/>
      <c r="G312" s="85"/>
      <c r="H312" s="85"/>
      <c r="I312" s="91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2.75" customHeight="1" spans="1:26">
      <c r="A313" s="85"/>
      <c r="B313" s="85"/>
      <c r="C313" s="85"/>
      <c r="D313" s="85"/>
      <c r="E313" s="85"/>
      <c r="F313" s="85"/>
      <c r="G313" s="85"/>
      <c r="H313" s="85"/>
      <c r="I313" s="91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2.75" customHeight="1" spans="1:26">
      <c r="A314" s="85"/>
      <c r="B314" s="85"/>
      <c r="C314" s="85"/>
      <c r="D314" s="85"/>
      <c r="E314" s="85"/>
      <c r="F314" s="85"/>
      <c r="G314" s="85"/>
      <c r="H314" s="85"/>
      <c r="I314" s="91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2.75" customHeight="1" spans="1:26">
      <c r="A315" s="85"/>
      <c r="B315" s="85"/>
      <c r="C315" s="85"/>
      <c r="D315" s="85"/>
      <c r="E315" s="85"/>
      <c r="F315" s="85"/>
      <c r="G315" s="85"/>
      <c r="H315" s="85"/>
      <c r="I315" s="91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2.75" customHeight="1" spans="1:26">
      <c r="A316" s="85"/>
      <c r="B316" s="85"/>
      <c r="C316" s="85"/>
      <c r="D316" s="85"/>
      <c r="E316" s="85"/>
      <c r="F316" s="85"/>
      <c r="G316" s="85"/>
      <c r="H316" s="85"/>
      <c r="I316" s="91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2.75" customHeight="1" spans="1:26">
      <c r="A317" s="85"/>
      <c r="B317" s="85"/>
      <c r="C317" s="85"/>
      <c r="D317" s="85"/>
      <c r="E317" s="85"/>
      <c r="F317" s="85"/>
      <c r="G317" s="85"/>
      <c r="H317" s="85"/>
      <c r="I317" s="91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2.75" customHeight="1" spans="1:26">
      <c r="A318" s="85"/>
      <c r="B318" s="85"/>
      <c r="C318" s="85"/>
      <c r="D318" s="85"/>
      <c r="E318" s="85"/>
      <c r="F318" s="85"/>
      <c r="G318" s="85"/>
      <c r="H318" s="85"/>
      <c r="I318" s="91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2.75" customHeight="1" spans="1:26">
      <c r="A319" s="85"/>
      <c r="B319" s="85"/>
      <c r="C319" s="85"/>
      <c r="D319" s="85"/>
      <c r="E319" s="85"/>
      <c r="F319" s="85"/>
      <c r="G319" s="85"/>
      <c r="H319" s="85"/>
      <c r="I319" s="91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2.75" customHeight="1" spans="1:26">
      <c r="A320" s="85"/>
      <c r="B320" s="85"/>
      <c r="C320" s="85"/>
      <c r="D320" s="85"/>
      <c r="E320" s="85"/>
      <c r="F320" s="85"/>
      <c r="G320" s="85"/>
      <c r="H320" s="85"/>
      <c r="I320" s="91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2.75" customHeight="1" spans="1:26">
      <c r="A321" s="85"/>
      <c r="B321" s="85"/>
      <c r="C321" s="85"/>
      <c r="D321" s="85"/>
      <c r="E321" s="85"/>
      <c r="F321" s="85"/>
      <c r="G321" s="85"/>
      <c r="H321" s="85"/>
      <c r="I321" s="91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2.75" customHeight="1" spans="1:26">
      <c r="A322" s="85"/>
      <c r="B322" s="85"/>
      <c r="C322" s="85"/>
      <c r="D322" s="85"/>
      <c r="E322" s="85"/>
      <c r="F322" s="85"/>
      <c r="G322" s="85"/>
      <c r="H322" s="85"/>
      <c r="I322" s="91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2.75" customHeight="1" spans="1:26">
      <c r="A323" s="85"/>
      <c r="B323" s="85"/>
      <c r="C323" s="85"/>
      <c r="D323" s="85"/>
      <c r="E323" s="85"/>
      <c r="F323" s="85"/>
      <c r="G323" s="85"/>
      <c r="H323" s="85"/>
      <c r="I323" s="91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2.75" customHeight="1" spans="1:26">
      <c r="A324" s="85"/>
      <c r="B324" s="85"/>
      <c r="C324" s="85"/>
      <c r="D324" s="85"/>
      <c r="E324" s="85"/>
      <c r="F324" s="85"/>
      <c r="G324" s="85"/>
      <c r="H324" s="85"/>
      <c r="I324" s="91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2.75" customHeight="1" spans="1:26">
      <c r="A325" s="85"/>
      <c r="B325" s="85"/>
      <c r="C325" s="85"/>
      <c r="D325" s="85"/>
      <c r="E325" s="85"/>
      <c r="F325" s="85"/>
      <c r="G325" s="85"/>
      <c r="H325" s="85"/>
      <c r="I325" s="91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2.75" customHeight="1" spans="1:26">
      <c r="A326" s="85"/>
      <c r="B326" s="85"/>
      <c r="C326" s="85"/>
      <c r="D326" s="85"/>
      <c r="E326" s="85"/>
      <c r="F326" s="85"/>
      <c r="G326" s="85"/>
      <c r="H326" s="85"/>
      <c r="I326" s="91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2.75" customHeight="1" spans="1:26">
      <c r="A327" s="85"/>
      <c r="B327" s="85"/>
      <c r="C327" s="85"/>
      <c r="D327" s="85"/>
      <c r="E327" s="85"/>
      <c r="F327" s="85"/>
      <c r="G327" s="85"/>
      <c r="H327" s="85"/>
      <c r="I327" s="91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2.75" customHeight="1" spans="1:26">
      <c r="A328" s="85"/>
      <c r="B328" s="85"/>
      <c r="C328" s="85"/>
      <c r="D328" s="85"/>
      <c r="E328" s="85"/>
      <c r="F328" s="85"/>
      <c r="G328" s="85"/>
      <c r="H328" s="85"/>
      <c r="I328" s="91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2.75" customHeight="1" spans="1:26">
      <c r="A329" s="85"/>
      <c r="B329" s="85"/>
      <c r="C329" s="85"/>
      <c r="D329" s="85"/>
      <c r="E329" s="85"/>
      <c r="F329" s="85"/>
      <c r="G329" s="85"/>
      <c r="H329" s="85"/>
      <c r="I329" s="91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2.75" customHeight="1" spans="1:26">
      <c r="A330" s="85"/>
      <c r="B330" s="85"/>
      <c r="C330" s="85"/>
      <c r="D330" s="85"/>
      <c r="E330" s="85"/>
      <c r="F330" s="85"/>
      <c r="G330" s="85"/>
      <c r="H330" s="85"/>
      <c r="I330" s="91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2.75" customHeight="1" spans="1:26">
      <c r="A331" s="85"/>
      <c r="B331" s="85"/>
      <c r="C331" s="85"/>
      <c r="D331" s="85"/>
      <c r="E331" s="85"/>
      <c r="F331" s="85"/>
      <c r="G331" s="85"/>
      <c r="H331" s="85"/>
      <c r="I331" s="91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2.75" customHeight="1" spans="1:26">
      <c r="A332" s="85"/>
      <c r="B332" s="85"/>
      <c r="C332" s="85"/>
      <c r="D332" s="85"/>
      <c r="E332" s="85"/>
      <c r="F332" s="85"/>
      <c r="G332" s="85"/>
      <c r="H332" s="85"/>
      <c r="I332" s="91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2.75" customHeight="1" spans="1:26">
      <c r="A333" s="85"/>
      <c r="B333" s="85"/>
      <c r="C333" s="85"/>
      <c r="D333" s="85"/>
      <c r="E333" s="85"/>
      <c r="F333" s="85"/>
      <c r="G333" s="85"/>
      <c r="H333" s="85"/>
      <c r="I333" s="91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2.75" customHeight="1" spans="1:26">
      <c r="A334" s="85"/>
      <c r="B334" s="85"/>
      <c r="C334" s="85"/>
      <c r="D334" s="85"/>
      <c r="E334" s="85"/>
      <c r="F334" s="85"/>
      <c r="G334" s="85"/>
      <c r="H334" s="85"/>
      <c r="I334" s="91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2.75" customHeight="1" spans="1:26">
      <c r="A335" s="85"/>
      <c r="B335" s="85"/>
      <c r="C335" s="85"/>
      <c r="D335" s="85"/>
      <c r="E335" s="85"/>
      <c r="F335" s="85"/>
      <c r="G335" s="85"/>
      <c r="H335" s="85"/>
      <c r="I335" s="91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2.75" customHeight="1" spans="1:26">
      <c r="A336" s="85"/>
      <c r="B336" s="85"/>
      <c r="C336" s="85"/>
      <c r="D336" s="85"/>
      <c r="E336" s="85"/>
      <c r="F336" s="85"/>
      <c r="G336" s="85"/>
      <c r="H336" s="85"/>
      <c r="I336" s="91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2.75" customHeight="1" spans="1:26">
      <c r="A337" s="85"/>
      <c r="B337" s="85"/>
      <c r="C337" s="85"/>
      <c r="D337" s="85"/>
      <c r="E337" s="85"/>
      <c r="F337" s="85"/>
      <c r="G337" s="85"/>
      <c r="H337" s="85"/>
      <c r="I337" s="91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2.75" customHeight="1" spans="1:26">
      <c r="A338" s="85"/>
      <c r="B338" s="85"/>
      <c r="C338" s="85"/>
      <c r="D338" s="85"/>
      <c r="E338" s="85"/>
      <c r="F338" s="85"/>
      <c r="G338" s="85"/>
      <c r="H338" s="85"/>
      <c r="I338" s="91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2.75" customHeight="1" spans="1:26">
      <c r="A339" s="85"/>
      <c r="B339" s="85"/>
      <c r="C339" s="85"/>
      <c r="D339" s="85"/>
      <c r="E339" s="85"/>
      <c r="F339" s="85"/>
      <c r="G339" s="85"/>
      <c r="H339" s="85"/>
      <c r="I339" s="91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2.75" customHeight="1" spans="1:26">
      <c r="A340" s="85"/>
      <c r="B340" s="85"/>
      <c r="C340" s="85"/>
      <c r="D340" s="85"/>
      <c r="E340" s="85"/>
      <c r="F340" s="85"/>
      <c r="G340" s="85"/>
      <c r="H340" s="85"/>
      <c r="I340" s="91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2.75" customHeight="1" spans="1:26">
      <c r="A341" s="85"/>
      <c r="B341" s="85"/>
      <c r="C341" s="85"/>
      <c r="D341" s="85"/>
      <c r="E341" s="85"/>
      <c r="F341" s="85"/>
      <c r="G341" s="85"/>
      <c r="H341" s="85"/>
      <c r="I341" s="91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2.75" customHeight="1" spans="1:26">
      <c r="A342" s="85"/>
      <c r="B342" s="85"/>
      <c r="C342" s="85"/>
      <c r="D342" s="85"/>
      <c r="E342" s="85"/>
      <c r="F342" s="85"/>
      <c r="G342" s="85"/>
      <c r="H342" s="85"/>
      <c r="I342" s="91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2.75" customHeight="1" spans="1:26">
      <c r="A343" s="85"/>
      <c r="B343" s="85"/>
      <c r="C343" s="85"/>
      <c r="D343" s="85"/>
      <c r="E343" s="85"/>
      <c r="F343" s="85"/>
      <c r="G343" s="85"/>
      <c r="H343" s="85"/>
      <c r="I343" s="91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2.75" customHeight="1" spans="1:26">
      <c r="A344" s="85"/>
      <c r="B344" s="85"/>
      <c r="C344" s="85"/>
      <c r="D344" s="85"/>
      <c r="E344" s="85"/>
      <c r="F344" s="85"/>
      <c r="G344" s="85"/>
      <c r="H344" s="85"/>
      <c r="I344" s="91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2.75" customHeight="1" spans="1:26">
      <c r="A345" s="85"/>
      <c r="B345" s="85"/>
      <c r="C345" s="85"/>
      <c r="D345" s="85"/>
      <c r="E345" s="85"/>
      <c r="F345" s="85"/>
      <c r="G345" s="85"/>
      <c r="H345" s="85"/>
      <c r="I345" s="91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2.75" customHeight="1" spans="1:26">
      <c r="A346" s="85"/>
      <c r="B346" s="85"/>
      <c r="C346" s="85"/>
      <c r="D346" s="85"/>
      <c r="E346" s="85"/>
      <c r="F346" s="85"/>
      <c r="G346" s="85"/>
      <c r="H346" s="85"/>
      <c r="I346" s="91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2.75" customHeight="1" spans="1:26">
      <c r="A347" s="85"/>
      <c r="B347" s="85"/>
      <c r="C347" s="85"/>
      <c r="D347" s="85"/>
      <c r="E347" s="85"/>
      <c r="F347" s="85"/>
      <c r="G347" s="85"/>
      <c r="H347" s="85"/>
      <c r="I347" s="91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2.75" customHeight="1" spans="1:26">
      <c r="A348" s="85"/>
      <c r="B348" s="85"/>
      <c r="C348" s="85"/>
      <c r="D348" s="85"/>
      <c r="E348" s="85"/>
      <c r="F348" s="85"/>
      <c r="G348" s="85"/>
      <c r="H348" s="85"/>
      <c r="I348" s="91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2.75" customHeight="1" spans="1:26">
      <c r="A349" s="85"/>
      <c r="B349" s="85"/>
      <c r="C349" s="85"/>
      <c r="D349" s="85"/>
      <c r="E349" s="85"/>
      <c r="F349" s="85"/>
      <c r="G349" s="85"/>
      <c r="H349" s="85"/>
      <c r="I349" s="91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2.75" customHeight="1" spans="1:26">
      <c r="A350" s="85"/>
      <c r="B350" s="85"/>
      <c r="C350" s="85"/>
      <c r="D350" s="85"/>
      <c r="E350" s="85"/>
      <c r="F350" s="85"/>
      <c r="G350" s="85"/>
      <c r="H350" s="85"/>
      <c r="I350" s="91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2.75" customHeight="1" spans="1:26">
      <c r="A351" s="85"/>
      <c r="B351" s="85"/>
      <c r="C351" s="85"/>
      <c r="D351" s="85"/>
      <c r="E351" s="85"/>
      <c r="F351" s="85"/>
      <c r="G351" s="85"/>
      <c r="H351" s="85"/>
      <c r="I351" s="91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2.75" customHeight="1" spans="1:26">
      <c r="A352" s="85"/>
      <c r="B352" s="85"/>
      <c r="C352" s="85"/>
      <c r="D352" s="85"/>
      <c r="E352" s="85"/>
      <c r="F352" s="85"/>
      <c r="G352" s="85"/>
      <c r="H352" s="85"/>
      <c r="I352" s="91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2.75" customHeight="1" spans="1:26">
      <c r="A353" s="85"/>
      <c r="B353" s="85"/>
      <c r="C353" s="85"/>
      <c r="D353" s="85"/>
      <c r="E353" s="85"/>
      <c r="F353" s="85"/>
      <c r="G353" s="85"/>
      <c r="H353" s="85"/>
      <c r="I353" s="91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2.75" customHeight="1" spans="1:26">
      <c r="A354" s="85"/>
      <c r="B354" s="85"/>
      <c r="C354" s="85"/>
      <c r="D354" s="85"/>
      <c r="E354" s="85"/>
      <c r="F354" s="85"/>
      <c r="G354" s="85"/>
      <c r="H354" s="85"/>
      <c r="I354" s="91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2.75" customHeight="1" spans="1:26">
      <c r="A355" s="85"/>
      <c r="B355" s="85"/>
      <c r="C355" s="85"/>
      <c r="D355" s="85"/>
      <c r="E355" s="85"/>
      <c r="F355" s="85"/>
      <c r="G355" s="85"/>
      <c r="H355" s="85"/>
      <c r="I355" s="91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2.75" customHeight="1" spans="1:26">
      <c r="A356" s="85"/>
      <c r="B356" s="85"/>
      <c r="C356" s="85"/>
      <c r="D356" s="85"/>
      <c r="E356" s="85"/>
      <c r="F356" s="85"/>
      <c r="G356" s="85"/>
      <c r="H356" s="85"/>
      <c r="I356" s="91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2.75" customHeight="1" spans="1:26">
      <c r="A357" s="85"/>
      <c r="B357" s="85"/>
      <c r="C357" s="85"/>
      <c r="D357" s="85"/>
      <c r="E357" s="85"/>
      <c r="F357" s="85"/>
      <c r="G357" s="85"/>
      <c r="H357" s="85"/>
      <c r="I357" s="91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2.75" customHeight="1" spans="1:26">
      <c r="A358" s="85"/>
      <c r="B358" s="85"/>
      <c r="C358" s="85"/>
      <c r="D358" s="85"/>
      <c r="E358" s="85"/>
      <c r="F358" s="85"/>
      <c r="G358" s="85"/>
      <c r="H358" s="85"/>
      <c r="I358" s="91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2.75" customHeight="1" spans="1:26">
      <c r="A359" s="85"/>
      <c r="B359" s="85"/>
      <c r="C359" s="85"/>
      <c r="D359" s="85"/>
      <c r="E359" s="85"/>
      <c r="F359" s="85"/>
      <c r="G359" s="85"/>
      <c r="H359" s="85"/>
      <c r="I359" s="91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2.75" customHeight="1" spans="1:26">
      <c r="A360" s="85"/>
      <c r="B360" s="85"/>
      <c r="C360" s="85"/>
      <c r="D360" s="85"/>
      <c r="E360" s="85"/>
      <c r="F360" s="85"/>
      <c r="G360" s="85"/>
      <c r="H360" s="85"/>
      <c r="I360" s="91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2.75" customHeight="1" spans="1:26">
      <c r="A361" s="85"/>
      <c r="B361" s="85"/>
      <c r="C361" s="85"/>
      <c r="D361" s="85"/>
      <c r="E361" s="85"/>
      <c r="F361" s="85"/>
      <c r="G361" s="85"/>
      <c r="H361" s="85"/>
      <c r="I361" s="91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2.75" customHeight="1" spans="1:26">
      <c r="A362" s="85"/>
      <c r="B362" s="85"/>
      <c r="C362" s="85"/>
      <c r="D362" s="85"/>
      <c r="E362" s="85"/>
      <c r="F362" s="85"/>
      <c r="G362" s="85"/>
      <c r="H362" s="85"/>
      <c r="I362" s="91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2.75" customHeight="1" spans="1:26">
      <c r="A363" s="85"/>
      <c r="B363" s="85"/>
      <c r="C363" s="85"/>
      <c r="D363" s="85"/>
      <c r="E363" s="85"/>
      <c r="F363" s="85"/>
      <c r="G363" s="85"/>
      <c r="H363" s="85"/>
      <c r="I363" s="91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2.75" customHeight="1" spans="1:26">
      <c r="A364" s="85"/>
      <c r="B364" s="85"/>
      <c r="C364" s="85"/>
      <c r="D364" s="85"/>
      <c r="E364" s="85"/>
      <c r="F364" s="85"/>
      <c r="G364" s="85"/>
      <c r="H364" s="85"/>
      <c r="I364" s="91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2.75" customHeight="1" spans="1:26">
      <c r="A365" s="85"/>
      <c r="B365" s="85"/>
      <c r="C365" s="85"/>
      <c r="D365" s="85"/>
      <c r="E365" s="85"/>
      <c r="F365" s="85"/>
      <c r="G365" s="85"/>
      <c r="H365" s="85"/>
      <c r="I365" s="91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2.75" customHeight="1" spans="1:26">
      <c r="A366" s="85"/>
      <c r="B366" s="85"/>
      <c r="C366" s="85"/>
      <c r="D366" s="85"/>
      <c r="E366" s="85"/>
      <c r="F366" s="85"/>
      <c r="G366" s="85"/>
      <c r="H366" s="85"/>
      <c r="I366" s="91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2.75" customHeight="1" spans="1:26">
      <c r="A367" s="85"/>
      <c r="B367" s="85"/>
      <c r="C367" s="85"/>
      <c r="D367" s="85"/>
      <c r="E367" s="85"/>
      <c r="F367" s="85"/>
      <c r="G367" s="85"/>
      <c r="H367" s="85"/>
      <c r="I367" s="91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2.75" customHeight="1" spans="1:26">
      <c r="A368" s="85"/>
      <c r="B368" s="85"/>
      <c r="C368" s="85"/>
      <c r="D368" s="85"/>
      <c r="E368" s="85"/>
      <c r="F368" s="85"/>
      <c r="G368" s="85"/>
      <c r="H368" s="85"/>
      <c r="I368" s="91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2.75" customHeight="1" spans="1:26">
      <c r="A369" s="85"/>
      <c r="B369" s="85"/>
      <c r="C369" s="85"/>
      <c r="D369" s="85"/>
      <c r="E369" s="85"/>
      <c r="F369" s="85"/>
      <c r="G369" s="85"/>
      <c r="H369" s="85"/>
      <c r="I369" s="91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2.75" customHeight="1" spans="1:26">
      <c r="A370" s="85"/>
      <c r="B370" s="85"/>
      <c r="C370" s="85"/>
      <c r="D370" s="85"/>
      <c r="E370" s="85"/>
      <c r="F370" s="85"/>
      <c r="G370" s="85"/>
      <c r="H370" s="85"/>
      <c r="I370" s="91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2.75" customHeight="1" spans="1:26">
      <c r="A371" s="85"/>
      <c r="B371" s="85"/>
      <c r="C371" s="85"/>
      <c r="D371" s="85"/>
      <c r="E371" s="85"/>
      <c r="F371" s="85"/>
      <c r="G371" s="85"/>
      <c r="H371" s="85"/>
      <c r="I371" s="91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2.75" customHeight="1" spans="1:26">
      <c r="A372" s="85"/>
      <c r="B372" s="85"/>
      <c r="C372" s="85"/>
      <c r="D372" s="85"/>
      <c r="E372" s="85"/>
      <c r="F372" s="85"/>
      <c r="G372" s="85"/>
      <c r="H372" s="85"/>
      <c r="I372" s="91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2.75" customHeight="1" spans="1:26">
      <c r="A373" s="85"/>
      <c r="B373" s="85"/>
      <c r="C373" s="85"/>
      <c r="D373" s="85"/>
      <c r="E373" s="85"/>
      <c r="F373" s="85"/>
      <c r="G373" s="85"/>
      <c r="H373" s="85"/>
      <c r="I373" s="91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2.75" customHeight="1" spans="1:26">
      <c r="A374" s="85"/>
      <c r="B374" s="85"/>
      <c r="C374" s="85"/>
      <c r="D374" s="85"/>
      <c r="E374" s="85"/>
      <c r="F374" s="85"/>
      <c r="G374" s="85"/>
      <c r="H374" s="85"/>
      <c r="I374" s="91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2.75" customHeight="1" spans="1:26">
      <c r="A375" s="85"/>
      <c r="B375" s="85"/>
      <c r="C375" s="85"/>
      <c r="D375" s="85"/>
      <c r="E375" s="85"/>
      <c r="F375" s="85"/>
      <c r="G375" s="85"/>
      <c r="H375" s="85"/>
      <c r="I375" s="91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2.75" customHeight="1" spans="1:26">
      <c r="A376" s="85"/>
      <c r="B376" s="85"/>
      <c r="C376" s="85"/>
      <c r="D376" s="85"/>
      <c r="E376" s="85"/>
      <c r="F376" s="85"/>
      <c r="G376" s="85"/>
      <c r="H376" s="85"/>
      <c r="I376" s="91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2.75" customHeight="1" spans="1:26">
      <c r="A377" s="85"/>
      <c r="B377" s="85"/>
      <c r="C377" s="85"/>
      <c r="D377" s="85"/>
      <c r="E377" s="85"/>
      <c r="F377" s="85"/>
      <c r="G377" s="85"/>
      <c r="H377" s="85"/>
      <c r="I377" s="91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2.75" customHeight="1" spans="1:26">
      <c r="A378" s="85"/>
      <c r="B378" s="85"/>
      <c r="C378" s="85"/>
      <c r="D378" s="85"/>
      <c r="E378" s="85"/>
      <c r="F378" s="85"/>
      <c r="G378" s="85"/>
      <c r="H378" s="85"/>
      <c r="I378" s="91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2.75" customHeight="1" spans="1:26">
      <c r="A379" s="85"/>
      <c r="B379" s="85"/>
      <c r="C379" s="85"/>
      <c r="D379" s="85"/>
      <c r="E379" s="85"/>
      <c r="F379" s="85"/>
      <c r="G379" s="85"/>
      <c r="H379" s="85"/>
      <c r="I379" s="91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2.75" customHeight="1" spans="1:26">
      <c r="A380" s="85"/>
      <c r="B380" s="85"/>
      <c r="C380" s="85"/>
      <c r="D380" s="85"/>
      <c r="E380" s="85"/>
      <c r="F380" s="85"/>
      <c r="G380" s="85"/>
      <c r="H380" s="85"/>
      <c r="I380" s="91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2.75" customHeight="1" spans="1:26">
      <c r="A381" s="85"/>
      <c r="B381" s="85"/>
      <c r="C381" s="85"/>
      <c r="D381" s="85"/>
      <c r="E381" s="85"/>
      <c r="F381" s="85"/>
      <c r="G381" s="85"/>
      <c r="H381" s="85"/>
      <c r="I381" s="91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2.75" customHeight="1" spans="1:26">
      <c r="A382" s="85"/>
      <c r="B382" s="85"/>
      <c r="C382" s="85"/>
      <c r="D382" s="85"/>
      <c r="E382" s="85"/>
      <c r="F382" s="85"/>
      <c r="G382" s="85"/>
      <c r="H382" s="85"/>
      <c r="I382" s="91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2.75" customHeight="1" spans="1:26">
      <c r="A383" s="85"/>
      <c r="B383" s="85"/>
      <c r="C383" s="85"/>
      <c r="D383" s="85"/>
      <c r="E383" s="85"/>
      <c r="F383" s="85"/>
      <c r="G383" s="85"/>
      <c r="H383" s="85"/>
      <c r="I383" s="91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2.75" customHeight="1" spans="1:26">
      <c r="A384" s="85"/>
      <c r="B384" s="85"/>
      <c r="C384" s="85"/>
      <c r="D384" s="85"/>
      <c r="E384" s="85"/>
      <c r="F384" s="85"/>
      <c r="G384" s="85"/>
      <c r="H384" s="85"/>
      <c r="I384" s="91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2.75" customHeight="1" spans="1:26">
      <c r="A385" s="85"/>
      <c r="B385" s="85"/>
      <c r="C385" s="85"/>
      <c r="D385" s="85"/>
      <c r="E385" s="85"/>
      <c r="F385" s="85"/>
      <c r="G385" s="85"/>
      <c r="H385" s="85"/>
      <c r="I385" s="91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2.75" customHeight="1" spans="1:26">
      <c r="A386" s="85"/>
      <c r="B386" s="85"/>
      <c r="C386" s="85"/>
      <c r="D386" s="85"/>
      <c r="E386" s="85"/>
      <c r="F386" s="85"/>
      <c r="G386" s="85"/>
      <c r="H386" s="85"/>
      <c r="I386" s="91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2.75" customHeight="1" spans="1:26">
      <c r="A387" s="85"/>
      <c r="B387" s="85"/>
      <c r="C387" s="85"/>
      <c r="D387" s="85"/>
      <c r="E387" s="85"/>
      <c r="F387" s="85"/>
      <c r="G387" s="85"/>
      <c r="H387" s="85"/>
      <c r="I387" s="91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2.75" customHeight="1" spans="1:26">
      <c r="A388" s="85"/>
      <c r="B388" s="85"/>
      <c r="C388" s="85"/>
      <c r="D388" s="85"/>
      <c r="E388" s="85"/>
      <c r="F388" s="85"/>
      <c r="G388" s="85"/>
      <c r="H388" s="85"/>
      <c r="I388" s="91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2.75" customHeight="1" spans="1:26">
      <c r="A389" s="85"/>
      <c r="B389" s="85"/>
      <c r="C389" s="85"/>
      <c r="D389" s="85"/>
      <c r="E389" s="85"/>
      <c r="F389" s="85"/>
      <c r="G389" s="85"/>
      <c r="H389" s="85"/>
      <c r="I389" s="91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2.75" customHeight="1" spans="1:26">
      <c r="A390" s="85"/>
      <c r="B390" s="85"/>
      <c r="C390" s="85"/>
      <c r="D390" s="85"/>
      <c r="E390" s="85"/>
      <c r="F390" s="85"/>
      <c r="G390" s="85"/>
      <c r="H390" s="85"/>
      <c r="I390" s="91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2.75" customHeight="1" spans="1:26">
      <c r="A391" s="85"/>
      <c r="B391" s="85"/>
      <c r="C391" s="85"/>
      <c r="D391" s="85"/>
      <c r="E391" s="85"/>
      <c r="F391" s="85"/>
      <c r="G391" s="85"/>
      <c r="H391" s="85"/>
      <c r="I391" s="91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2.75" customHeight="1" spans="1:26">
      <c r="A392" s="85"/>
      <c r="B392" s="85"/>
      <c r="C392" s="85"/>
      <c r="D392" s="85"/>
      <c r="E392" s="85"/>
      <c r="F392" s="85"/>
      <c r="G392" s="85"/>
      <c r="H392" s="85"/>
      <c r="I392" s="91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2.75" customHeight="1" spans="1:26">
      <c r="A393" s="85"/>
      <c r="B393" s="85"/>
      <c r="C393" s="85"/>
      <c r="D393" s="85"/>
      <c r="E393" s="85"/>
      <c r="F393" s="85"/>
      <c r="G393" s="85"/>
      <c r="H393" s="85"/>
      <c r="I393" s="91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2.75" customHeight="1" spans="1:26">
      <c r="A394" s="85"/>
      <c r="B394" s="85"/>
      <c r="C394" s="85"/>
      <c r="D394" s="85"/>
      <c r="E394" s="85"/>
      <c r="F394" s="85"/>
      <c r="G394" s="85"/>
      <c r="H394" s="85"/>
      <c r="I394" s="91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2.75" customHeight="1" spans="1:26">
      <c r="A395" s="85"/>
      <c r="B395" s="85"/>
      <c r="C395" s="85"/>
      <c r="D395" s="85"/>
      <c r="E395" s="85"/>
      <c r="F395" s="85"/>
      <c r="G395" s="85"/>
      <c r="H395" s="85"/>
      <c r="I395" s="91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2.75" customHeight="1" spans="1:26">
      <c r="A396" s="85"/>
      <c r="B396" s="85"/>
      <c r="C396" s="85"/>
      <c r="D396" s="85"/>
      <c r="E396" s="85"/>
      <c r="F396" s="85"/>
      <c r="G396" s="85"/>
      <c r="H396" s="85"/>
      <c r="I396" s="91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2.75" customHeight="1" spans="1:26">
      <c r="A397" s="85"/>
      <c r="B397" s="85"/>
      <c r="C397" s="85"/>
      <c r="D397" s="85"/>
      <c r="E397" s="85"/>
      <c r="F397" s="85"/>
      <c r="G397" s="85"/>
      <c r="H397" s="85"/>
      <c r="I397" s="91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2.75" customHeight="1" spans="1:26">
      <c r="A398" s="85"/>
      <c r="B398" s="85"/>
      <c r="C398" s="85"/>
      <c r="D398" s="85"/>
      <c r="E398" s="85"/>
      <c r="F398" s="85"/>
      <c r="G398" s="85"/>
      <c r="H398" s="85"/>
      <c r="I398" s="91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2.75" customHeight="1" spans="1:26">
      <c r="A399" s="85"/>
      <c r="B399" s="85"/>
      <c r="C399" s="85"/>
      <c r="D399" s="85"/>
      <c r="E399" s="85"/>
      <c r="F399" s="85"/>
      <c r="G399" s="85"/>
      <c r="H399" s="85"/>
      <c r="I399" s="91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2.75" customHeight="1" spans="1:26">
      <c r="A400" s="85"/>
      <c r="B400" s="85"/>
      <c r="C400" s="85"/>
      <c r="D400" s="85"/>
      <c r="E400" s="85"/>
      <c r="F400" s="85"/>
      <c r="G400" s="85"/>
      <c r="H400" s="85"/>
      <c r="I400" s="91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2.75" customHeight="1" spans="1:26">
      <c r="A401" s="85"/>
      <c r="B401" s="85"/>
      <c r="C401" s="85"/>
      <c r="D401" s="85"/>
      <c r="E401" s="85"/>
      <c r="F401" s="85"/>
      <c r="G401" s="85"/>
      <c r="H401" s="85"/>
      <c r="I401" s="91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2.75" customHeight="1" spans="1:26">
      <c r="A402" s="85"/>
      <c r="B402" s="85"/>
      <c r="C402" s="85"/>
      <c r="D402" s="85"/>
      <c r="E402" s="85"/>
      <c r="F402" s="85"/>
      <c r="G402" s="85"/>
      <c r="H402" s="85"/>
      <c r="I402" s="91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2.75" customHeight="1" spans="1:26">
      <c r="A403" s="85"/>
      <c r="B403" s="85"/>
      <c r="C403" s="85"/>
      <c r="D403" s="85"/>
      <c r="E403" s="85"/>
      <c r="F403" s="85"/>
      <c r="G403" s="85"/>
      <c r="H403" s="85"/>
      <c r="I403" s="91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2.75" customHeight="1" spans="1:26">
      <c r="A404" s="85"/>
      <c r="B404" s="85"/>
      <c r="C404" s="85"/>
      <c r="D404" s="85"/>
      <c r="E404" s="85"/>
      <c r="F404" s="85"/>
      <c r="G404" s="85"/>
      <c r="H404" s="85"/>
      <c r="I404" s="91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2.75" customHeight="1" spans="1:26">
      <c r="A405" s="85"/>
      <c r="B405" s="85"/>
      <c r="C405" s="85"/>
      <c r="D405" s="85"/>
      <c r="E405" s="85"/>
      <c r="F405" s="85"/>
      <c r="G405" s="85"/>
      <c r="H405" s="85"/>
      <c r="I405" s="91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2.75" customHeight="1" spans="1:26">
      <c r="A406" s="85"/>
      <c r="B406" s="85"/>
      <c r="C406" s="85"/>
      <c r="D406" s="85"/>
      <c r="E406" s="85"/>
      <c r="F406" s="85"/>
      <c r="G406" s="85"/>
      <c r="H406" s="85"/>
      <c r="I406" s="91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2.75" customHeight="1" spans="1:26">
      <c r="A407" s="85"/>
      <c r="B407" s="85"/>
      <c r="C407" s="85"/>
      <c r="D407" s="85"/>
      <c r="E407" s="85"/>
      <c r="F407" s="85"/>
      <c r="G407" s="85"/>
      <c r="H407" s="85"/>
      <c r="I407" s="91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2.75" customHeight="1" spans="1:26">
      <c r="A408" s="85"/>
      <c r="B408" s="85"/>
      <c r="C408" s="85"/>
      <c r="D408" s="85"/>
      <c r="E408" s="85"/>
      <c r="F408" s="85"/>
      <c r="G408" s="85"/>
      <c r="H408" s="85"/>
      <c r="I408" s="91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2.75" customHeight="1" spans="1:26">
      <c r="A409" s="85"/>
      <c r="B409" s="85"/>
      <c r="C409" s="85"/>
      <c r="D409" s="85"/>
      <c r="E409" s="85"/>
      <c r="F409" s="85"/>
      <c r="G409" s="85"/>
      <c r="H409" s="85"/>
      <c r="I409" s="91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2.75" customHeight="1" spans="1:26">
      <c r="A410" s="85"/>
      <c r="B410" s="85"/>
      <c r="C410" s="85"/>
      <c r="D410" s="85"/>
      <c r="E410" s="85"/>
      <c r="F410" s="85"/>
      <c r="G410" s="85"/>
      <c r="H410" s="85"/>
      <c r="I410" s="91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2.75" customHeight="1" spans="1:26">
      <c r="A411" s="85"/>
      <c r="B411" s="85"/>
      <c r="C411" s="85"/>
      <c r="D411" s="85"/>
      <c r="E411" s="85"/>
      <c r="F411" s="85"/>
      <c r="G411" s="85"/>
      <c r="H411" s="85"/>
      <c r="I411" s="91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2.75" customHeight="1" spans="1:26">
      <c r="A412" s="85"/>
      <c r="B412" s="85"/>
      <c r="C412" s="85"/>
      <c r="D412" s="85"/>
      <c r="E412" s="85"/>
      <c r="F412" s="85"/>
      <c r="G412" s="85"/>
      <c r="H412" s="85"/>
      <c r="I412" s="91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2.75" customHeight="1" spans="1:26">
      <c r="A413" s="85"/>
      <c r="B413" s="85"/>
      <c r="C413" s="85"/>
      <c r="D413" s="85"/>
      <c r="E413" s="85"/>
      <c r="F413" s="85"/>
      <c r="G413" s="85"/>
      <c r="H413" s="85"/>
      <c r="I413" s="91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2.75" customHeight="1" spans="1:26">
      <c r="A414" s="85"/>
      <c r="B414" s="85"/>
      <c r="C414" s="85"/>
      <c r="D414" s="85"/>
      <c r="E414" s="85"/>
      <c r="F414" s="85"/>
      <c r="G414" s="85"/>
      <c r="H414" s="85"/>
      <c r="I414" s="91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2.75" customHeight="1" spans="1:26">
      <c r="A415" s="85"/>
      <c r="B415" s="85"/>
      <c r="C415" s="85"/>
      <c r="D415" s="85"/>
      <c r="E415" s="85"/>
      <c r="F415" s="85"/>
      <c r="G415" s="85"/>
      <c r="H415" s="85"/>
      <c r="I415" s="91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2.75" customHeight="1" spans="1:26">
      <c r="A416" s="85"/>
      <c r="B416" s="85"/>
      <c r="C416" s="85"/>
      <c r="D416" s="85"/>
      <c r="E416" s="85"/>
      <c r="F416" s="85"/>
      <c r="G416" s="85"/>
      <c r="H416" s="85"/>
      <c r="I416" s="91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2.75" customHeight="1" spans="1:26">
      <c r="A417" s="85"/>
      <c r="B417" s="85"/>
      <c r="C417" s="85"/>
      <c r="D417" s="85"/>
      <c r="E417" s="85"/>
      <c r="F417" s="85"/>
      <c r="G417" s="85"/>
      <c r="H417" s="85"/>
      <c r="I417" s="91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2.75" customHeight="1" spans="1:26">
      <c r="A418" s="85"/>
      <c r="B418" s="85"/>
      <c r="C418" s="85"/>
      <c r="D418" s="85"/>
      <c r="E418" s="85"/>
      <c r="F418" s="85"/>
      <c r="G418" s="85"/>
      <c r="H418" s="85"/>
      <c r="I418" s="91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2.75" customHeight="1" spans="1:26">
      <c r="A419" s="85"/>
      <c r="B419" s="85"/>
      <c r="C419" s="85"/>
      <c r="D419" s="85"/>
      <c r="E419" s="85"/>
      <c r="F419" s="85"/>
      <c r="G419" s="85"/>
      <c r="H419" s="85"/>
      <c r="I419" s="91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2.75" customHeight="1" spans="1:26">
      <c r="A420" s="85"/>
      <c r="B420" s="85"/>
      <c r="C420" s="85"/>
      <c r="D420" s="85"/>
      <c r="E420" s="85"/>
      <c r="F420" s="85"/>
      <c r="G420" s="85"/>
      <c r="H420" s="85"/>
      <c r="I420" s="91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2.75" customHeight="1" spans="1:26">
      <c r="A421" s="85"/>
      <c r="B421" s="85"/>
      <c r="C421" s="85"/>
      <c r="D421" s="85"/>
      <c r="E421" s="85"/>
      <c r="F421" s="85"/>
      <c r="G421" s="85"/>
      <c r="H421" s="85"/>
      <c r="I421" s="91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2.75" customHeight="1" spans="1:26">
      <c r="A422" s="85"/>
      <c r="B422" s="85"/>
      <c r="C422" s="85"/>
      <c r="D422" s="85"/>
      <c r="E422" s="85"/>
      <c r="F422" s="85"/>
      <c r="G422" s="85"/>
      <c r="H422" s="85"/>
      <c r="I422" s="91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2.75" customHeight="1" spans="1:26">
      <c r="A423" s="85"/>
      <c r="B423" s="85"/>
      <c r="C423" s="85"/>
      <c r="D423" s="85"/>
      <c r="E423" s="85"/>
      <c r="F423" s="85"/>
      <c r="G423" s="85"/>
      <c r="H423" s="85"/>
      <c r="I423" s="91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2.75" customHeight="1" spans="1:26">
      <c r="A424" s="85"/>
      <c r="B424" s="85"/>
      <c r="C424" s="85"/>
      <c r="D424" s="85"/>
      <c r="E424" s="85"/>
      <c r="F424" s="85"/>
      <c r="G424" s="85"/>
      <c r="H424" s="85"/>
      <c r="I424" s="91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2.75" customHeight="1" spans="1:26">
      <c r="A425" s="85"/>
      <c r="B425" s="85"/>
      <c r="C425" s="85"/>
      <c r="D425" s="85"/>
      <c r="E425" s="85"/>
      <c r="F425" s="85"/>
      <c r="G425" s="85"/>
      <c r="H425" s="85"/>
      <c r="I425" s="91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2.75" customHeight="1" spans="1:26">
      <c r="A426" s="85"/>
      <c r="B426" s="85"/>
      <c r="C426" s="85"/>
      <c r="D426" s="85"/>
      <c r="E426" s="85"/>
      <c r="F426" s="85"/>
      <c r="G426" s="85"/>
      <c r="H426" s="85"/>
      <c r="I426" s="91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2.75" customHeight="1" spans="1:26">
      <c r="A427" s="85"/>
      <c r="B427" s="85"/>
      <c r="C427" s="85"/>
      <c r="D427" s="85"/>
      <c r="E427" s="85"/>
      <c r="F427" s="85"/>
      <c r="G427" s="85"/>
      <c r="H427" s="85"/>
      <c r="I427" s="91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2.75" customHeight="1" spans="1:26">
      <c r="A428" s="85"/>
      <c r="B428" s="85"/>
      <c r="C428" s="85"/>
      <c r="D428" s="85"/>
      <c r="E428" s="85"/>
      <c r="F428" s="85"/>
      <c r="G428" s="85"/>
      <c r="H428" s="85"/>
      <c r="I428" s="91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2.75" customHeight="1" spans="1:26">
      <c r="A429" s="85"/>
      <c r="B429" s="85"/>
      <c r="C429" s="85"/>
      <c r="D429" s="85"/>
      <c r="E429" s="85"/>
      <c r="F429" s="85"/>
      <c r="G429" s="85"/>
      <c r="H429" s="85"/>
      <c r="I429" s="91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2.75" customHeight="1" spans="1:26">
      <c r="A430" s="85"/>
      <c r="B430" s="85"/>
      <c r="C430" s="85"/>
      <c r="D430" s="85"/>
      <c r="E430" s="85"/>
      <c r="F430" s="85"/>
      <c r="G430" s="85"/>
      <c r="H430" s="85"/>
      <c r="I430" s="91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2.75" customHeight="1" spans="1:26">
      <c r="A431" s="85"/>
      <c r="B431" s="85"/>
      <c r="C431" s="85"/>
      <c r="D431" s="85"/>
      <c r="E431" s="85"/>
      <c r="F431" s="85"/>
      <c r="G431" s="85"/>
      <c r="H431" s="85"/>
      <c r="I431" s="91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2.75" customHeight="1" spans="1:26">
      <c r="A432" s="85"/>
      <c r="B432" s="85"/>
      <c r="C432" s="85"/>
      <c r="D432" s="85"/>
      <c r="E432" s="85"/>
      <c r="F432" s="85"/>
      <c r="G432" s="85"/>
      <c r="H432" s="85"/>
      <c r="I432" s="91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2.75" customHeight="1" spans="1:26">
      <c r="A433" s="85"/>
      <c r="B433" s="85"/>
      <c r="C433" s="85"/>
      <c r="D433" s="85"/>
      <c r="E433" s="85"/>
      <c r="F433" s="85"/>
      <c r="G433" s="85"/>
      <c r="H433" s="85"/>
      <c r="I433" s="91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2.75" customHeight="1" spans="1:26">
      <c r="A434" s="85"/>
      <c r="B434" s="85"/>
      <c r="C434" s="85"/>
      <c r="D434" s="85"/>
      <c r="E434" s="85"/>
      <c r="F434" s="85"/>
      <c r="G434" s="85"/>
      <c r="H434" s="85"/>
      <c r="I434" s="91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2.75" customHeight="1" spans="1:26">
      <c r="A435" s="85"/>
      <c r="B435" s="85"/>
      <c r="C435" s="85"/>
      <c r="D435" s="85"/>
      <c r="E435" s="85"/>
      <c r="F435" s="85"/>
      <c r="G435" s="85"/>
      <c r="H435" s="85"/>
      <c r="I435" s="91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2.75" customHeight="1" spans="1:26">
      <c r="A436" s="85"/>
      <c r="B436" s="85"/>
      <c r="C436" s="85"/>
      <c r="D436" s="85"/>
      <c r="E436" s="85"/>
      <c r="F436" s="85"/>
      <c r="G436" s="85"/>
      <c r="H436" s="85"/>
      <c r="I436" s="91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2.75" customHeight="1" spans="1:26">
      <c r="A437" s="85"/>
      <c r="B437" s="85"/>
      <c r="C437" s="85"/>
      <c r="D437" s="85"/>
      <c r="E437" s="85"/>
      <c r="F437" s="85"/>
      <c r="G437" s="85"/>
      <c r="H437" s="85"/>
      <c r="I437" s="91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2.75" customHeight="1" spans="1:26">
      <c r="A438" s="85"/>
      <c r="B438" s="85"/>
      <c r="C438" s="85"/>
      <c r="D438" s="85"/>
      <c r="E438" s="85"/>
      <c r="F438" s="85"/>
      <c r="G438" s="85"/>
      <c r="H438" s="85"/>
      <c r="I438" s="91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2.75" customHeight="1" spans="1:26">
      <c r="A439" s="85"/>
      <c r="B439" s="85"/>
      <c r="C439" s="85"/>
      <c r="D439" s="85"/>
      <c r="E439" s="85"/>
      <c r="F439" s="85"/>
      <c r="G439" s="85"/>
      <c r="H439" s="85"/>
      <c r="I439" s="91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2.75" customHeight="1" spans="1:26">
      <c r="A440" s="85"/>
      <c r="B440" s="85"/>
      <c r="C440" s="85"/>
      <c r="D440" s="85"/>
      <c r="E440" s="85"/>
      <c r="F440" s="85"/>
      <c r="G440" s="85"/>
      <c r="H440" s="85"/>
      <c r="I440" s="91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2.75" customHeight="1" spans="1:26">
      <c r="A441" s="85"/>
      <c r="B441" s="85"/>
      <c r="C441" s="85"/>
      <c r="D441" s="85"/>
      <c r="E441" s="85"/>
      <c r="F441" s="85"/>
      <c r="G441" s="85"/>
      <c r="H441" s="85"/>
      <c r="I441" s="91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2.75" customHeight="1" spans="1:26">
      <c r="A442" s="85"/>
      <c r="B442" s="85"/>
      <c r="C442" s="85"/>
      <c r="D442" s="85"/>
      <c r="E442" s="85"/>
      <c r="F442" s="85"/>
      <c r="G442" s="85"/>
      <c r="H442" s="85"/>
      <c r="I442" s="91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2.75" customHeight="1" spans="1:26">
      <c r="A443" s="85"/>
      <c r="B443" s="85"/>
      <c r="C443" s="85"/>
      <c r="D443" s="85"/>
      <c r="E443" s="85"/>
      <c r="F443" s="85"/>
      <c r="G443" s="85"/>
      <c r="H443" s="85"/>
      <c r="I443" s="91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2.75" customHeight="1" spans="1:26">
      <c r="A444" s="85"/>
      <c r="B444" s="85"/>
      <c r="C444" s="85"/>
      <c r="D444" s="85"/>
      <c r="E444" s="85"/>
      <c r="F444" s="85"/>
      <c r="G444" s="85"/>
      <c r="H444" s="85"/>
      <c r="I444" s="91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2.75" customHeight="1" spans="1:26">
      <c r="A445" s="85"/>
      <c r="B445" s="85"/>
      <c r="C445" s="85"/>
      <c r="D445" s="85"/>
      <c r="E445" s="85"/>
      <c r="F445" s="85"/>
      <c r="G445" s="85"/>
      <c r="H445" s="85"/>
      <c r="I445" s="91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2.75" customHeight="1" spans="1:26">
      <c r="A446" s="85"/>
      <c r="B446" s="85"/>
      <c r="C446" s="85"/>
      <c r="D446" s="85"/>
      <c r="E446" s="85"/>
      <c r="F446" s="85"/>
      <c r="G446" s="85"/>
      <c r="H446" s="85"/>
      <c r="I446" s="91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2.75" customHeight="1" spans="1:26">
      <c r="A447" s="85"/>
      <c r="B447" s="85"/>
      <c r="C447" s="85"/>
      <c r="D447" s="85"/>
      <c r="E447" s="85"/>
      <c r="F447" s="85"/>
      <c r="G447" s="85"/>
      <c r="H447" s="85"/>
      <c r="I447" s="91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2.75" customHeight="1" spans="1:26">
      <c r="A448" s="85"/>
      <c r="B448" s="85"/>
      <c r="C448" s="85"/>
      <c r="D448" s="85"/>
      <c r="E448" s="85"/>
      <c r="F448" s="85"/>
      <c r="G448" s="85"/>
      <c r="H448" s="85"/>
      <c r="I448" s="91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2.75" customHeight="1" spans="1:26">
      <c r="A449" s="85"/>
      <c r="B449" s="85"/>
      <c r="C449" s="85"/>
      <c r="D449" s="85"/>
      <c r="E449" s="85"/>
      <c r="F449" s="85"/>
      <c r="G449" s="85"/>
      <c r="H449" s="85"/>
      <c r="I449" s="91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2.75" customHeight="1" spans="1:26">
      <c r="A450" s="85"/>
      <c r="B450" s="85"/>
      <c r="C450" s="85"/>
      <c r="D450" s="85"/>
      <c r="E450" s="85"/>
      <c r="F450" s="85"/>
      <c r="G450" s="85"/>
      <c r="H450" s="85"/>
      <c r="I450" s="91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2.75" customHeight="1" spans="1:26">
      <c r="A451" s="85"/>
      <c r="B451" s="85"/>
      <c r="C451" s="85"/>
      <c r="D451" s="85"/>
      <c r="E451" s="85"/>
      <c r="F451" s="85"/>
      <c r="G451" s="85"/>
      <c r="H451" s="85"/>
      <c r="I451" s="91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2.75" customHeight="1" spans="1:26">
      <c r="A452" s="85"/>
      <c r="B452" s="85"/>
      <c r="C452" s="85"/>
      <c r="D452" s="85"/>
      <c r="E452" s="85"/>
      <c r="F452" s="85"/>
      <c r="G452" s="85"/>
      <c r="H452" s="85"/>
      <c r="I452" s="91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2.75" customHeight="1" spans="1:26">
      <c r="A453" s="85"/>
      <c r="B453" s="85"/>
      <c r="C453" s="85"/>
      <c r="D453" s="85"/>
      <c r="E453" s="85"/>
      <c r="F453" s="85"/>
      <c r="G453" s="85"/>
      <c r="H453" s="85"/>
      <c r="I453" s="91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2.75" customHeight="1" spans="1:26">
      <c r="A454" s="85"/>
      <c r="B454" s="85"/>
      <c r="C454" s="85"/>
      <c r="D454" s="85"/>
      <c r="E454" s="85"/>
      <c r="F454" s="85"/>
      <c r="G454" s="85"/>
      <c r="H454" s="85"/>
      <c r="I454" s="91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2.75" customHeight="1" spans="1:26">
      <c r="A455" s="85"/>
      <c r="B455" s="85"/>
      <c r="C455" s="85"/>
      <c r="D455" s="85"/>
      <c r="E455" s="85"/>
      <c r="F455" s="85"/>
      <c r="G455" s="85"/>
      <c r="H455" s="85"/>
      <c r="I455" s="91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2.75" customHeight="1" spans="1:26">
      <c r="A456" s="85"/>
      <c r="B456" s="85"/>
      <c r="C456" s="85"/>
      <c r="D456" s="85"/>
      <c r="E456" s="85"/>
      <c r="F456" s="85"/>
      <c r="G456" s="85"/>
      <c r="H456" s="85"/>
      <c r="I456" s="91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2.75" customHeight="1" spans="1:26">
      <c r="A457" s="85"/>
      <c r="B457" s="85"/>
      <c r="C457" s="85"/>
      <c r="D457" s="85"/>
      <c r="E457" s="85"/>
      <c r="F457" s="85"/>
      <c r="G457" s="85"/>
      <c r="H457" s="85"/>
      <c r="I457" s="91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2.75" customHeight="1" spans="1:26">
      <c r="A458" s="85"/>
      <c r="B458" s="85"/>
      <c r="C458" s="85"/>
      <c r="D458" s="85"/>
      <c r="E458" s="85"/>
      <c r="F458" s="85"/>
      <c r="G458" s="85"/>
      <c r="H458" s="85"/>
      <c r="I458" s="91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2.75" customHeight="1" spans="1:26">
      <c r="A459" s="85"/>
      <c r="B459" s="85"/>
      <c r="C459" s="85"/>
      <c r="D459" s="85"/>
      <c r="E459" s="85"/>
      <c r="F459" s="85"/>
      <c r="G459" s="85"/>
      <c r="H459" s="85"/>
      <c r="I459" s="91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2.75" customHeight="1" spans="1:26">
      <c r="A460" s="85"/>
      <c r="B460" s="85"/>
      <c r="C460" s="85"/>
      <c r="D460" s="85"/>
      <c r="E460" s="85"/>
      <c r="F460" s="85"/>
      <c r="G460" s="85"/>
      <c r="H460" s="85"/>
      <c r="I460" s="91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2.75" customHeight="1" spans="1:26">
      <c r="A461" s="85"/>
      <c r="B461" s="85"/>
      <c r="C461" s="85"/>
      <c r="D461" s="85"/>
      <c r="E461" s="85"/>
      <c r="F461" s="85"/>
      <c r="G461" s="85"/>
      <c r="H461" s="85"/>
      <c r="I461" s="91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2.75" customHeight="1" spans="1:26">
      <c r="A462" s="85"/>
      <c r="B462" s="85"/>
      <c r="C462" s="85"/>
      <c r="D462" s="85"/>
      <c r="E462" s="85"/>
      <c r="F462" s="85"/>
      <c r="G462" s="85"/>
      <c r="H462" s="85"/>
      <c r="I462" s="91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2.75" customHeight="1" spans="1:26">
      <c r="A463" s="85"/>
      <c r="B463" s="85"/>
      <c r="C463" s="85"/>
      <c r="D463" s="85"/>
      <c r="E463" s="85"/>
      <c r="F463" s="85"/>
      <c r="G463" s="85"/>
      <c r="H463" s="85"/>
      <c r="I463" s="91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2.75" customHeight="1" spans="1:26">
      <c r="A464" s="85"/>
      <c r="B464" s="85"/>
      <c r="C464" s="85"/>
      <c r="D464" s="85"/>
      <c r="E464" s="85"/>
      <c r="F464" s="85"/>
      <c r="G464" s="85"/>
      <c r="H464" s="85"/>
      <c r="I464" s="91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2.75" customHeight="1" spans="1:26">
      <c r="A465" s="85"/>
      <c r="B465" s="85"/>
      <c r="C465" s="85"/>
      <c r="D465" s="85"/>
      <c r="E465" s="85"/>
      <c r="F465" s="85"/>
      <c r="G465" s="85"/>
      <c r="H465" s="85"/>
      <c r="I465" s="91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2.75" customHeight="1" spans="1:26">
      <c r="A466" s="85"/>
      <c r="B466" s="85"/>
      <c r="C466" s="85"/>
      <c r="D466" s="85"/>
      <c r="E466" s="85"/>
      <c r="F466" s="85"/>
      <c r="G466" s="85"/>
      <c r="H466" s="85"/>
      <c r="I466" s="91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2.75" customHeight="1" spans="1:26">
      <c r="A467" s="85"/>
      <c r="B467" s="85"/>
      <c r="C467" s="85"/>
      <c r="D467" s="85"/>
      <c r="E467" s="85"/>
      <c r="F467" s="85"/>
      <c r="G467" s="85"/>
      <c r="H467" s="85"/>
      <c r="I467" s="91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2.75" customHeight="1" spans="1:26">
      <c r="A468" s="85"/>
      <c r="B468" s="85"/>
      <c r="C468" s="85"/>
      <c r="D468" s="85"/>
      <c r="E468" s="85"/>
      <c r="F468" s="85"/>
      <c r="G468" s="85"/>
      <c r="H468" s="85"/>
      <c r="I468" s="91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2.75" customHeight="1" spans="1:26">
      <c r="A469" s="85"/>
      <c r="B469" s="85"/>
      <c r="C469" s="85"/>
      <c r="D469" s="85"/>
      <c r="E469" s="85"/>
      <c r="F469" s="85"/>
      <c r="G469" s="85"/>
      <c r="H469" s="85"/>
      <c r="I469" s="91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2.75" customHeight="1" spans="1:26">
      <c r="A470" s="85"/>
      <c r="B470" s="85"/>
      <c r="C470" s="85"/>
      <c r="D470" s="85"/>
      <c r="E470" s="85"/>
      <c r="F470" s="85"/>
      <c r="G470" s="85"/>
      <c r="H470" s="85"/>
      <c r="I470" s="91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2.75" customHeight="1" spans="1:26">
      <c r="A471" s="85"/>
      <c r="B471" s="85"/>
      <c r="C471" s="85"/>
      <c r="D471" s="85"/>
      <c r="E471" s="85"/>
      <c r="F471" s="85"/>
      <c r="G471" s="85"/>
      <c r="H471" s="85"/>
      <c r="I471" s="91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2.75" customHeight="1" spans="1:26">
      <c r="A472" s="85"/>
      <c r="B472" s="85"/>
      <c r="C472" s="85"/>
      <c r="D472" s="85"/>
      <c r="E472" s="85"/>
      <c r="F472" s="85"/>
      <c r="G472" s="85"/>
      <c r="H472" s="85"/>
      <c r="I472" s="91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2.75" customHeight="1" spans="1:26">
      <c r="A473" s="85"/>
      <c r="B473" s="85"/>
      <c r="C473" s="85"/>
      <c r="D473" s="85"/>
      <c r="E473" s="85"/>
      <c r="F473" s="85"/>
      <c r="G473" s="85"/>
      <c r="H473" s="85"/>
      <c r="I473" s="91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2.75" customHeight="1" spans="1:26">
      <c r="A474" s="85"/>
      <c r="B474" s="85"/>
      <c r="C474" s="85"/>
      <c r="D474" s="85"/>
      <c r="E474" s="85"/>
      <c r="F474" s="85"/>
      <c r="G474" s="85"/>
      <c r="H474" s="85"/>
      <c r="I474" s="91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2.75" customHeight="1" spans="1:26">
      <c r="A475" s="85"/>
      <c r="B475" s="85"/>
      <c r="C475" s="85"/>
      <c r="D475" s="85"/>
      <c r="E475" s="85"/>
      <c r="F475" s="85"/>
      <c r="G475" s="85"/>
      <c r="H475" s="85"/>
      <c r="I475" s="91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2.75" customHeight="1" spans="1:26">
      <c r="A476" s="85"/>
      <c r="B476" s="85"/>
      <c r="C476" s="85"/>
      <c r="D476" s="85"/>
      <c r="E476" s="85"/>
      <c r="F476" s="85"/>
      <c r="G476" s="85"/>
      <c r="H476" s="85"/>
      <c r="I476" s="91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2.75" customHeight="1" spans="1:26">
      <c r="A477" s="85"/>
      <c r="B477" s="85"/>
      <c r="C477" s="85"/>
      <c r="D477" s="85"/>
      <c r="E477" s="85"/>
      <c r="F477" s="85"/>
      <c r="G477" s="85"/>
      <c r="H477" s="85"/>
      <c r="I477" s="91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2.75" customHeight="1" spans="1:26">
      <c r="A478" s="85"/>
      <c r="B478" s="85"/>
      <c r="C478" s="85"/>
      <c r="D478" s="85"/>
      <c r="E478" s="85"/>
      <c r="F478" s="85"/>
      <c r="G478" s="85"/>
      <c r="H478" s="85"/>
      <c r="I478" s="91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2.75" customHeight="1" spans="1:26">
      <c r="A479" s="85"/>
      <c r="B479" s="85"/>
      <c r="C479" s="85"/>
      <c r="D479" s="85"/>
      <c r="E479" s="85"/>
      <c r="F479" s="85"/>
      <c r="G479" s="85"/>
      <c r="H479" s="85"/>
      <c r="I479" s="91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2.75" customHeight="1" spans="1:26">
      <c r="A480" s="85"/>
      <c r="B480" s="85"/>
      <c r="C480" s="85"/>
      <c r="D480" s="85"/>
      <c r="E480" s="85"/>
      <c r="F480" s="85"/>
      <c r="G480" s="85"/>
      <c r="H480" s="85"/>
      <c r="I480" s="91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2.75" customHeight="1" spans="1:26">
      <c r="A481" s="85"/>
      <c r="B481" s="85"/>
      <c r="C481" s="85"/>
      <c r="D481" s="85"/>
      <c r="E481" s="85"/>
      <c r="F481" s="85"/>
      <c r="G481" s="85"/>
      <c r="H481" s="85"/>
      <c r="I481" s="91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2.75" customHeight="1" spans="1:26">
      <c r="A482" s="85"/>
      <c r="B482" s="85"/>
      <c r="C482" s="85"/>
      <c r="D482" s="85"/>
      <c r="E482" s="85"/>
      <c r="F482" s="85"/>
      <c r="G482" s="85"/>
      <c r="H482" s="85"/>
      <c r="I482" s="91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2.75" customHeight="1" spans="1:26">
      <c r="A483" s="85"/>
      <c r="B483" s="85"/>
      <c r="C483" s="85"/>
      <c r="D483" s="85"/>
      <c r="E483" s="85"/>
      <c r="F483" s="85"/>
      <c r="G483" s="85"/>
      <c r="H483" s="85"/>
      <c r="I483" s="91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2.75" customHeight="1" spans="1:26">
      <c r="A484" s="85"/>
      <c r="B484" s="85"/>
      <c r="C484" s="85"/>
      <c r="D484" s="85"/>
      <c r="E484" s="85"/>
      <c r="F484" s="85"/>
      <c r="G484" s="85"/>
      <c r="H484" s="85"/>
      <c r="I484" s="91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2.75" customHeight="1" spans="1:26">
      <c r="A485" s="85"/>
      <c r="B485" s="85"/>
      <c r="C485" s="85"/>
      <c r="D485" s="85"/>
      <c r="E485" s="85"/>
      <c r="F485" s="85"/>
      <c r="G485" s="85"/>
      <c r="H485" s="85"/>
      <c r="I485" s="91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2.75" customHeight="1" spans="1:26">
      <c r="A486" s="85"/>
      <c r="B486" s="85"/>
      <c r="C486" s="85"/>
      <c r="D486" s="85"/>
      <c r="E486" s="85"/>
      <c r="F486" s="85"/>
      <c r="G486" s="85"/>
      <c r="H486" s="85"/>
      <c r="I486" s="91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2.75" customHeight="1" spans="1:26">
      <c r="A487" s="85"/>
      <c r="B487" s="85"/>
      <c r="C487" s="85"/>
      <c r="D487" s="85"/>
      <c r="E487" s="85"/>
      <c r="F487" s="85"/>
      <c r="G487" s="85"/>
      <c r="H487" s="85"/>
      <c r="I487" s="91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2.75" customHeight="1" spans="1:26">
      <c r="A488" s="85"/>
      <c r="B488" s="85"/>
      <c r="C488" s="85"/>
      <c r="D488" s="85"/>
      <c r="E488" s="85"/>
      <c r="F488" s="85"/>
      <c r="G488" s="85"/>
      <c r="H488" s="85"/>
      <c r="I488" s="91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2.75" customHeight="1" spans="1:26">
      <c r="A489" s="85"/>
      <c r="B489" s="85"/>
      <c r="C489" s="85"/>
      <c r="D489" s="85"/>
      <c r="E489" s="85"/>
      <c r="F489" s="85"/>
      <c r="G489" s="85"/>
      <c r="H489" s="85"/>
      <c r="I489" s="91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2.75" customHeight="1" spans="1:26">
      <c r="A490" s="85"/>
      <c r="B490" s="85"/>
      <c r="C490" s="85"/>
      <c r="D490" s="85"/>
      <c r="E490" s="85"/>
      <c r="F490" s="85"/>
      <c r="G490" s="85"/>
      <c r="H490" s="85"/>
      <c r="I490" s="91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2.75" customHeight="1" spans="1:26">
      <c r="A491" s="85"/>
      <c r="B491" s="85"/>
      <c r="C491" s="85"/>
      <c r="D491" s="85"/>
      <c r="E491" s="85"/>
      <c r="F491" s="85"/>
      <c r="G491" s="85"/>
      <c r="H491" s="85"/>
      <c r="I491" s="91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2.75" customHeight="1" spans="1:26">
      <c r="A492" s="85"/>
      <c r="B492" s="85"/>
      <c r="C492" s="85"/>
      <c r="D492" s="85"/>
      <c r="E492" s="85"/>
      <c r="F492" s="85"/>
      <c r="G492" s="85"/>
      <c r="H492" s="85"/>
      <c r="I492" s="91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2.75" customHeight="1" spans="1:26">
      <c r="A493" s="85"/>
      <c r="B493" s="85"/>
      <c r="C493" s="85"/>
      <c r="D493" s="85"/>
      <c r="E493" s="85"/>
      <c r="F493" s="85"/>
      <c r="G493" s="85"/>
      <c r="H493" s="85"/>
      <c r="I493" s="91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2.75" customHeight="1" spans="1:26">
      <c r="A494" s="85"/>
      <c r="B494" s="85"/>
      <c r="C494" s="85"/>
      <c r="D494" s="85"/>
      <c r="E494" s="85"/>
      <c r="F494" s="85"/>
      <c r="G494" s="85"/>
      <c r="H494" s="85"/>
      <c r="I494" s="91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2.75" customHeight="1" spans="1:26">
      <c r="A495" s="85"/>
      <c r="B495" s="85"/>
      <c r="C495" s="85"/>
      <c r="D495" s="85"/>
      <c r="E495" s="85"/>
      <c r="F495" s="85"/>
      <c r="G495" s="85"/>
      <c r="H495" s="85"/>
      <c r="I495" s="91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2.75" customHeight="1" spans="1:26">
      <c r="A496" s="85"/>
      <c r="B496" s="85"/>
      <c r="C496" s="85"/>
      <c r="D496" s="85"/>
      <c r="E496" s="85"/>
      <c r="F496" s="85"/>
      <c r="G496" s="85"/>
      <c r="H496" s="85"/>
      <c r="I496" s="91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2.75" customHeight="1" spans="1:26">
      <c r="A497" s="85"/>
      <c r="B497" s="85"/>
      <c r="C497" s="85"/>
      <c r="D497" s="85"/>
      <c r="E497" s="85"/>
      <c r="F497" s="85"/>
      <c r="G497" s="85"/>
      <c r="H497" s="85"/>
      <c r="I497" s="91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2.75" customHeight="1" spans="1:26">
      <c r="A498" s="85"/>
      <c r="B498" s="85"/>
      <c r="C498" s="85"/>
      <c r="D498" s="85"/>
      <c r="E498" s="85"/>
      <c r="F498" s="85"/>
      <c r="G498" s="85"/>
      <c r="H498" s="85"/>
      <c r="I498" s="91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2.75" customHeight="1" spans="1:26">
      <c r="A499" s="85"/>
      <c r="B499" s="85"/>
      <c r="C499" s="85"/>
      <c r="D499" s="85"/>
      <c r="E499" s="85"/>
      <c r="F499" s="85"/>
      <c r="G499" s="85"/>
      <c r="H499" s="85"/>
      <c r="I499" s="91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2.75" customHeight="1" spans="1:26">
      <c r="A500" s="85"/>
      <c r="B500" s="85"/>
      <c r="C500" s="85"/>
      <c r="D500" s="85"/>
      <c r="E500" s="85"/>
      <c r="F500" s="85"/>
      <c r="G500" s="85"/>
      <c r="H500" s="85"/>
      <c r="I500" s="91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2.75" customHeight="1" spans="1:26">
      <c r="A501" s="85"/>
      <c r="B501" s="85"/>
      <c r="C501" s="85"/>
      <c r="D501" s="85"/>
      <c r="E501" s="85"/>
      <c r="F501" s="85"/>
      <c r="G501" s="85"/>
      <c r="H501" s="85"/>
      <c r="I501" s="91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2.75" customHeight="1" spans="1:26">
      <c r="A502" s="85"/>
      <c r="B502" s="85"/>
      <c r="C502" s="85"/>
      <c r="D502" s="85"/>
      <c r="E502" s="85"/>
      <c r="F502" s="85"/>
      <c r="G502" s="85"/>
      <c r="H502" s="85"/>
      <c r="I502" s="91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2.75" customHeight="1" spans="1:26">
      <c r="A503" s="85"/>
      <c r="B503" s="85"/>
      <c r="C503" s="85"/>
      <c r="D503" s="85"/>
      <c r="E503" s="85"/>
      <c r="F503" s="85"/>
      <c r="G503" s="85"/>
      <c r="H503" s="85"/>
      <c r="I503" s="91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2.75" customHeight="1" spans="1:26">
      <c r="A504" s="85"/>
      <c r="B504" s="85"/>
      <c r="C504" s="85"/>
      <c r="D504" s="85"/>
      <c r="E504" s="85"/>
      <c r="F504" s="85"/>
      <c r="G504" s="85"/>
      <c r="H504" s="85"/>
      <c r="I504" s="91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2.75" customHeight="1" spans="1:26">
      <c r="A505" s="85"/>
      <c r="B505" s="85"/>
      <c r="C505" s="85"/>
      <c r="D505" s="85"/>
      <c r="E505" s="85"/>
      <c r="F505" s="85"/>
      <c r="G505" s="85"/>
      <c r="H505" s="85"/>
      <c r="I505" s="91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2.75" customHeight="1" spans="1:26">
      <c r="A506" s="85"/>
      <c r="B506" s="85"/>
      <c r="C506" s="85"/>
      <c r="D506" s="85"/>
      <c r="E506" s="85"/>
      <c r="F506" s="85"/>
      <c r="G506" s="85"/>
      <c r="H506" s="85"/>
      <c r="I506" s="91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2.75" customHeight="1" spans="1:26">
      <c r="A507" s="85"/>
      <c r="B507" s="85"/>
      <c r="C507" s="85"/>
      <c r="D507" s="85"/>
      <c r="E507" s="85"/>
      <c r="F507" s="85"/>
      <c r="G507" s="85"/>
      <c r="H507" s="85"/>
      <c r="I507" s="91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2.75" customHeight="1" spans="1:26">
      <c r="A508" s="85"/>
      <c r="B508" s="85"/>
      <c r="C508" s="85"/>
      <c r="D508" s="85"/>
      <c r="E508" s="85"/>
      <c r="F508" s="85"/>
      <c r="G508" s="85"/>
      <c r="H508" s="85"/>
      <c r="I508" s="91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2.75" customHeight="1" spans="1:26">
      <c r="A509" s="85"/>
      <c r="B509" s="85"/>
      <c r="C509" s="85"/>
      <c r="D509" s="85"/>
      <c r="E509" s="85"/>
      <c r="F509" s="85"/>
      <c r="G509" s="85"/>
      <c r="H509" s="85"/>
      <c r="I509" s="91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2.75" customHeight="1" spans="1:26">
      <c r="A510" s="85"/>
      <c r="B510" s="85"/>
      <c r="C510" s="85"/>
      <c r="D510" s="85"/>
      <c r="E510" s="85"/>
      <c r="F510" s="85"/>
      <c r="G510" s="85"/>
      <c r="H510" s="85"/>
      <c r="I510" s="91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2.75" customHeight="1" spans="1:26">
      <c r="A511" s="85"/>
      <c r="B511" s="85"/>
      <c r="C511" s="85"/>
      <c r="D511" s="85"/>
      <c r="E511" s="85"/>
      <c r="F511" s="85"/>
      <c r="G511" s="85"/>
      <c r="H511" s="85"/>
      <c r="I511" s="91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2.75" customHeight="1" spans="1:26">
      <c r="A512" s="85"/>
      <c r="B512" s="85"/>
      <c r="C512" s="85"/>
      <c r="D512" s="85"/>
      <c r="E512" s="85"/>
      <c r="F512" s="85"/>
      <c r="G512" s="85"/>
      <c r="H512" s="85"/>
      <c r="I512" s="91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2.75" customHeight="1" spans="1:26">
      <c r="A513" s="85"/>
      <c r="B513" s="85"/>
      <c r="C513" s="85"/>
      <c r="D513" s="85"/>
      <c r="E513" s="85"/>
      <c r="F513" s="85"/>
      <c r="G513" s="85"/>
      <c r="H513" s="85"/>
      <c r="I513" s="91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2.75" customHeight="1" spans="1:26">
      <c r="A514" s="85"/>
      <c r="B514" s="85"/>
      <c r="C514" s="85"/>
      <c r="D514" s="85"/>
      <c r="E514" s="85"/>
      <c r="F514" s="85"/>
      <c r="G514" s="85"/>
      <c r="H514" s="85"/>
      <c r="I514" s="91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2.75" customHeight="1" spans="1:26">
      <c r="A515" s="85"/>
      <c r="B515" s="85"/>
      <c r="C515" s="85"/>
      <c r="D515" s="85"/>
      <c r="E515" s="85"/>
      <c r="F515" s="85"/>
      <c r="G515" s="85"/>
      <c r="H515" s="85"/>
      <c r="I515" s="91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2.75" customHeight="1" spans="1:26">
      <c r="A516" s="85"/>
      <c r="B516" s="85"/>
      <c r="C516" s="85"/>
      <c r="D516" s="85"/>
      <c r="E516" s="85"/>
      <c r="F516" s="85"/>
      <c r="G516" s="85"/>
      <c r="H516" s="85"/>
      <c r="I516" s="91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2.75" customHeight="1" spans="1:26">
      <c r="A517" s="85"/>
      <c r="B517" s="85"/>
      <c r="C517" s="85"/>
      <c r="D517" s="85"/>
      <c r="E517" s="85"/>
      <c r="F517" s="85"/>
      <c r="G517" s="85"/>
      <c r="H517" s="85"/>
      <c r="I517" s="91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2.75" customHeight="1" spans="1:26">
      <c r="A518" s="85"/>
      <c r="B518" s="85"/>
      <c r="C518" s="85"/>
      <c r="D518" s="85"/>
      <c r="E518" s="85"/>
      <c r="F518" s="85"/>
      <c r="G518" s="85"/>
      <c r="H518" s="85"/>
      <c r="I518" s="91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2.75" customHeight="1" spans="1:26">
      <c r="A519" s="85"/>
      <c r="B519" s="85"/>
      <c r="C519" s="85"/>
      <c r="D519" s="85"/>
      <c r="E519" s="85"/>
      <c r="F519" s="85"/>
      <c r="G519" s="85"/>
      <c r="H519" s="85"/>
      <c r="I519" s="91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2.75" customHeight="1" spans="1:26">
      <c r="A520" s="85"/>
      <c r="B520" s="85"/>
      <c r="C520" s="85"/>
      <c r="D520" s="85"/>
      <c r="E520" s="85"/>
      <c r="F520" s="85"/>
      <c r="G520" s="85"/>
      <c r="H520" s="85"/>
      <c r="I520" s="91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2.75" customHeight="1" spans="1:26">
      <c r="A521" s="85"/>
      <c r="B521" s="85"/>
      <c r="C521" s="85"/>
      <c r="D521" s="85"/>
      <c r="E521" s="85"/>
      <c r="F521" s="85"/>
      <c r="G521" s="85"/>
      <c r="H521" s="85"/>
      <c r="I521" s="91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2.75" customHeight="1" spans="1:26">
      <c r="A522" s="85"/>
      <c r="B522" s="85"/>
      <c r="C522" s="85"/>
      <c r="D522" s="85"/>
      <c r="E522" s="85"/>
      <c r="F522" s="85"/>
      <c r="G522" s="85"/>
      <c r="H522" s="85"/>
      <c r="I522" s="91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2.75" customHeight="1" spans="1:26">
      <c r="A523" s="85"/>
      <c r="B523" s="85"/>
      <c r="C523" s="85"/>
      <c r="D523" s="85"/>
      <c r="E523" s="85"/>
      <c r="F523" s="85"/>
      <c r="G523" s="85"/>
      <c r="H523" s="85"/>
      <c r="I523" s="91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2.75" customHeight="1" spans="1:26">
      <c r="A524" s="85"/>
      <c r="B524" s="85"/>
      <c r="C524" s="85"/>
      <c r="D524" s="85"/>
      <c r="E524" s="85"/>
      <c r="F524" s="85"/>
      <c r="G524" s="85"/>
      <c r="H524" s="85"/>
      <c r="I524" s="91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2.75" customHeight="1" spans="1:26">
      <c r="A525" s="85"/>
      <c r="B525" s="85"/>
      <c r="C525" s="85"/>
      <c r="D525" s="85"/>
      <c r="E525" s="85"/>
      <c r="F525" s="85"/>
      <c r="G525" s="85"/>
      <c r="H525" s="85"/>
      <c r="I525" s="91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2.75" customHeight="1" spans="1:26">
      <c r="A526" s="85"/>
      <c r="B526" s="85"/>
      <c r="C526" s="85"/>
      <c r="D526" s="85"/>
      <c r="E526" s="85"/>
      <c r="F526" s="85"/>
      <c r="G526" s="85"/>
      <c r="H526" s="85"/>
      <c r="I526" s="91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2.75" customHeight="1" spans="1:26">
      <c r="A527" s="85"/>
      <c r="B527" s="85"/>
      <c r="C527" s="85"/>
      <c r="D527" s="85"/>
      <c r="E527" s="85"/>
      <c r="F527" s="85"/>
      <c r="G527" s="85"/>
      <c r="H527" s="85"/>
      <c r="I527" s="91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2.75" customHeight="1" spans="1:26">
      <c r="A528" s="85"/>
      <c r="B528" s="85"/>
      <c r="C528" s="85"/>
      <c r="D528" s="85"/>
      <c r="E528" s="85"/>
      <c r="F528" s="85"/>
      <c r="G528" s="85"/>
      <c r="H528" s="85"/>
      <c r="I528" s="91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2.75" customHeight="1" spans="1:26">
      <c r="A529" s="85"/>
      <c r="B529" s="85"/>
      <c r="C529" s="85"/>
      <c r="D529" s="85"/>
      <c r="E529" s="85"/>
      <c r="F529" s="85"/>
      <c r="G529" s="85"/>
      <c r="H529" s="85"/>
      <c r="I529" s="91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2.75" customHeight="1" spans="1:26">
      <c r="A530" s="85"/>
      <c r="B530" s="85"/>
      <c r="C530" s="85"/>
      <c r="D530" s="85"/>
      <c r="E530" s="85"/>
      <c r="F530" s="85"/>
      <c r="G530" s="85"/>
      <c r="H530" s="85"/>
      <c r="I530" s="91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2.75" customHeight="1" spans="1:26">
      <c r="A531" s="85"/>
      <c r="B531" s="85"/>
      <c r="C531" s="85"/>
      <c r="D531" s="85"/>
      <c r="E531" s="85"/>
      <c r="F531" s="85"/>
      <c r="G531" s="85"/>
      <c r="H531" s="85"/>
      <c r="I531" s="91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2.75" customHeight="1" spans="1:26">
      <c r="A532" s="85"/>
      <c r="B532" s="85"/>
      <c r="C532" s="85"/>
      <c r="D532" s="85"/>
      <c r="E532" s="85"/>
      <c r="F532" s="85"/>
      <c r="G532" s="85"/>
      <c r="H532" s="85"/>
      <c r="I532" s="91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2.75" customHeight="1" spans="1:26">
      <c r="A533" s="85"/>
      <c r="B533" s="85"/>
      <c r="C533" s="85"/>
      <c r="D533" s="85"/>
      <c r="E533" s="85"/>
      <c r="F533" s="85"/>
      <c r="G533" s="85"/>
      <c r="H533" s="85"/>
      <c r="I533" s="91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2.75" customHeight="1" spans="1:26">
      <c r="A534" s="85"/>
      <c r="B534" s="85"/>
      <c r="C534" s="85"/>
      <c r="D534" s="85"/>
      <c r="E534" s="85"/>
      <c r="F534" s="85"/>
      <c r="G534" s="85"/>
      <c r="H534" s="85"/>
      <c r="I534" s="91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2.75" customHeight="1" spans="1:26">
      <c r="A535" s="85"/>
      <c r="B535" s="85"/>
      <c r="C535" s="85"/>
      <c r="D535" s="85"/>
      <c r="E535" s="85"/>
      <c r="F535" s="85"/>
      <c r="G535" s="85"/>
      <c r="H535" s="85"/>
      <c r="I535" s="91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2.75" customHeight="1" spans="1:26">
      <c r="A536" s="85"/>
      <c r="B536" s="85"/>
      <c r="C536" s="85"/>
      <c r="D536" s="85"/>
      <c r="E536" s="85"/>
      <c r="F536" s="85"/>
      <c r="G536" s="85"/>
      <c r="H536" s="85"/>
      <c r="I536" s="91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2.75" customHeight="1" spans="1:26">
      <c r="A537" s="85"/>
      <c r="B537" s="85"/>
      <c r="C537" s="85"/>
      <c r="D537" s="85"/>
      <c r="E537" s="85"/>
      <c r="F537" s="85"/>
      <c r="G537" s="85"/>
      <c r="H537" s="85"/>
      <c r="I537" s="91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2.75" customHeight="1" spans="1:26">
      <c r="A538" s="85"/>
      <c r="B538" s="85"/>
      <c r="C538" s="85"/>
      <c r="D538" s="85"/>
      <c r="E538" s="85"/>
      <c r="F538" s="85"/>
      <c r="G538" s="85"/>
      <c r="H538" s="85"/>
      <c r="I538" s="91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2.75" customHeight="1" spans="1:26">
      <c r="A539" s="85"/>
      <c r="B539" s="85"/>
      <c r="C539" s="85"/>
      <c r="D539" s="85"/>
      <c r="E539" s="85"/>
      <c r="F539" s="85"/>
      <c r="G539" s="85"/>
      <c r="H539" s="85"/>
      <c r="I539" s="91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2.75" customHeight="1" spans="1:26">
      <c r="A540" s="85"/>
      <c r="B540" s="85"/>
      <c r="C540" s="85"/>
      <c r="D540" s="85"/>
      <c r="E540" s="85"/>
      <c r="F540" s="85"/>
      <c r="G540" s="85"/>
      <c r="H540" s="85"/>
      <c r="I540" s="91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2.75" customHeight="1" spans="1:26">
      <c r="A541" s="85"/>
      <c r="B541" s="85"/>
      <c r="C541" s="85"/>
      <c r="D541" s="85"/>
      <c r="E541" s="85"/>
      <c r="F541" s="85"/>
      <c r="G541" s="85"/>
      <c r="H541" s="85"/>
      <c r="I541" s="91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2.75" customHeight="1" spans="1:26">
      <c r="A542" s="85"/>
      <c r="B542" s="85"/>
      <c r="C542" s="85"/>
      <c r="D542" s="85"/>
      <c r="E542" s="85"/>
      <c r="F542" s="85"/>
      <c r="G542" s="85"/>
      <c r="H542" s="85"/>
      <c r="I542" s="91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2.75" customHeight="1" spans="1:26">
      <c r="A543" s="85"/>
      <c r="B543" s="85"/>
      <c r="C543" s="85"/>
      <c r="D543" s="85"/>
      <c r="E543" s="85"/>
      <c r="F543" s="85"/>
      <c r="G543" s="85"/>
      <c r="H543" s="85"/>
      <c r="I543" s="91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2.75" customHeight="1" spans="1:26">
      <c r="A544" s="85"/>
      <c r="B544" s="85"/>
      <c r="C544" s="85"/>
      <c r="D544" s="85"/>
      <c r="E544" s="85"/>
      <c r="F544" s="85"/>
      <c r="G544" s="85"/>
      <c r="H544" s="85"/>
      <c r="I544" s="91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2.75" customHeight="1" spans="1:26">
      <c r="A545" s="85"/>
      <c r="B545" s="85"/>
      <c r="C545" s="85"/>
      <c r="D545" s="85"/>
      <c r="E545" s="85"/>
      <c r="F545" s="85"/>
      <c r="G545" s="85"/>
      <c r="H545" s="85"/>
      <c r="I545" s="91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2.75" customHeight="1" spans="1:26">
      <c r="A546" s="85"/>
      <c r="B546" s="85"/>
      <c r="C546" s="85"/>
      <c r="D546" s="85"/>
      <c r="E546" s="85"/>
      <c r="F546" s="85"/>
      <c r="G546" s="85"/>
      <c r="H546" s="85"/>
      <c r="I546" s="91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2.75" customHeight="1" spans="1:26">
      <c r="A547" s="85"/>
      <c r="B547" s="85"/>
      <c r="C547" s="85"/>
      <c r="D547" s="85"/>
      <c r="E547" s="85"/>
      <c r="F547" s="85"/>
      <c r="G547" s="85"/>
      <c r="H547" s="85"/>
      <c r="I547" s="91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2.75" customHeight="1" spans="1:26">
      <c r="A548" s="85"/>
      <c r="B548" s="85"/>
      <c r="C548" s="85"/>
      <c r="D548" s="85"/>
      <c r="E548" s="85"/>
      <c r="F548" s="85"/>
      <c r="G548" s="85"/>
      <c r="H548" s="85"/>
      <c r="I548" s="91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2.75" customHeight="1" spans="1:26">
      <c r="A549" s="85"/>
      <c r="B549" s="85"/>
      <c r="C549" s="85"/>
      <c r="D549" s="85"/>
      <c r="E549" s="85"/>
      <c r="F549" s="85"/>
      <c r="G549" s="85"/>
      <c r="H549" s="85"/>
      <c r="I549" s="91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2.75" customHeight="1" spans="1:26">
      <c r="A550" s="85"/>
      <c r="B550" s="85"/>
      <c r="C550" s="85"/>
      <c r="D550" s="85"/>
      <c r="E550" s="85"/>
      <c r="F550" s="85"/>
      <c r="G550" s="85"/>
      <c r="H550" s="85"/>
      <c r="I550" s="91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2.75" customHeight="1" spans="1:26">
      <c r="A551" s="85"/>
      <c r="B551" s="85"/>
      <c r="C551" s="85"/>
      <c r="D551" s="85"/>
      <c r="E551" s="85"/>
      <c r="F551" s="85"/>
      <c r="G551" s="85"/>
      <c r="H551" s="85"/>
      <c r="I551" s="91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2.75" customHeight="1" spans="1:26">
      <c r="A552" s="85"/>
      <c r="B552" s="85"/>
      <c r="C552" s="85"/>
      <c r="D552" s="85"/>
      <c r="E552" s="85"/>
      <c r="F552" s="85"/>
      <c r="G552" s="85"/>
      <c r="H552" s="85"/>
      <c r="I552" s="91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2.75" customHeight="1" spans="1:26">
      <c r="A553" s="85"/>
      <c r="B553" s="85"/>
      <c r="C553" s="85"/>
      <c r="D553" s="85"/>
      <c r="E553" s="85"/>
      <c r="F553" s="85"/>
      <c r="G553" s="85"/>
      <c r="H553" s="85"/>
      <c r="I553" s="91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2.75" customHeight="1" spans="1:26">
      <c r="A554" s="85"/>
      <c r="B554" s="85"/>
      <c r="C554" s="85"/>
      <c r="D554" s="85"/>
      <c r="E554" s="85"/>
      <c r="F554" s="85"/>
      <c r="G554" s="85"/>
      <c r="H554" s="85"/>
      <c r="I554" s="91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2.75" customHeight="1" spans="1:26">
      <c r="A555" s="85"/>
      <c r="B555" s="85"/>
      <c r="C555" s="85"/>
      <c r="D555" s="85"/>
      <c r="E555" s="85"/>
      <c r="F555" s="85"/>
      <c r="G555" s="85"/>
      <c r="H555" s="85"/>
      <c r="I555" s="91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2.75" customHeight="1" spans="1:26">
      <c r="A556" s="85"/>
      <c r="B556" s="85"/>
      <c r="C556" s="85"/>
      <c r="D556" s="85"/>
      <c r="E556" s="85"/>
      <c r="F556" s="85"/>
      <c r="G556" s="85"/>
      <c r="H556" s="85"/>
      <c r="I556" s="91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2.75" customHeight="1" spans="1:26">
      <c r="A557" s="85"/>
      <c r="B557" s="85"/>
      <c r="C557" s="85"/>
      <c r="D557" s="85"/>
      <c r="E557" s="85"/>
      <c r="F557" s="85"/>
      <c r="G557" s="85"/>
      <c r="H557" s="85"/>
      <c r="I557" s="91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2.75" customHeight="1" spans="1:26">
      <c r="A558" s="85"/>
      <c r="B558" s="85"/>
      <c r="C558" s="85"/>
      <c r="D558" s="85"/>
      <c r="E558" s="85"/>
      <c r="F558" s="85"/>
      <c r="G558" s="85"/>
      <c r="H558" s="85"/>
      <c r="I558" s="91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2.75" customHeight="1" spans="1:26">
      <c r="A559" s="85"/>
      <c r="B559" s="85"/>
      <c r="C559" s="85"/>
      <c r="D559" s="85"/>
      <c r="E559" s="85"/>
      <c r="F559" s="85"/>
      <c r="G559" s="85"/>
      <c r="H559" s="85"/>
      <c r="I559" s="91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2.75" customHeight="1" spans="1:26">
      <c r="A560" s="85"/>
      <c r="B560" s="85"/>
      <c r="C560" s="85"/>
      <c r="D560" s="85"/>
      <c r="E560" s="85"/>
      <c r="F560" s="85"/>
      <c r="G560" s="85"/>
      <c r="H560" s="85"/>
      <c r="I560" s="91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2.75" customHeight="1" spans="1:26">
      <c r="A561" s="85"/>
      <c r="B561" s="85"/>
      <c r="C561" s="85"/>
      <c r="D561" s="85"/>
      <c r="E561" s="85"/>
      <c r="F561" s="85"/>
      <c r="G561" s="85"/>
      <c r="H561" s="85"/>
      <c r="I561" s="91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2.75" customHeight="1" spans="1:26">
      <c r="A562" s="85"/>
      <c r="B562" s="85"/>
      <c r="C562" s="85"/>
      <c r="D562" s="85"/>
      <c r="E562" s="85"/>
      <c r="F562" s="85"/>
      <c r="G562" s="85"/>
      <c r="H562" s="85"/>
      <c r="I562" s="91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2.75" customHeight="1" spans="1:26">
      <c r="A563" s="85"/>
      <c r="B563" s="85"/>
      <c r="C563" s="85"/>
      <c r="D563" s="85"/>
      <c r="E563" s="85"/>
      <c r="F563" s="85"/>
      <c r="G563" s="85"/>
      <c r="H563" s="85"/>
      <c r="I563" s="91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2.75" customHeight="1" spans="1:26">
      <c r="A564" s="85"/>
      <c r="B564" s="85"/>
      <c r="C564" s="85"/>
      <c r="D564" s="85"/>
      <c r="E564" s="85"/>
      <c r="F564" s="85"/>
      <c r="G564" s="85"/>
      <c r="H564" s="85"/>
      <c r="I564" s="91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2.75" customHeight="1" spans="1:26">
      <c r="A565" s="85"/>
      <c r="B565" s="85"/>
      <c r="C565" s="85"/>
      <c r="D565" s="85"/>
      <c r="E565" s="85"/>
      <c r="F565" s="85"/>
      <c r="G565" s="85"/>
      <c r="H565" s="85"/>
      <c r="I565" s="91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2.75" customHeight="1" spans="1:26">
      <c r="A566" s="85"/>
      <c r="B566" s="85"/>
      <c r="C566" s="85"/>
      <c r="D566" s="85"/>
      <c r="E566" s="85"/>
      <c r="F566" s="85"/>
      <c r="G566" s="85"/>
      <c r="H566" s="85"/>
      <c r="I566" s="91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2.75" customHeight="1" spans="1:26">
      <c r="A567" s="85"/>
      <c r="B567" s="85"/>
      <c r="C567" s="85"/>
      <c r="D567" s="85"/>
      <c r="E567" s="85"/>
      <c r="F567" s="85"/>
      <c r="G567" s="85"/>
      <c r="H567" s="85"/>
      <c r="I567" s="91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2.75" customHeight="1" spans="1:26">
      <c r="A568" s="85"/>
      <c r="B568" s="85"/>
      <c r="C568" s="85"/>
      <c r="D568" s="85"/>
      <c r="E568" s="85"/>
      <c r="F568" s="85"/>
      <c r="G568" s="85"/>
      <c r="H568" s="85"/>
      <c r="I568" s="91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2.75" customHeight="1" spans="1:26">
      <c r="A569" s="85"/>
      <c r="B569" s="85"/>
      <c r="C569" s="85"/>
      <c r="D569" s="85"/>
      <c r="E569" s="85"/>
      <c r="F569" s="85"/>
      <c r="G569" s="85"/>
      <c r="H569" s="85"/>
      <c r="I569" s="91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2.75" customHeight="1" spans="1:26">
      <c r="A570" s="85"/>
      <c r="B570" s="85"/>
      <c r="C570" s="85"/>
      <c r="D570" s="85"/>
      <c r="E570" s="85"/>
      <c r="F570" s="85"/>
      <c r="G570" s="85"/>
      <c r="H570" s="85"/>
      <c r="I570" s="91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2.75" customHeight="1" spans="1:26">
      <c r="A571" s="85"/>
      <c r="B571" s="85"/>
      <c r="C571" s="85"/>
      <c r="D571" s="85"/>
      <c r="E571" s="85"/>
      <c r="F571" s="85"/>
      <c r="G571" s="85"/>
      <c r="H571" s="85"/>
      <c r="I571" s="91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2.75" customHeight="1" spans="1:26">
      <c r="A572" s="85"/>
      <c r="B572" s="85"/>
      <c r="C572" s="85"/>
      <c r="D572" s="85"/>
      <c r="E572" s="85"/>
      <c r="F572" s="85"/>
      <c r="G572" s="85"/>
      <c r="H572" s="85"/>
      <c r="I572" s="91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2.75" customHeight="1" spans="1:26">
      <c r="A573" s="85"/>
      <c r="B573" s="85"/>
      <c r="C573" s="85"/>
      <c r="D573" s="85"/>
      <c r="E573" s="85"/>
      <c r="F573" s="85"/>
      <c r="G573" s="85"/>
      <c r="H573" s="85"/>
      <c r="I573" s="91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2.75" customHeight="1" spans="1:26">
      <c r="A574" s="85"/>
      <c r="B574" s="85"/>
      <c r="C574" s="85"/>
      <c r="D574" s="85"/>
      <c r="E574" s="85"/>
      <c r="F574" s="85"/>
      <c r="G574" s="85"/>
      <c r="H574" s="85"/>
      <c r="I574" s="91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2.75" customHeight="1" spans="1:26">
      <c r="A575" s="85"/>
      <c r="B575" s="85"/>
      <c r="C575" s="85"/>
      <c r="D575" s="85"/>
      <c r="E575" s="85"/>
      <c r="F575" s="85"/>
      <c r="G575" s="85"/>
      <c r="H575" s="85"/>
      <c r="I575" s="91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2.75" customHeight="1" spans="1:26">
      <c r="A576" s="85"/>
      <c r="B576" s="85"/>
      <c r="C576" s="85"/>
      <c r="D576" s="85"/>
      <c r="E576" s="85"/>
      <c r="F576" s="85"/>
      <c r="G576" s="85"/>
      <c r="H576" s="85"/>
      <c r="I576" s="91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2.75" customHeight="1" spans="1:26">
      <c r="A577" s="85"/>
      <c r="B577" s="85"/>
      <c r="C577" s="85"/>
      <c r="D577" s="85"/>
      <c r="E577" s="85"/>
      <c r="F577" s="85"/>
      <c r="G577" s="85"/>
      <c r="H577" s="85"/>
      <c r="I577" s="91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2.75" customHeight="1" spans="1:26">
      <c r="A578" s="85"/>
      <c r="B578" s="85"/>
      <c r="C578" s="85"/>
      <c r="D578" s="85"/>
      <c r="E578" s="85"/>
      <c r="F578" s="85"/>
      <c r="G578" s="85"/>
      <c r="H578" s="85"/>
      <c r="I578" s="91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2.75" customHeight="1" spans="1:26">
      <c r="A579" s="85"/>
      <c r="B579" s="85"/>
      <c r="C579" s="85"/>
      <c r="D579" s="85"/>
      <c r="E579" s="85"/>
      <c r="F579" s="85"/>
      <c r="G579" s="85"/>
      <c r="H579" s="85"/>
      <c r="I579" s="91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2.75" customHeight="1" spans="1:26">
      <c r="A580" s="85"/>
      <c r="B580" s="85"/>
      <c r="C580" s="85"/>
      <c r="D580" s="85"/>
      <c r="E580" s="85"/>
      <c r="F580" s="85"/>
      <c r="G580" s="85"/>
      <c r="H580" s="85"/>
      <c r="I580" s="91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2.75" customHeight="1" spans="1:26">
      <c r="A581" s="85"/>
      <c r="B581" s="85"/>
      <c r="C581" s="85"/>
      <c r="D581" s="85"/>
      <c r="E581" s="85"/>
      <c r="F581" s="85"/>
      <c r="G581" s="85"/>
      <c r="H581" s="85"/>
      <c r="I581" s="91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2.75" customHeight="1" spans="1:26">
      <c r="A582" s="85"/>
      <c r="B582" s="85"/>
      <c r="C582" s="85"/>
      <c r="D582" s="85"/>
      <c r="E582" s="85"/>
      <c r="F582" s="85"/>
      <c r="G582" s="85"/>
      <c r="H582" s="85"/>
      <c r="I582" s="91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2.75" customHeight="1" spans="1:26">
      <c r="A583" s="85"/>
      <c r="B583" s="85"/>
      <c r="C583" s="85"/>
      <c r="D583" s="85"/>
      <c r="E583" s="85"/>
      <c r="F583" s="85"/>
      <c r="G583" s="85"/>
      <c r="H583" s="85"/>
      <c r="I583" s="91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2.75" customHeight="1" spans="1:26">
      <c r="A584" s="85"/>
      <c r="B584" s="85"/>
      <c r="C584" s="85"/>
      <c r="D584" s="85"/>
      <c r="E584" s="85"/>
      <c r="F584" s="85"/>
      <c r="G584" s="85"/>
      <c r="H584" s="85"/>
      <c r="I584" s="91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2.75" customHeight="1" spans="1:26">
      <c r="A585" s="85"/>
      <c r="B585" s="85"/>
      <c r="C585" s="85"/>
      <c r="D585" s="85"/>
      <c r="E585" s="85"/>
      <c r="F585" s="85"/>
      <c r="G585" s="85"/>
      <c r="H585" s="85"/>
      <c r="I585" s="91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2.75" customHeight="1" spans="1:26">
      <c r="A586" s="85"/>
      <c r="B586" s="85"/>
      <c r="C586" s="85"/>
      <c r="D586" s="85"/>
      <c r="E586" s="85"/>
      <c r="F586" s="85"/>
      <c r="G586" s="85"/>
      <c r="H586" s="85"/>
      <c r="I586" s="91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2.75" customHeight="1" spans="1:26">
      <c r="A587" s="85"/>
      <c r="B587" s="85"/>
      <c r="C587" s="85"/>
      <c r="D587" s="85"/>
      <c r="E587" s="85"/>
      <c r="F587" s="85"/>
      <c r="G587" s="85"/>
      <c r="H587" s="85"/>
      <c r="I587" s="91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2.75" customHeight="1" spans="1:26">
      <c r="A588" s="85"/>
      <c r="B588" s="85"/>
      <c r="C588" s="85"/>
      <c r="D588" s="85"/>
      <c r="E588" s="85"/>
      <c r="F588" s="85"/>
      <c r="G588" s="85"/>
      <c r="H588" s="85"/>
      <c r="I588" s="91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2.75" customHeight="1" spans="1:26">
      <c r="A589" s="85"/>
      <c r="B589" s="85"/>
      <c r="C589" s="85"/>
      <c r="D589" s="85"/>
      <c r="E589" s="85"/>
      <c r="F589" s="85"/>
      <c r="G589" s="85"/>
      <c r="H589" s="85"/>
      <c r="I589" s="91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2.75" customHeight="1" spans="1:26">
      <c r="A590" s="85"/>
      <c r="B590" s="85"/>
      <c r="C590" s="85"/>
      <c r="D590" s="85"/>
      <c r="E590" s="85"/>
      <c r="F590" s="85"/>
      <c r="G590" s="85"/>
      <c r="H590" s="85"/>
      <c r="I590" s="91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2.75" customHeight="1" spans="1:26">
      <c r="A591" s="85"/>
      <c r="B591" s="85"/>
      <c r="C591" s="85"/>
      <c r="D591" s="85"/>
      <c r="E591" s="85"/>
      <c r="F591" s="85"/>
      <c r="G591" s="85"/>
      <c r="H591" s="85"/>
      <c r="I591" s="91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2.75" customHeight="1" spans="1:26">
      <c r="A592" s="85"/>
      <c r="B592" s="85"/>
      <c r="C592" s="85"/>
      <c r="D592" s="85"/>
      <c r="E592" s="85"/>
      <c r="F592" s="85"/>
      <c r="G592" s="85"/>
      <c r="H592" s="85"/>
      <c r="I592" s="91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2.75" customHeight="1" spans="1:26">
      <c r="A593" s="85"/>
      <c r="B593" s="85"/>
      <c r="C593" s="85"/>
      <c r="D593" s="85"/>
      <c r="E593" s="85"/>
      <c r="F593" s="85"/>
      <c r="G593" s="85"/>
      <c r="H593" s="85"/>
      <c r="I593" s="91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2.75" customHeight="1" spans="1:26">
      <c r="A594" s="85"/>
      <c r="B594" s="85"/>
      <c r="C594" s="85"/>
      <c r="D594" s="85"/>
      <c r="E594" s="85"/>
      <c r="F594" s="85"/>
      <c r="G594" s="85"/>
      <c r="H594" s="85"/>
      <c r="I594" s="91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2.75" customHeight="1" spans="1:26">
      <c r="A595" s="85"/>
      <c r="B595" s="85"/>
      <c r="C595" s="85"/>
      <c r="D595" s="85"/>
      <c r="E595" s="85"/>
      <c r="F595" s="85"/>
      <c r="G595" s="85"/>
      <c r="H595" s="85"/>
      <c r="I595" s="91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2.75" customHeight="1" spans="1:26">
      <c r="A596" s="85"/>
      <c r="B596" s="85"/>
      <c r="C596" s="85"/>
      <c r="D596" s="85"/>
      <c r="E596" s="85"/>
      <c r="F596" s="85"/>
      <c r="G596" s="85"/>
      <c r="H596" s="85"/>
      <c r="I596" s="91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2.75" customHeight="1" spans="1:26">
      <c r="A597" s="85"/>
      <c r="B597" s="85"/>
      <c r="C597" s="85"/>
      <c r="D597" s="85"/>
      <c r="E597" s="85"/>
      <c r="F597" s="85"/>
      <c r="G597" s="85"/>
      <c r="H597" s="85"/>
      <c r="I597" s="91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2.75" customHeight="1" spans="1:26">
      <c r="A598" s="85"/>
      <c r="B598" s="85"/>
      <c r="C598" s="85"/>
      <c r="D598" s="85"/>
      <c r="E598" s="85"/>
      <c r="F598" s="85"/>
      <c r="G598" s="85"/>
      <c r="H598" s="85"/>
      <c r="I598" s="91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2.75" customHeight="1" spans="1:26">
      <c r="A599" s="85"/>
      <c r="B599" s="85"/>
      <c r="C599" s="85"/>
      <c r="D599" s="85"/>
      <c r="E599" s="85"/>
      <c r="F599" s="85"/>
      <c r="G599" s="85"/>
      <c r="H599" s="85"/>
      <c r="I599" s="91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2.75" customHeight="1" spans="1:26">
      <c r="A600" s="85"/>
      <c r="B600" s="85"/>
      <c r="C600" s="85"/>
      <c r="D600" s="85"/>
      <c r="E600" s="85"/>
      <c r="F600" s="85"/>
      <c r="G600" s="85"/>
      <c r="H600" s="85"/>
      <c r="I600" s="91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2.75" customHeight="1" spans="1:26">
      <c r="A601" s="85"/>
      <c r="B601" s="85"/>
      <c r="C601" s="85"/>
      <c r="D601" s="85"/>
      <c r="E601" s="85"/>
      <c r="F601" s="85"/>
      <c r="G601" s="85"/>
      <c r="H601" s="85"/>
      <c r="I601" s="91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2.75" customHeight="1" spans="1:26">
      <c r="A602" s="85"/>
      <c r="B602" s="85"/>
      <c r="C602" s="85"/>
      <c r="D602" s="85"/>
      <c r="E602" s="85"/>
      <c r="F602" s="85"/>
      <c r="G602" s="85"/>
      <c r="H602" s="85"/>
      <c r="I602" s="91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2.75" customHeight="1" spans="1:26">
      <c r="A603" s="85"/>
      <c r="B603" s="85"/>
      <c r="C603" s="85"/>
      <c r="D603" s="85"/>
      <c r="E603" s="85"/>
      <c r="F603" s="85"/>
      <c r="G603" s="85"/>
      <c r="H603" s="85"/>
      <c r="I603" s="91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2.75" customHeight="1" spans="1:26">
      <c r="A604" s="85"/>
      <c r="B604" s="85"/>
      <c r="C604" s="85"/>
      <c r="D604" s="85"/>
      <c r="E604" s="85"/>
      <c r="F604" s="85"/>
      <c r="G604" s="85"/>
      <c r="H604" s="85"/>
      <c r="I604" s="91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2.75" customHeight="1" spans="1:26">
      <c r="A605" s="85"/>
      <c r="B605" s="85"/>
      <c r="C605" s="85"/>
      <c r="D605" s="85"/>
      <c r="E605" s="85"/>
      <c r="F605" s="85"/>
      <c r="G605" s="85"/>
      <c r="H605" s="85"/>
      <c r="I605" s="91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2.75" customHeight="1" spans="1:26">
      <c r="A606" s="85"/>
      <c r="B606" s="85"/>
      <c r="C606" s="85"/>
      <c r="D606" s="85"/>
      <c r="E606" s="85"/>
      <c r="F606" s="85"/>
      <c r="G606" s="85"/>
      <c r="H606" s="85"/>
      <c r="I606" s="91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2.75" customHeight="1" spans="1:26">
      <c r="A607" s="85"/>
      <c r="B607" s="85"/>
      <c r="C607" s="85"/>
      <c r="D607" s="85"/>
      <c r="E607" s="85"/>
      <c r="F607" s="85"/>
      <c r="G607" s="85"/>
      <c r="H607" s="85"/>
      <c r="I607" s="91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2.75" customHeight="1" spans="1:26">
      <c r="A608" s="85"/>
      <c r="B608" s="85"/>
      <c r="C608" s="85"/>
      <c r="D608" s="85"/>
      <c r="E608" s="85"/>
      <c r="F608" s="85"/>
      <c r="G608" s="85"/>
      <c r="H608" s="85"/>
      <c r="I608" s="91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2.75" customHeight="1" spans="1:26">
      <c r="A609" s="85"/>
      <c r="B609" s="85"/>
      <c r="C609" s="85"/>
      <c r="D609" s="85"/>
      <c r="E609" s="85"/>
      <c r="F609" s="85"/>
      <c r="G609" s="85"/>
      <c r="H609" s="85"/>
      <c r="I609" s="91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2.75" customHeight="1" spans="1:26">
      <c r="A610" s="85"/>
      <c r="B610" s="85"/>
      <c r="C610" s="85"/>
      <c r="D610" s="85"/>
      <c r="E610" s="85"/>
      <c r="F610" s="85"/>
      <c r="G610" s="85"/>
      <c r="H610" s="85"/>
      <c r="I610" s="91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2.75" customHeight="1" spans="1:26">
      <c r="A611" s="85"/>
      <c r="B611" s="85"/>
      <c r="C611" s="85"/>
      <c r="D611" s="85"/>
      <c r="E611" s="85"/>
      <c r="F611" s="85"/>
      <c r="G611" s="85"/>
      <c r="H611" s="85"/>
      <c r="I611" s="91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2.75" customHeight="1" spans="1:26">
      <c r="A612" s="85"/>
      <c r="B612" s="85"/>
      <c r="C612" s="85"/>
      <c r="D612" s="85"/>
      <c r="E612" s="85"/>
      <c r="F612" s="85"/>
      <c r="G612" s="85"/>
      <c r="H612" s="85"/>
      <c r="I612" s="91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2.75" customHeight="1" spans="1:26">
      <c r="A613" s="85"/>
      <c r="B613" s="85"/>
      <c r="C613" s="85"/>
      <c r="D613" s="85"/>
      <c r="E613" s="85"/>
      <c r="F613" s="85"/>
      <c r="G613" s="85"/>
      <c r="H613" s="85"/>
      <c r="I613" s="91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2.75" customHeight="1" spans="1:26">
      <c r="A614" s="85"/>
      <c r="B614" s="85"/>
      <c r="C614" s="85"/>
      <c r="D614" s="85"/>
      <c r="E614" s="85"/>
      <c r="F614" s="85"/>
      <c r="G614" s="85"/>
      <c r="H614" s="85"/>
      <c r="I614" s="91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2.75" customHeight="1" spans="1:26">
      <c r="A615" s="85"/>
      <c r="B615" s="85"/>
      <c r="C615" s="85"/>
      <c r="D615" s="85"/>
      <c r="E615" s="85"/>
      <c r="F615" s="85"/>
      <c r="G615" s="85"/>
      <c r="H615" s="85"/>
      <c r="I615" s="91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2.75" customHeight="1" spans="1:26">
      <c r="A616" s="85"/>
      <c r="B616" s="85"/>
      <c r="C616" s="85"/>
      <c r="D616" s="85"/>
      <c r="E616" s="85"/>
      <c r="F616" s="85"/>
      <c r="G616" s="85"/>
      <c r="H616" s="85"/>
      <c r="I616" s="91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2.75" customHeight="1" spans="1:26">
      <c r="A617" s="85"/>
      <c r="B617" s="85"/>
      <c r="C617" s="85"/>
      <c r="D617" s="85"/>
      <c r="E617" s="85"/>
      <c r="F617" s="85"/>
      <c r="G617" s="85"/>
      <c r="H617" s="85"/>
      <c r="I617" s="91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2.75" customHeight="1" spans="1:26">
      <c r="A618" s="85"/>
      <c r="B618" s="85"/>
      <c r="C618" s="85"/>
      <c r="D618" s="85"/>
      <c r="E618" s="85"/>
      <c r="F618" s="85"/>
      <c r="G618" s="85"/>
      <c r="H618" s="85"/>
      <c r="I618" s="91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2.75" customHeight="1" spans="1:26">
      <c r="A619" s="85"/>
      <c r="B619" s="85"/>
      <c r="C619" s="85"/>
      <c r="D619" s="85"/>
      <c r="E619" s="85"/>
      <c r="F619" s="85"/>
      <c r="G619" s="85"/>
      <c r="H619" s="85"/>
      <c r="I619" s="91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2.75" customHeight="1" spans="1:26">
      <c r="A620" s="85"/>
      <c r="B620" s="85"/>
      <c r="C620" s="85"/>
      <c r="D620" s="85"/>
      <c r="E620" s="85"/>
      <c r="F620" s="85"/>
      <c r="G620" s="85"/>
      <c r="H620" s="85"/>
      <c r="I620" s="91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2.75" customHeight="1" spans="1:26">
      <c r="A621" s="85"/>
      <c r="B621" s="85"/>
      <c r="C621" s="85"/>
      <c r="D621" s="85"/>
      <c r="E621" s="85"/>
      <c r="F621" s="85"/>
      <c r="G621" s="85"/>
      <c r="H621" s="85"/>
      <c r="I621" s="91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2.75" customHeight="1" spans="1:26">
      <c r="A622" s="85"/>
      <c r="B622" s="85"/>
      <c r="C622" s="85"/>
      <c r="D622" s="85"/>
      <c r="E622" s="85"/>
      <c r="F622" s="85"/>
      <c r="G622" s="85"/>
      <c r="H622" s="85"/>
      <c r="I622" s="91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2.75" customHeight="1" spans="1:26">
      <c r="A623" s="85"/>
      <c r="B623" s="85"/>
      <c r="C623" s="85"/>
      <c r="D623" s="85"/>
      <c r="E623" s="85"/>
      <c r="F623" s="85"/>
      <c r="G623" s="85"/>
      <c r="H623" s="85"/>
      <c r="I623" s="91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2.75" customHeight="1" spans="1:26">
      <c r="A624" s="85"/>
      <c r="B624" s="85"/>
      <c r="C624" s="85"/>
      <c r="D624" s="85"/>
      <c r="E624" s="85"/>
      <c r="F624" s="85"/>
      <c r="G624" s="85"/>
      <c r="H624" s="85"/>
      <c r="I624" s="91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2.75" customHeight="1" spans="1:26">
      <c r="A625" s="85"/>
      <c r="B625" s="85"/>
      <c r="C625" s="85"/>
      <c r="D625" s="85"/>
      <c r="E625" s="85"/>
      <c r="F625" s="85"/>
      <c r="G625" s="85"/>
      <c r="H625" s="85"/>
      <c r="I625" s="91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2.75" customHeight="1" spans="1:26">
      <c r="A626" s="85"/>
      <c r="B626" s="85"/>
      <c r="C626" s="85"/>
      <c r="D626" s="85"/>
      <c r="E626" s="85"/>
      <c r="F626" s="85"/>
      <c r="G626" s="85"/>
      <c r="H626" s="85"/>
      <c r="I626" s="91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2.75" customHeight="1" spans="1:26">
      <c r="A627" s="85"/>
      <c r="B627" s="85"/>
      <c r="C627" s="85"/>
      <c r="D627" s="85"/>
      <c r="E627" s="85"/>
      <c r="F627" s="85"/>
      <c r="G627" s="85"/>
      <c r="H627" s="85"/>
      <c r="I627" s="91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2.75" customHeight="1" spans="1:26">
      <c r="A628" s="85"/>
      <c r="B628" s="85"/>
      <c r="C628" s="85"/>
      <c r="D628" s="85"/>
      <c r="E628" s="85"/>
      <c r="F628" s="85"/>
      <c r="G628" s="85"/>
      <c r="H628" s="85"/>
      <c r="I628" s="91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2.75" customHeight="1" spans="1:26">
      <c r="A629" s="85"/>
      <c r="B629" s="85"/>
      <c r="C629" s="85"/>
      <c r="D629" s="85"/>
      <c r="E629" s="85"/>
      <c r="F629" s="85"/>
      <c r="G629" s="85"/>
      <c r="H629" s="85"/>
      <c r="I629" s="91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2.75" customHeight="1" spans="1:26">
      <c r="A630" s="85"/>
      <c r="B630" s="85"/>
      <c r="C630" s="85"/>
      <c r="D630" s="85"/>
      <c r="E630" s="85"/>
      <c r="F630" s="85"/>
      <c r="G630" s="85"/>
      <c r="H630" s="85"/>
      <c r="I630" s="91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2.75" customHeight="1" spans="1:26">
      <c r="A631" s="85"/>
      <c r="B631" s="85"/>
      <c r="C631" s="85"/>
      <c r="D631" s="85"/>
      <c r="E631" s="85"/>
      <c r="F631" s="85"/>
      <c r="G631" s="85"/>
      <c r="H631" s="85"/>
      <c r="I631" s="91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2.75" customHeight="1" spans="1:26">
      <c r="A632" s="85"/>
      <c r="B632" s="85"/>
      <c r="C632" s="85"/>
      <c r="D632" s="85"/>
      <c r="E632" s="85"/>
      <c r="F632" s="85"/>
      <c r="G632" s="85"/>
      <c r="H632" s="85"/>
      <c r="I632" s="91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2.75" customHeight="1" spans="1:26">
      <c r="A633" s="85"/>
      <c r="B633" s="85"/>
      <c r="C633" s="85"/>
      <c r="D633" s="85"/>
      <c r="E633" s="85"/>
      <c r="F633" s="85"/>
      <c r="G633" s="85"/>
      <c r="H633" s="85"/>
      <c r="I633" s="91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2.75" customHeight="1" spans="1:26">
      <c r="A634" s="85"/>
      <c r="B634" s="85"/>
      <c r="C634" s="85"/>
      <c r="D634" s="85"/>
      <c r="E634" s="85"/>
      <c r="F634" s="85"/>
      <c r="G634" s="85"/>
      <c r="H634" s="85"/>
      <c r="I634" s="91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2.75" customHeight="1" spans="1:26">
      <c r="A635" s="85"/>
      <c r="B635" s="85"/>
      <c r="C635" s="85"/>
      <c r="D635" s="85"/>
      <c r="E635" s="85"/>
      <c r="F635" s="85"/>
      <c r="G635" s="85"/>
      <c r="H635" s="85"/>
      <c r="I635" s="91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2.75" customHeight="1" spans="1:26">
      <c r="A636" s="85"/>
      <c r="B636" s="85"/>
      <c r="C636" s="85"/>
      <c r="D636" s="85"/>
      <c r="E636" s="85"/>
      <c r="F636" s="85"/>
      <c r="G636" s="85"/>
      <c r="H636" s="85"/>
      <c r="I636" s="91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2.75" customHeight="1" spans="1:26">
      <c r="A637" s="85"/>
      <c r="B637" s="85"/>
      <c r="C637" s="85"/>
      <c r="D637" s="85"/>
      <c r="E637" s="85"/>
      <c r="F637" s="85"/>
      <c r="G637" s="85"/>
      <c r="H637" s="85"/>
      <c r="I637" s="91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2.75" customHeight="1" spans="1:26">
      <c r="A638" s="85"/>
      <c r="B638" s="85"/>
      <c r="C638" s="85"/>
      <c r="D638" s="85"/>
      <c r="E638" s="85"/>
      <c r="F638" s="85"/>
      <c r="G638" s="85"/>
      <c r="H638" s="85"/>
      <c r="I638" s="91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2.75" customHeight="1" spans="1:26">
      <c r="A639" s="85"/>
      <c r="B639" s="85"/>
      <c r="C639" s="85"/>
      <c r="D639" s="85"/>
      <c r="E639" s="85"/>
      <c r="F639" s="85"/>
      <c r="G639" s="85"/>
      <c r="H639" s="85"/>
      <c r="I639" s="91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2.75" customHeight="1" spans="1:26">
      <c r="A640" s="85"/>
      <c r="B640" s="85"/>
      <c r="C640" s="85"/>
      <c r="D640" s="85"/>
      <c r="E640" s="85"/>
      <c r="F640" s="85"/>
      <c r="G640" s="85"/>
      <c r="H640" s="85"/>
      <c r="I640" s="91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2.75" customHeight="1" spans="1:26">
      <c r="A641" s="85"/>
      <c r="B641" s="85"/>
      <c r="C641" s="85"/>
      <c r="D641" s="85"/>
      <c r="E641" s="85"/>
      <c r="F641" s="85"/>
      <c r="G641" s="85"/>
      <c r="H641" s="85"/>
      <c r="I641" s="91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2.75" customHeight="1" spans="1:26">
      <c r="A642" s="85"/>
      <c r="B642" s="85"/>
      <c r="C642" s="85"/>
      <c r="D642" s="85"/>
      <c r="E642" s="85"/>
      <c r="F642" s="85"/>
      <c r="G642" s="85"/>
      <c r="H642" s="85"/>
      <c r="I642" s="91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2.75" customHeight="1" spans="1:26">
      <c r="A643" s="85"/>
      <c r="B643" s="85"/>
      <c r="C643" s="85"/>
      <c r="D643" s="85"/>
      <c r="E643" s="85"/>
      <c r="F643" s="85"/>
      <c r="G643" s="85"/>
      <c r="H643" s="85"/>
      <c r="I643" s="91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2.75" customHeight="1" spans="1:26">
      <c r="A644" s="85"/>
      <c r="B644" s="85"/>
      <c r="C644" s="85"/>
      <c r="D644" s="85"/>
      <c r="E644" s="85"/>
      <c r="F644" s="85"/>
      <c r="G644" s="85"/>
      <c r="H644" s="85"/>
      <c r="I644" s="91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2.75" customHeight="1" spans="1:26">
      <c r="A645" s="85"/>
      <c r="B645" s="85"/>
      <c r="C645" s="85"/>
      <c r="D645" s="85"/>
      <c r="E645" s="85"/>
      <c r="F645" s="85"/>
      <c r="G645" s="85"/>
      <c r="H645" s="85"/>
      <c r="I645" s="91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2.75" customHeight="1" spans="1:26">
      <c r="A646" s="85"/>
      <c r="B646" s="85"/>
      <c r="C646" s="85"/>
      <c r="D646" s="85"/>
      <c r="E646" s="85"/>
      <c r="F646" s="85"/>
      <c r="G646" s="85"/>
      <c r="H646" s="85"/>
      <c r="I646" s="91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2.75" customHeight="1" spans="1:26">
      <c r="A647" s="85"/>
      <c r="B647" s="85"/>
      <c r="C647" s="85"/>
      <c r="D647" s="85"/>
      <c r="E647" s="85"/>
      <c r="F647" s="85"/>
      <c r="G647" s="85"/>
      <c r="H647" s="85"/>
      <c r="I647" s="91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2.75" customHeight="1" spans="1:26">
      <c r="A648" s="85"/>
      <c r="B648" s="85"/>
      <c r="C648" s="85"/>
      <c r="D648" s="85"/>
      <c r="E648" s="85"/>
      <c r="F648" s="85"/>
      <c r="G648" s="85"/>
      <c r="H648" s="85"/>
      <c r="I648" s="91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2.75" customHeight="1" spans="1:26">
      <c r="A649" s="85"/>
      <c r="B649" s="85"/>
      <c r="C649" s="85"/>
      <c r="D649" s="85"/>
      <c r="E649" s="85"/>
      <c r="F649" s="85"/>
      <c r="G649" s="85"/>
      <c r="H649" s="85"/>
      <c r="I649" s="91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2.75" customHeight="1" spans="1:26">
      <c r="A650" s="85"/>
      <c r="B650" s="85"/>
      <c r="C650" s="85"/>
      <c r="D650" s="85"/>
      <c r="E650" s="85"/>
      <c r="F650" s="85"/>
      <c r="G650" s="85"/>
      <c r="H650" s="85"/>
      <c r="I650" s="91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2.75" customHeight="1" spans="1:26">
      <c r="A651" s="85"/>
      <c r="B651" s="85"/>
      <c r="C651" s="85"/>
      <c r="D651" s="85"/>
      <c r="E651" s="85"/>
      <c r="F651" s="85"/>
      <c r="G651" s="85"/>
      <c r="H651" s="85"/>
      <c r="I651" s="91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2.75" customHeight="1" spans="1:26">
      <c r="A652" s="85"/>
      <c r="B652" s="85"/>
      <c r="C652" s="85"/>
      <c r="D652" s="85"/>
      <c r="E652" s="85"/>
      <c r="F652" s="85"/>
      <c r="G652" s="85"/>
      <c r="H652" s="85"/>
      <c r="I652" s="91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2.75" customHeight="1" spans="1:26">
      <c r="A653" s="85"/>
      <c r="B653" s="85"/>
      <c r="C653" s="85"/>
      <c r="D653" s="85"/>
      <c r="E653" s="85"/>
      <c r="F653" s="85"/>
      <c r="G653" s="85"/>
      <c r="H653" s="85"/>
      <c r="I653" s="91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2.75" customHeight="1" spans="1:26">
      <c r="A654" s="85"/>
      <c r="B654" s="85"/>
      <c r="C654" s="85"/>
      <c r="D654" s="85"/>
      <c r="E654" s="85"/>
      <c r="F654" s="85"/>
      <c r="G654" s="85"/>
      <c r="H654" s="85"/>
      <c r="I654" s="91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2.75" customHeight="1" spans="1:26">
      <c r="A655" s="85"/>
      <c r="B655" s="85"/>
      <c r="C655" s="85"/>
      <c r="D655" s="85"/>
      <c r="E655" s="85"/>
      <c r="F655" s="85"/>
      <c r="G655" s="85"/>
      <c r="H655" s="85"/>
      <c r="I655" s="91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2.75" customHeight="1" spans="1:26">
      <c r="A656" s="85"/>
      <c r="B656" s="85"/>
      <c r="C656" s="85"/>
      <c r="D656" s="85"/>
      <c r="E656" s="85"/>
      <c r="F656" s="85"/>
      <c r="G656" s="85"/>
      <c r="H656" s="85"/>
      <c r="I656" s="91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2.75" customHeight="1" spans="1:26">
      <c r="A657" s="85"/>
      <c r="B657" s="85"/>
      <c r="C657" s="85"/>
      <c r="D657" s="85"/>
      <c r="E657" s="85"/>
      <c r="F657" s="85"/>
      <c r="G657" s="85"/>
      <c r="H657" s="85"/>
      <c r="I657" s="91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2.75" customHeight="1" spans="1:26">
      <c r="A658" s="85"/>
      <c r="B658" s="85"/>
      <c r="C658" s="85"/>
      <c r="D658" s="85"/>
      <c r="E658" s="85"/>
      <c r="F658" s="85"/>
      <c r="G658" s="85"/>
      <c r="H658" s="85"/>
      <c r="I658" s="91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2.75" customHeight="1" spans="1:26">
      <c r="A659" s="85"/>
      <c r="B659" s="85"/>
      <c r="C659" s="85"/>
      <c r="D659" s="85"/>
      <c r="E659" s="85"/>
      <c r="F659" s="85"/>
      <c r="G659" s="85"/>
      <c r="H659" s="85"/>
      <c r="I659" s="91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2.75" customHeight="1" spans="1:26">
      <c r="A660" s="85"/>
      <c r="B660" s="85"/>
      <c r="C660" s="85"/>
      <c r="D660" s="85"/>
      <c r="E660" s="85"/>
      <c r="F660" s="85"/>
      <c r="G660" s="85"/>
      <c r="H660" s="85"/>
      <c r="I660" s="91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2.75" customHeight="1" spans="1:26">
      <c r="A661" s="85"/>
      <c r="B661" s="85"/>
      <c r="C661" s="85"/>
      <c r="D661" s="85"/>
      <c r="E661" s="85"/>
      <c r="F661" s="85"/>
      <c r="G661" s="85"/>
      <c r="H661" s="85"/>
      <c r="I661" s="91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2.75" customHeight="1" spans="1:26">
      <c r="A662" s="85"/>
      <c r="B662" s="85"/>
      <c r="C662" s="85"/>
      <c r="D662" s="85"/>
      <c r="E662" s="85"/>
      <c r="F662" s="85"/>
      <c r="G662" s="85"/>
      <c r="H662" s="85"/>
      <c r="I662" s="91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2.75" customHeight="1" spans="1:26">
      <c r="A663" s="85"/>
      <c r="B663" s="85"/>
      <c r="C663" s="85"/>
      <c r="D663" s="85"/>
      <c r="E663" s="85"/>
      <c r="F663" s="85"/>
      <c r="G663" s="85"/>
      <c r="H663" s="85"/>
      <c r="I663" s="91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2.75" customHeight="1" spans="1:26">
      <c r="A664" s="85"/>
      <c r="B664" s="85"/>
      <c r="C664" s="85"/>
      <c r="D664" s="85"/>
      <c r="E664" s="85"/>
      <c r="F664" s="85"/>
      <c r="G664" s="85"/>
      <c r="H664" s="85"/>
      <c r="I664" s="91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2.75" customHeight="1" spans="1:26">
      <c r="A665" s="85"/>
      <c r="B665" s="85"/>
      <c r="C665" s="85"/>
      <c r="D665" s="85"/>
      <c r="E665" s="85"/>
      <c r="F665" s="85"/>
      <c r="G665" s="85"/>
      <c r="H665" s="85"/>
      <c r="I665" s="91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2.75" customHeight="1" spans="1:26">
      <c r="A666" s="85"/>
      <c r="B666" s="85"/>
      <c r="C666" s="85"/>
      <c r="D666" s="85"/>
      <c r="E666" s="85"/>
      <c r="F666" s="85"/>
      <c r="G666" s="85"/>
      <c r="H666" s="85"/>
      <c r="I666" s="91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2.75" customHeight="1" spans="1:26">
      <c r="A667" s="85"/>
      <c r="B667" s="85"/>
      <c r="C667" s="85"/>
      <c r="D667" s="85"/>
      <c r="E667" s="85"/>
      <c r="F667" s="85"/>
      <c r="G667" s="85"/>
      <c r="H667" s="85"/>
      <c r="I667" s="91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2.75" customHeight="1" spans="1:26">
      <c r="A668" s="85"/>
      <c r="B668" s="85"/>
      <c r="C668" s="85"/>
      <c r="D668" s="85"/>
      <c r="E668" s="85"/>
      <c r="F668" s="85"/>
      <c r="G668" s="85"/>
      <c r="H668" s="85"/>
      <c r="I668" s="91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2.75" customHeight="1" spans="1:26">
      <c r="A669" s="85"/>
      <c r="B669" s="85"/>
      <c r="C669" s="85"/>
      <c r="D669" s="85"/>
      <c r="E669" s="85"/>
      <c r="F669" s="85"/>
      <c r="G669" s="85"/>
      <c r="H669" s="85"/>
      <c r="I669" s="91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2.75" customHeight="1" spans="1:26">
      <c r="A670" s="85"/>
      <c r="B670" s="85"/>
      <c r="C670" s="85"/>
      <c r="D670" s="85"/>
      <c r="E670" s="85"/>
      <c r="F670" s="85"/>
      <c r="G670" s="85"/>
      <c r="H670" s="85"/>
      <c r="I670" s="91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2.75" customHeight="1" spans="1:26">
      <c r="A671" s="85"/>
      <c r="B671" s="85"/>
      <c r="C671" s="85"/>
      <c r="D671" s="85"/>
      <c r="E671" s="85"/>
      <c r="F671" s="85"/>
      <c r="G671" s="85"/>
      <c r="H671" s="85"/>
      <c r="I671" s="91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2.75" customHeight="1" spans="1:26">
      <c r="A672" s="85"/>
      <c r="B672" s="85"/>
      <c r="C672" s="85"/>
      <c r="D672" s="85"/>
      <c r="E672" s="85"/>
      <c r="F672" s="85"/>
      <c r="G672" s="85"/>
      <c r="H672" s="85"/>
      <c r="I672" s="91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2.75" customHeight="1" spans="1:26">
      <c r="A673" s="85"/>
      <c r="B673" s="85"/>
      <c r="C673" s="85"/>
      <c r="D673" s="85"/>
      <c r="E673" s="85"/>
      <c r="F673" s="85"/>
      <c r="G673" s="85"/>
      <c r="H673" s="85"/>
      <c r="I673" s="91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2.75" customHeight="1" spans="1:26">
      <c r="A674" s="85"/>
      <c r="B674" s="85"/>
      <c r="C674" s="85"/>
      <c r="D674" s="85"/>
      <c r="E674" s="85"/>
      <c r="F674" s="85"/>
      <c r="G674" s="85"/>
      <c r="H674" s="85"/>
      <c r="I674" s="91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2.75" customHeight="1" spans="1:26">
      <c r="A675" s="85"/>
      <c r="B675" s="85"/>
      <c r="C675" s="85"/>
      <c r="D675" s="85"/>
      <c r="E675" s="85"/>
      <c r="F675" s="85"/>
      <c r="G675" s="85"/>
      <c r="H675" s="85"/>
      <c r="I675" s="91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2.75" customHeight="1" spans="1:26">
      <c r="A676" s="85"/>
      <c r="B676" s="85"/>
      <c r="C676" s="85"/>
      <c r="D676" s="85"/>
      <c r="E676" s="85"/>
      <c r="F676" s="85"/>
      <c r="G676" s="85"/>
      <c r="H676" s="85"/>
      <c r="I676" s="91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2.75" customHeight="1" spans="1:26">
      <c r="A677" s="85"/>
      <c r="B677" s="85"/>
      <c r="C677" s="85"/>
      <c r="D677" s="85"/>
      <c r="E677" s="85"/>
      <c r="F677" s="85"/>
      <c r="G677" s="85"/>
      <c r="H677" s="85"/>
      <c r="I677" s="91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2.75" customHeight="1" spans="1:26">
      <c r="A678" s="85"/>
      <c r="B678" s="85"/>
      <c r="C678" s="85"/>
      <c r="D678" s="85"/>
      <c r="E678" s="85"/>
      <c r="F678" s="85"/>
      <c r="G678" s="85"/>
      <c r="H678" s="85"/>
      <c r="I678" s="91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2.75" customHeight="1" spans="1:26">
      <c r="A679" s="85"/>
      <c r="B679" s="85"/>
      <c r="C679" s="85"/>
      <c r="D679" s="85"/>
      <c r="E679" s="85"/>
      <c r="F679" s="85"/>
      <c r="G679" s="85"/>
      <c r="H679" s="85"/>
      <c r="I679" s="91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2.75" customHeight="1" spans="1:26">
      <c r="A680" s="85"/>
      <c r="B680" s="85"/>
      <c r="C680" s="85"/>
      <c r="D680" s="85"/>
      <c r="E680" s="85"/>
      <c r="F680" s="85"/>
      <c r="G680" s="85"/>
      <c r="H680" s="85"/>
      <c r="I680" s="91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2.75" customHeight="1" spans="1:26">
      <c r="A681" s="85"/>
      <c r="B681" s="85"/>
      <c r="C681" s="85"/>
      <c r="D681" s="85"/>
      <c r="E681" s="85"/>
      <c r="F681" s="85"/>
      <c r="G681" s="85"/>
      <c r="H681" s="85"/>
      <c r="I681" s="91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2.75" customHeight="1" spans="1:26">
      <c r="A682" s="85"/>
      <c r="B682" s="85"/>
      <c r="C682" s="85"/>
      <c r="D682" s="85"/>
      <c r="E682" s="85"/>
      <c r="F682" s="85"/>
      <c r="G682" s="85"/>
      <c r="H682" s="85"/>
      <c r="I682" s="91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2.75" customHeight="1" spans="1:26">
      <c r="A683" s="85"/>
      <c r="B683" s="85"/>
      <c r="C683" s="85"/>
      <c r="D683" s="85"/>
      <c r="E683" s="85"/>
      <c r="F683" s="85"/>
      <c r="G683" s="85"/>
      <c r="H683" s="85"/>
      <c r="I683" s="91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2.75" customHeight="1" spans="1:26">
      <c r="A684" s="85"/>
      <c r="B684" s="85"/>
      <c r="C684" s="85"/>
      <c r="D684" s="85"/>
      <c r="E684" s="85"/>
      <c r="F684" s="85"/>
      <c r="G684" s="85"/>
      <c r="H684" s="85"/>
      <c r="I684" s="91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2.75" customHeight="1" spans="1:26">
      <c r="A685" s="85"/>
      <c r="B685" s="85"/>
      <c r="C685" s="85"/>
      <c r="D685" s="85"/>
      <c r="E685" s="85"/>
      <c r="F685" s="85"/>
      <c r="G685" s="85"/>
      <c r="H685" s="85"/>
      <c r="I685" s="91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2.75" customHeight="1" spans="1:26">
      <c r="A686" s="85"/>
      <c r="B686" s="85"/>
      <c r="C686" s="85"/>
      <c r="D686" s="85"/>
      <c r="E686" s="85"/>
      <c r="F686" s="85"/>
      <c r="G686" s="85"/>
      <c r="H686" s="85"/>
      <c r="I686" s="91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2.75" customHeight="1" spans="1:26">
      <c r="A687" s="85"/>
      <c r="B687" s="85"/>
      <c r="C687" s="85"/>
      <c r="D687" s="85"/>
      <c r="E687" s="85"/>
      <c r="F687" s="85"/>
      <c r="G687" s="85"/>
      <c r="H687" s="85"/>
      <c r="I687" s="91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2.75" customHeight="1" spans="1:26">
      <c r="A688" s="85"/>
      <c r="B688" s="85"/>
      <c r="C688" s="85"/>
      <c r="D688" s="85"/>
      <c r="E688" s="85"/>
      <c r="F688" s="85"/>
      <c r="G688" s="85"/>
      <c r="H688" s="85"/>
      <c r="I688" s="91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2.75" customHeight="1" spans="1:26">
      <c r="A689" s="85"/>
      <c r="B689" s="85"/>
      <c r="C689" s="85"/>
      <c r="D689" s="85"/>
      <c r="E689" s="85"/>
      <c r="F689" s="85"/>
      <c r="G689" s="85"/>
      <c r="H689" s="85"/>
      <c r="I689" s="91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2.75" customHeight="1" spans="1:26">
      <c r="A690" s="85"/>
      <c r="B690" s="85"/>
      <c r="C690" s="85"/>
      <c r="D690" s="85"/>
      <c r="E690" s="85"/>
      <c r="F690" s="85"/>
      <c r="G690" s="85"/>
      <c r="H690" s="85"/>
      <c r="I690" s="91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2.75" customHeight="1" spans="1:26">
      <c r="A691" s="85"/>
      <c r="B691" s="85"/>
      <c r="C691" s="85"/>
      <c r="D691" s="85"/>
      <c r="E691" s="85"/>
      <c r="F691" s="85"/>
      <c r="G691" s="85"/>
      <c r="H691" s="85"/>
      <c r="I691" s="91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2.75" customHeight="1" spans="1:26">
      <c r="A692" s="85"/>
      <c r="B692" s="85"/>
      <c r="C692" s="85"/>
      <c r="D692" s="85"/>
      <c r="E692" s="85"/>
      <c r="F692" s="85"/>
      <c r="G692" s="85"/>
      <c r="H692" s="85"/>
      <c r="I692" s="91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2.75" customHeight="1" spans="1:26">
      <c r="A693" s="85"/>
      <c r="B693" s="85"/>
      <c r="C693" s="85"/>
      <c r="D693" s="85"/>
      <c r="E693" s="85"/>
      <c r="F693" s="85"/>
      <c r="G693" s="85"/>
      <c r="H693" s="85"/>
      <c r="I693" s="91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2.75" customHeight="1" spans="1:26">
      <c r="A694" s="85"/>
      <c r="B694" s="85"/>
      <c r="C694" s="85"/>
      <c r="D694" s="85"/>
      <c r="E694" s="85"/>
      <c r="F694" s="85"/>
      <c r="G694" s="85"/>
      <c r="H694" s="85"/>
      <c r="I694" s="91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2.75" customHeight="1" spans="1:26">
      <c r="A695" s="85"/>
      <c r="B695" s="85"/>
      <c r="C695" s="85"/>
      <c r="D695" s="85"/>
      <c r="E695" s="85"/>
      <c r="F695" s="85"/>
      <c r="G695" s="85"/>
      <c r="H695" s="85"/>
      <c r="I695" s="91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2.75" customHeight="1" spans="1:26">
      <c r="A696" s="85"/>
      <c r="B696" s="85"/>
      <c r="C696" s="85"/>
      <c r="D696" s="85"/>
      <c r="E696" s="85"/>
      <c r="F696" s="85"/>
      <c r="G696" s="85"/>
      <c r="H696" s="85"/>
      <c r="I696" s="91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2.75" customHeight="1" spans="1:26">
      <c r="A697" s="85"/>
      <c r="B697" s="85"/>
      <c r="C697" s="85"/>
      <c r="D697" s="85"/>
      <c r="E697" s="85"/>
      <c r="F697" s="85"/>
      <c r="G697" s="85"/>
      <c r="H697" s="85"/>
      <c r="I697" s="91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2.75" customHeight="1" spans="1:26">
      <c r="A698" s="85"/>
      <c r="B698" s="85"/>
      <c r="C698" s="85"/>
      <c r="D698" s="85"/>
      <c r="E698" s="85"/>
      <c r="F698" s="85"/>
      <c r="G698" s="85"/>
      <c r="H698" s="85"/>
      <c r="I698" s="91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2.75" customHeight="1" spans="1:26">
      <c r="A699" s="85"/>
      <c r="B699" s="85"/>
      <c r="C699" s="85"/>
      <c r="D699" s="85"/>
      <c r="E699" s="85"/>
      <c r="F699" s="85"/>
      <c r="G699" s="85"/>
      <c r="H699" s="85"/>
      <c r="I699" s="91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2.75" customHeight="1" spans="1:26">
      <c r="A700" s="85"/>
      <c r="B700" s="85"/>
      <c r="C700" s="85"/>
      <c r="D700" s="85"/>
      <c r="E700" s="85"/>
      <c r="F700" s="85"/>
      <c r="G700" s="85"/>
      <c r="H700" s="85"/>
      <c r="I700" s="91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2.75" customHeight="1" spans="1:26">
      <c r="A701" s="85"/>
      <c r="B701" s="85"/>
      <c r="C701" s="85"/>
      <c r="D701" s="85"/>
      <c r="E701" s="85"/>
      <c r="F701" s="85"/>
      <c r="G701" s="85"/>
      <c r="H701" s="85"/>
      <c r="I701" s="91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2.75" customHeight="1" spans="1:26">
      <c r="A702" s="85"/>
      <c r="B702" s="85"/>
      <c r="C702" s="85"/>
      <c r="D702" s="85"/>
      <c r="E702" s="85"/>
      <c r="F702" s="85"/>
      <c r="G702" s="85"/>
      <c r="H702" s="85"/>
      <c r="I702" s="91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2.75" customHeight="1" spans="1:26">
      <c r="A703" s="85"/>
      <c r="B703" s="85"/>
      <c r="C703" s="85"/>
      <c r="D703" s="85"/>
      <c r="E703" s="85"/>
      <c r="F703" s="85"/>
      <c r="G703" s="85"/>
      <c r="H703" s="85"/>
      <c r="I703" s="91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2.75" customHeight="1" spans="1:26">
      <c r="A704" s="85"/>
      <c r="B704" s="85"/>
      <c r="C704" s="85"/>
      <c r="D704" s="85"/>
      <c r="E704" s="85"/>
      <c r="F704" s="85"/>
      <c r="G704" s="85"/>
      <c r="H704" s="85"/>
      <c r="I704" s="91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2.75" customHeight="1" spans="1:26">
      <c r="A705" s="85"/>
      <c r="B705" s="85"/>
      <c r="C705" s="85"/>
      <c r="D705" s="85"/>
      <c r="E705" s="85"/>
      <c r="F705" s="85"/>
      <c r="G705" s="85"/>
      <c r="H705" s="85"/>
      <c r="I705" s="91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2.75" customHeight="1" spans="1:26">
      <c r="A706" s="85"/>
      <c r="B706" s="85"/>
      <c r="C706" s="85"/>
      <c r="D706" s="85"/>
      <c r="E706" s="85"/>
      <c r="F706" s="85"/>
      <c r="G706" s="85"/>
      <c r="H706" s="85"/>
      <c r="I706" s="91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2.75" customHeight="1" spans="1:26">
      <c r="A707" s="85"/>
      <c r="B707" s="85"/>
      <c r="C707" s="85"/>
      <c r="D707" s="85"/>
      <c r="E707" s="85"/>
      <c r="F707" s="85"/>
      <c r="G707" s="85"/>
      <c r="H707" s="85"/>
      <c r="I707" s="91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2.75" customHeight="1" spans="1:26">
      <c r="A708" s="85"/>
      <c r="B708" s="85"/>
      <c r="C708" s="85"/>
      <c r="D708" s="85"/>
      <c r="E708" s="85"/>
      <c r="F708" s="85"/>
      <c r="G708" s="85"/>
      <c r="H708" s="85"/>
      <c r="I708" s="91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2.75" customHeight="1" spans="1:26">
      <c r="A709" s="85"/>
      <c r="B709" s="85"/>
      <c r="C709" s="85"/>
      <c r="D709" s="85"/>
      <c r="E709" s="85"/>
      <c r="F709" s="85"/>
      <c r="G709" s="85"/>
      <c r="H709" s="85"/>
      <c r="I709" s="91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2.75" customHeight="1" spans="1:26">
      <c r="A710" s="85"/>
      <c r="B710" s="85"/>
      <c r="C710" s="85"/>
      <c r="D710" s="85"/>
      <c r="E710" s="85"/>
      <c r="F710" s="85"/>
      <c r="G710" s="85"/>
      <c r="H710" s="85"/>
      <c r="I710" s="91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2.75" customHeight="1" spans="1:26">
      <c r="A711" s="85"/>
      <c r="B711" s="85"/>
      <c r="C711" s="85"/>
      <c r="D711" s="85"/>
      <c r="E711" s="85"/>
      <c r="F711" s="85"/>
      <c r="G711" s="85"/>
      <c r="H711" s="85"/>
      <c r="I711" s="91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2.75" customHeight="1" spans="1:26">
      <c r="A712" s="85"/>
      <c r="B712" s="85"/>
      <c r="C712" s="85"/>
      <c r="D712" s="85"/>
      <c r="E712" s="85"/>
      <c r="F712" s="85"/>
      <c r="G712" s="85"/>
      <c r="H712" s="85"/>
      <c r="I712" s="91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2.75" customHeight="1" spans="1:26">
      <c r="A713" s="85"/>
      <c r="B713" s="85"/>
      <c r="C713" s="85"/>
      <c r="D713" s="85"/>
      <c r="E713" s="85"/>
      <c r="F713" s="85"/>
      <c r="G713" s="85"/>
      <c r="H713" s="85"/>
      <c r="I713" s="91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2.75" customHeight="1" spans="1:26">
      <c r="A714" s="85"/>
      <c r="B714" s="85"/>
      <c r="C714" s="85"/>
      <c r="D714" s="85"/>
      <c r="E714" s="85"/>
      <c r="F714" s="85"/>
      <c r="G714" s="85"/>
      <c r="H714" s="85"/>
      <c r="I714" s="91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2.75" customHeight="1" spans="1:26">
      <c r="A715" s="85"/>
      <c r="B715" s="85"/>
      <c r="C715" s="85"/>
      <c r="D715" s="85"/>
      <c r="E715" s="85"/>
      <c r="F715" s="85"/>
      <c r="G715" s="85"/>
      <c r="H715" s="85"/>
      <c r="I715" s="91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2.75" customHeight="1" spans="1:26">
      <c r="A716" s="85"/>
      <c r="B716" s="85"/>
      <c r="C716" s="85"/>
      <c r="D716" s="85"/>
      <c r="E716" s="85"/>
      <c r="F716" s="85"/>
      <c r="G716" s="85"/>
      <c r="H716" s="85"/>
      <c r="I716" s="91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2.75" customHeight="1" spans="1:26">
      <c r="A717" s="85"/>
      <c r="B717" s="85"/>
      <c r="C717" s="85"/>
      <c r="D717" s="85"/>
      <c r="E717" s="85"/>
      <c r="F717" s="85"/>
      <c r="G717" s="85"/>
      <c r="H717" s="85"/>
      <c r="I717" s="91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2.75" customHeight="1" spans="1:26">
      <c r="A718" s="85"/>
      <c r="B718" s="85"/>
      <c r="C718" s="85"/>
      <c r="D718" s="85"/>
      <c r="E718" s="85"/>
      <c r="F718" s="85"/>
      <c r="G718" s="85"/>
      <c r="H718" s="85"/>
      <c r="I718" s="91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2.75" customHeight="1" spans="1:26">
      <c r="A719" s="85"/>
      <c r="B719" s="85"/>
      <c r="C719" s="85"/>
      <c r="D719" s="85"/>
      <c r="E719" s="85"/>
      <c r="F719" s="85"/>
      <c r="G719" s="85"/>
      <c r="H719" s="85"/>
      <c r="I719" s="91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2.75" customHeight="1" spans="1:26">
      <c r="A720" s="85"/>
      <c r="B720" s="85"/>
      <c r="C720" s="85"/>
      <c r="D720" s="85"/>
      <c r="E720" s="85"/>
      <c r="F720" s="85"/>
      <c r="G720" s="85"/>
      <c r="H720" s="85"/>
      <c r="I720" s="91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2.75" customHeight="1" spans="1:26">
      <c r="A721" s="85"/>
      <c r="B721" s="85"/>
      <c r="C721" s="85"/>
      <c r="D721" s="85"/>
      <c r="E721" s="85"/>
      <c r="F721" s="85"/>
      <c r="G721" s="85"/>
      <c r="H721" s="85"/>
      <c r="I721" s="91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2.75" customHeight="1" spans="1:26">
      <c r="A722" s="85"/>
      <c r="B722" s="85"/>
      <c r="C722" s="85"/>
      <c r="D722" s="85"/>
      <c r="E722" s="85"/>
      <c r="F722" s="85"/>
      <c r="G722" s="85"/>
      <c r="H722" s="85"/>
      <c r="I722" s="91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2.75" customHeight="1" spans="1:26">
      <c r="A723" s="85"/>
      <c r="B723" s="85"/>
      <c r="C723" s="85"/>
      <c r="D723" s="85"/>
      <c r="E723" s="85"/>
      <c r="F723" s="85"/>
      <c r="G723" s="85"/>
      <c r="H723" s="85"/>
      <c r="I723" s="91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2.75" customHeight="1" spans="1:26">
      <c r="A724" s="85"/>
      <c r="B724" s="85"/>
      <c r="C724" s="85"/>
      <c r="D724" s="85"/>
      <c r="E724" s="85"/>
      <c r="F724" s="85"/>
      <c r="G724" s="85"/>
      <c r="H724" s="85"/>
      <c r="I724" s="91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2.75" customHeight="1" spans="1:26">
      <c r="A725" s="85"/>
      <c r="B725" s="85"/>
      <c r="C725" s="85"/>
      <c r="D725" s="85"/>
      <c r="E725" s="85"/>
      <c r="F725" s="85"/>
      <c r="G725" s="85"/>
      <c r="H725" s="85"/>
      <c r="I725" s="91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2.75" customHeight="1" spans="1:26">
      <c r="A726" s="85"/>
      <c r="B726" s="85"/>
      <c r="C726" s="85"/>
      <c r="D726" s="85"/>
      <c r="E726" s="85"/>
      <c r="F726" s="85"/>
      <c r="G726" s="85"/>
      <c r="H726" s="85"/>
      <c r="I726" s="91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2.75" customHeight="1" spans="1:26">
      <c r="A727" s="85"/>
      <c r="B727" s="85"/>
      <c r="C727" s="85"/>
      <c r="D727" s="85"/>
      <c r="E727" s="85"/>
      <c r="F727" s="85"/>
      <c r="G727" s="85"/>
      <c r="H727" s="85"/>
      <c r="I727" s="91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2.75" customHeight="1" spans="1:26">
      <c r="A728" s="85"/>
      <c r="B728" s="85"/>
      <c r="C728" s="85"/>
      <c r="D728" s="85"/>
      <c r="E728" s="85"/>
      <c r="F728" s="85"/>
      <c r="G728" s="85"/>
      <c r="H728" s="85"/>
      <c r="I728" s="91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2.75" customHeight="1" spans="1:26">
      <c r="A729" s="85"/>
      <c r="B729" s="85"/>
      <c r="C729" s="85"/>
      <c r="D729" s="85"/>
      <c r="E729" s="85"/>
      <c r="F729" s="85"/>
      <c r="G729" s="85"/>
      <c r="H729" s="85"/>
      <c r="I729" s="91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2.75" customHeight="1" spans="1:26">
      <c r="A730" s="85"/>
      <c r="B730" s="85"/>
      <c r="C730" s="85"/>
      <c r="D730" s="85"/>
      <c r="E730" s="85"/>
      <c r="F730" s="85"/>
      <c r="G730" s="85"/>
      <c r="H730" s="85"/>
      <c r="I730" s="91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2.75" customHeight="1" spans="1:26">
      <c r="A731" s="85"/>
      <c r="B731" s="85"/>
      <c r="C731" s="85"/>
      <c r="D731" s="85"/>
      <c r="E731" s="85"/>
      <c r="F731" s="85"/>
      <c r="G731" s="85"/>
      <c r="H731" s="85"/>
      <c r="I731" s="91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2.75" customHeight="1" spans="1:26">
      <c r="A732" s="85"/>
      <c r="B732" s="85"/>
      <c r="C732" s="85"/>
      <c r="D732" s="85"/>
      <c r="E732" s="85"/>
      <c r="F732" s="85"/>
      <c r="G732" s="85"/>
      <c r="H732" s="85"/>
      <c r="I732" s="91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2.75" customHeight="1" spans="1:26">
      <c r="A733" s="85"/>
      <c r="B733" s="85"/>
      <c r="C733" s="85"/>
      <c r="D733" s="85"/>
      <c r="E733" s="85"/>
      <c r="F733" s="85"/>
      <c r="G733" s="85"/>
      <c r="H733" s="85"/>
      <c r="I733" s="91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2.75" customHeight="1" spans="1:26">
      <c r="A734" s="85"/>
      <c r="B734" s="85"/>
      <c r="C734" s="85"/>
      <c r="D734" s="85"/>
      <c r="E734" s="85"/>
      <c r="F734" s="85"/>
      <c r="G734" s="85"/>
      <c r="H734" s="85"/>
      <c r="I734" s="91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2.75" customHeight="1" spans="1:26">
      <c r="A735" s="85"/>
      <c r="B735" s="85"/>
      <c r="C735" s="85"/>
      <c r="D735" s="85"/>
      <c r="E735" s="85"/>
      <c r="F735" s="85"/>
      <c r="G735" s="85"/>
      <c r="H735" s="85"/>
      <c r="I735" s="91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2.75" customHeight="1" spans="1:26">
      <c r="A736" s="85"/>
      <c r="B736" s="85"/>
      <c r="C736" s="85"/>
      <c r="D736" s="85"/>
      <c r="E736" s="85"/>
      <c r="F736" s="85"/>
      <c r="G736" s="85"/>
      <c r="H736" s="85"/>
      <c r="I736" s="91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2.75" customHeight="1" spans="1:26">
      <c r="A737" s="85"/>
      <c r="B737" s="85"/>
      <c r="C737" s="85"/>
      <c r="D737" s="85"/>
      <c r="E737" s="85"/>
      <c r="F737" s="85"/>
      <c r="G737" s="85"/>
      <c r="H737" s="85"/>
      <c r="I737" s="91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2.75" customHeight="1" spans="1:26">
      <c r="A738" s="85"/>
      <c r="B738" s="85"/>
      <c r="C738" s="85"/>
      <c r="D738" s="85"/>
      <c r="E738" s="85"/>
      <c r="F738" s="85"/>
      <c r="G738" s="85"/>
      <c r="H738" s="85"/>
      <c r="I738" s="91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2.75" customHeight="1" spans="1:26">
      <c r="A739" s="85"/>
      <c r="B739" s="85"/>
      <c r="C739" s="85"/>
      <c r="D739" s="85"/>
      <c r="E739" s="85"/>
      <c r="F739" s="85"/>
      <c r="G739" s="85"/>
      <c r="H739" s="85"/>
      <c r="I739" s="91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2.75" customHeight="1" spans="1:26">
      <c r="A740" s="85"/>
      <c r="B740" s="85"/>
      <c r="C740" s="85"/>
      <c r="D740" s="85"/>
      <c r="E740" s="85"/>
      <c r="F740" s="85"/>
      <c r="G740" s="85"/>
      <c r="H740" s="85"/>
      <c r="I740" s="91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2.75" customHeight="1" spans="1:26">
      <c r="A741" s="85"/>
      <c r="B741" s="85"/>
      <c r="C741" s="85"/>
      <c r="D741" s="85"/>
      <c r="E741" s="85"/>
      <c r="F741" s="85"/>
      <c r="G741" s="85"/>
      <c r="H741" s="85"/>
      <c r="I741" s="91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2.75" customHeight="1" spans="1:26">
      <c r="A742" s="85"/>
      <c r="B742" s="85"/>
      <c r="C742" s="85"/>
      <c r="D742" s="85"/>
      <c r="E742" s="85"/>
      <c r="F742" s="85"/>
      <c r="G742" s="85"/>
      <c r="H742" s="85"/>
      <c r="I742" s="91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2.75" customHeight="1" spans="1:26">
      <c r="A743" s="85"/>
      <c r="B743" s="85"/>
      <c r="C743" s="85"/>
      <c r="D743" s="85"/>
      <c r="E743" s="85"/>
      <c r="F743" s="85"/>
      <c r="G743" s="85"/>
      <c r="H743" s="85"/>
      <c r="I743" s="91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2.75" customHeight="1" spans="1:26">
      <c r="A744" s="85"/>
      <c r="B744" s="85"/>
      <c r="C744" s="85"/>
      <c r="D744" s="85"/>
      <c r="E744" s="85"/>
      <c r="F744" s="85"/>
      <c r="G744" s="85"/>
      <c r="H744" s="85"/>
      <c r="I744" s="91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2.75" customHeight="1" spans="1:26">
      <c r="A745" s="85"/>
      <c r="B745" s="85"/>
      <c r="C745" s="85"/>
      <c r="D745" s="85"/>
      <c r="E745" s="85"/>
      <c r="F745" s="85"/>
      <c r="G745" s="85"/>
      <c r="H745" s="85"/>
      <c r="I745" s="91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2.75" customHeight="1" spans="1:26">
      <c r="A746" s="85"/>
      <c r="B746" s="85"/>
      <c r="C746" s="85"/>
      <c r="D746" s="85"/>
      <c r="E746" s="85"/>
      <c r="F746" s="85"/>
      <c r="G746" s="85"/>
      <c r="H746" s="85"/>
      <c r="I746" s="91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2.75" customHeight="1" spans="1:26">
      <c r="A747" s="85"/>
      <c r="B747" s="85"/>
      <c r="C747" s="85"/>
      <c r="D747" s="85"/>
      <c r="E747" s="85"/>
      <c r="F747" s="85"/>
      <c r="G747" s="85"/>
      <c r="H747" s="85"/>
      <c r="I747" s="91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2.75" customHeight="1" spans="1:26">
      <c r="A748" s="85"/>
      <c r="B748" s="85"/>
      <c r="C748" s="85"/>
      <c r="D748" s="85"/>
      <c r="E748" s="85"/>
      <c r="F748" s="85"/>
      <c r="G748" s="85"/>
      <c r="H748" s="85"/>
      <c r="I748" s="91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2.75" customHeight="1" spans="1:26">
      <c r="A749" s="85"/>
      <c r="B749" s="85"/>
      <c r="C749" s="85"/>
      <c r="D749" s="85"/>
      <c r="E749" s="85"/>
      <c r="F749" s="85"/>
      <c r="G749" s="85"/>
      <c r="H749" s="85"/>
      <c r="I749" s="91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2.75" customHeight="1" spans="1:26">
      <c r="A750" s="85"/>
      <c r="B750" s="85"/>
      <c r="C750" s="85"/>
      <c r="D750" s="85"/>
      <c r="E750" s="85"/>
      <c r="F750" s="85"/>
      <c r="G750" s="85"/>
      <c r="H750" s="85"/>
      <c r="I750" s="91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2.75" customHeight="1" spans="1:26">
      <c r="A751" s="85"/>
      <c r="B751" s="85"/>
      <c r="C751" s="85"/>
      <c r="D751" s="85"/>
      <c r="E751" s="85"/>
      <c r="F751" s="85"/>
      <c r="G751" s="85"/>
      <c r="H751" s="85"/>
      <c r="I751" s="91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2.75" customHeight="1" spans="1:26">
      <c r="A752" s="85"/>
      <c r="B752" s="85"/>
      <c r="C752" s="85"/>
      <c r="D752" s="85"/>
      <c r="E752" s="85"/>
      <c r="F752" s="85"/>
      <c r="G752" s="85"/>
      <c r="H752" s="85"/>
      <c r="I752" s="91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2.75" customHeight="1" spans="1:26">
      <c r="A753" s="85"/>
      <c r="B753" s="85"/>
      <c r="C753" s="85"/>
      <c r="D753" s="85"/>
      <c r="E753" s="85"/>
      <c r="F753" s="85"/>
      <c r="G753" s="85"/>
      <c r="H753" s="85"/>
      <c r="I753" s="91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2.75" customHeight="1" spans="1:26">
      <c r="A754" s="85"/>
      <c r="B754" s="85"/>
      <c r="C754" s="85"/>
      <c r="D754" s="85"/>
      <c r="E754" s="85"/>
      <c r="F754" s="85"/>
      <c r="G754" s="85"/>
      <c r="H754" s="85"/>
      <c r="I754" s="91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2.75" customHeight="1" spans="1:26">
      <c r="A755" s="85"/>
      <c r="B755" s="85"/>
      <c r="C755" s="85"/>
      <c r="D755" s="85"/>
      <c r="E755" s="85"/>
      <c r="F755" s="85"/>
      <c r="G755" s="85"/>
      <c r="H755" s="85"/>
      <c r="I755" s="91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2.75" customHeight="1" spans="1:26">
      <c r="A756" s="85"/>
      <c r="B756" s="85"/>
      <c r="C756" s="85"/>
      <c r="D756" s="85"/>
      <c r="E756" s="85"/>
      <c r="F756" s="85"/>
      <c r="G756" s="85"/>
      <c r="H756" s="85"/>
      <c r="I756" s="91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2.75" customHeight="1" spans="1:26">
      <c r="A757" s="85"/>
      <c r="B757" s="85"/>
      <c r="C757" s="85"/>
      <c r="D757" s="85"/>
      <c r="E757" s="85"/>
      <c r="F757" s="85"/>
      <c r="G757" s="85"/>
      <c r="H757" s="85"/>
      <c r="I757" s="91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2.75" customHeight="1" spans="1:26">
      <c r="A758" s="85"/>
      <c r="B758" s="85"/>
      <c r="C758" s="85"/>
      <c r="D758" s="85"/>
      <c r="E758" s="85"/>
      <c r="F758" s="85"/>
      <c r="G758" s="85"/>
      <c r="H758" s="85"/>
      <c r="I758" s="91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2.75" customHeight="1" spans="1:26">
      <c r="A759" s="85"/>
      <c r="B759" s="85"/>
      <c r="C759" s="85"/>
      <c r="D759" s="85"/>
      <c r="E759" s="85"/>
      <c r="F759" s="85"/>
      <c r="G759" s="85"/>
      <c r="H759" s="85"/>
      <c r="I759" s="91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2.75" customHeight="1" spans="1:26">
      <c r="A760" s="85"/>
      <c r="B760" s="85"/>
      <c r="C760" s="85"/>
      <c r="D760" s="85"/>
      <c r="E760" s="85"/>
      <c r="F760" s="85"/>
      <c r="G760" s="85"/>
      <c r="H760" s="85"/>
      <c r="I760" s="91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2.75" customHeight="1" spans="1:26">
      <c r="A761" s="85"/>
      <c r="B761" s="85"/>
      <c r="C761" s="85"/>
      <c r="D761" s="85"/>
      <c r="E761" s="85"/>
      <c r="F761" s="85"/>
      <c r="G761" s="85"/>
      <c r="H761" s="85"/>
      <c r="I761" s="91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2.75" customHeight="1" spans="1:26">
      <c r="A762" s="85"/>
      <c r="B762" s="85"/>
      <c r="C762" s="85"/>
      <c r="D762" s="85"/>
      <c r="E762" s="85"/>
      <c r="F762" s="85"/>
      <c r="G762" s="85"/>
      <c r="H762" s="85"/>
      <c r="I762" s="91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2.75" customHeight="1" spans="1:26">
      <c r="A763" s="85"/>
      <c r="B763" s="85"/>
      <c r="C763" s="85"/>
      <c r="D763" s="85"/>
      <c r="E763" s="85"/>
      <c r="F763" s="85"/>
      <c r="G763" s="85"/>
      <c r="H763" s="85"/>
      <c r="I763" s="91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2.75" customHeight="1" spans="1:26">
      <c r="A764" s="85"/>
      <c r="B764" s="85"/>
      <c r="C764" s="85"/>
      <c r="D764" s="85"/>
      <c r="E764" s="85"/>
      <c r="F764" s="85"/>
      <c r="G764" s="85"/>
      <c r="H764" s="85"/>
      <c r="I764" s="91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2.75" customHeight="1" spans="1:26">
      <c r="A765" s="85"/>
      <c r="B765" s="85"/>
      <c r="C765" s="85"/>
      <c r="D765" s="85"/>
      <c r="E765" s="85"/>
      <c r="F765" s="85"/>
      <c r="G765" s="85"/>
      <c r="H765" s="85"/>
      <c r="I765" s="91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2.75" customHeight="1" spans="1:26">
      <c r="A766" s="85"/>
      <c r="B766" s="85"/>
      <c r="C766" s="85"/>
      <c r="D766" s="85"/>
      <c r="E766" s="85"/>
      <c r="F766" s="85"/>
      <c r="G766" s="85"/>
      <c r="H766" s="85"/>
      <c r="I766" s="91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2.75" customHeight="1" spans="1:26">
      <c r="A767" s="85"/>
      <c r="B767" s="85"/>
      <c r="C767" s="85"/>
      <c r="D767" s="85"/>
      <c r="E767" s="85"/>
      <c r="F767" s="85"/>
      <c r="G767" s="85"/>
      <c r="H767" s="85"/>
      <c r="I767" s="91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2.75" customHeight="1" spans="1:26">
      <c r="A768" s="85"/>
      <c r="B768" s="85"/>
      <c r="C768" s="85"/>
      <c r="D768" s="85"/>
      <c r="E768" s="85"/>
      <c r="F768" s="85"/>
      <c r="G768" s="85"/>
      <c r="H768" s="85"/>
      <c r="I768" s="91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2.75" customHeight="1" spans="1:26">
      <c r="A769" s="85"/>
      <c r="B769" s="85"/>
      <c r="C769" s="85"/>
      <c r="D769" s="85"/>
      <c r="E769" s="85"/>
      <c r="F769" s="85"/>
      <c r="G769" s="85"/>
      <c r="H769" s="85"/>
      <c r="I769" s="91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2.75" customHeight="1" spans="1:26">
      <c r="A770" s="85"/>
      <c r="B770" s="85"/>
      <c r="C770" s="85"/>
      <c r="D770" s="85"/>
      <c r="E770" s="85"/>
      <c r="F770" s="85"/>
      <c r="G770" s="85"/>
      <c r="H770" s="85"/>
      <c r="I770" s="91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2.75" customHeight="1" spans="1:26">
      <c r="A771" s="85"/>
      <c r="B771" s="85"/>
      <c r="C771" s="85"/>
      <c r="D771" s="85"/>
      <c r="E771" s="85"/>
      <c r="F771" s="85"/>
      <c r="G771" s="85"/>
      <c r="H771" s="85"/>
      <c r="I771" s="91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2.75" customHeight="1" spans="1:26">
      <c r="A772" s="85"/>
      <c r="B772" s="85"/>
      <c r="C772" s="85"/>
      <c r="D772" s="85"/>
      <c r="E772" s="85"/>
      <c r="F772" s="85"/>
      <c r="G772" s="85"/>
      <c r="H772" s="85"/>
      <c r="I772" s="91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2.75" customHeight="1" spans="1:26">
      <c r="A773" s="85"/>
      <c r="B773" s="85"/>
      <c r="C773" s="85"/>
      <c r="D773" s="85"/>
      <c r="E773" s="85"/>
      <c r="F773" s="85"/>
      <c r="G773" s="85"/>
      <c r="H773" s="85"/>
      <c r="I773" s="91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2.75" customHeight="1" spans="1:26">
      <c r="A774" s="85"/>
      <c r="B774" s="85"/>
      <c r="C774" s="85"/>
      <c r="D774" s="85"/>
      <c r="E774" s="85"/>
      <c r="F774" s="85"/>
      <c r="G774" s="85"/>
      <c r="H774" s="85"/>
      <c r="I774" s="91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2.75" customHeight="1" spans="1:26">
      <c r="A775" s="85"/>
      <c r="B775" s="85"/>
      <c r="C775" s="85"/>
      <c r="D775" s="85"/>
      <c r="E775" s="85"/>
      <c r="F775" s="85"/>
      <c r="G775" s="85"/>
      <c r="H775" s="85"/>
      <c r="I775" s="91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2.75" customHeight="1" spans="1:26">
      <c r="A776" s="85"/>
      <c r="B776" s="85"/>
      <c r="C776" s="85"/>
      <c r="D776" s="85"/>
      <c r="E776" s="85"/>
      <c r="F776" s="85"/>
      <c r="G776" s="85"/>
      <c r="H776" s="85"/>
      <c r="I776" s="91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2.75" customHeight="1" spans="1:26">
      <c r="A777" s="85"/>
      <c r="B777" s="85"/>
      <c r="C777" s="85"/>
      <c r="D777" s="85"/>
      <c r="E777" s="85"/>
      <c r="F777" s="85"/>
      <c r="G777" s="85"/>
      <c r="H777" s="85"/>
      <c r="I777" s="91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2.75" customHeight="1" spans="1:26">
      <c r="A778" s="85"/>
      <c r="B778" s="85"/>
      <c r="C778" s="85"/>
      <c r="D778" s="85"/>
      <c r="E778" s="85"/>
      <c r="F778" s="85"/>
      <c r="G778" s="85"/>
      <c r="H778" s="85"/>
      <c r="I778" s="91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2.75" customHeight="1" spans="1:26">
      <c r="A779" s="85"/>
      <c r="B779" s="85"/>
      <c r="C779" s="85"/>
      <c r="D779" s="85"/>
      <c r="E779" s="85"/>
      <c r="F779" s="85"/>
      <c r="G779" s="85"/>
      <c r="H779" s="85"/>
      <c r="I779" s="91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2.75" customHeight="1" spans="1:26">
      <c r="A780" s="85"/>
      <c r="B780" s="85"/>
      <c r="C780" s="85"/>
      <c r="D780" s="85"/>
      <c r="E780" s="85"/>
      <c r="F780" s="85"/>
      <c r="G780" s="85"/>
      <c r="H780" s="85"/>
      <c r="I780" s="91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2.75" customHeight="1" spans="1:26">
      <c r="A781" s="85"/>
      <c r="B781" s="85"/>
      <c r="C781" s="85"/>
      <c r="D781" s="85"/>
      <c r="E781" s="85"/>
      <c r="F781" s="85"/>
      <c r="G781" s="85"/>
      <c r="H781" s="85"/>
      <c r="I781" s="91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2.75" customHeight="1" spans="1:26">
      <c r="A782" s="85"/>
      <c r="B782" s="85"/>
      <c r="C782" s="85"/>
      <c r="D782" s="85"/>
      <c r="E782" s="85"/>
      <c r="F782" s="85"/>
      <c r="G782" s="85"/>
      <c r="H782" s="85"/>
      <c r="I782" s="91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2.75" customHeight="1" spans="1:26">
      <c r="A783" s="85"/>
      <c r="B783" s="85"/>
      <c r="C783" s="85"/>
      <c r="D783" s="85"/>
      <c r="E783" s="85"/>
      <c r="F783" s="85"/>
      <c r="G783" s="85"/>
      <c r="H783" s="85"/>
      <c r="I783" s="91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2.75" customHeight="1" spans="1:26">
      <c r="A784" s="85"/>
      <c r="B784" s="85"/>
      <c r="C784" s="85"/>
      <c r="D784" s="85"/>
      <c r="E784" s="85"/>
      <c r="F784" s="85"/>
      <c r="G784" s="85"/>
      <c r="H784" s="85"/>
      <c r="I784" s="91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2.75" customHeight="1" spans="1:26">
      <c r="A785" s="85"/>
      <c r="B785" s="85"/>
      <c r="C785" s="85"/>
      <c r="D785" s="85"/>
      <c r="E785" s="85"/>
      <c r="F785" s="85"/>
      <c r="G785" s="85"/>
      <c r="H785" s="85"/>
      <c r="I785" s="91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2.75" customHeight="1" spans="1:26">
      <c r="A786" s="85"/>
      <c r="B786" s="85"/>
      <c r="C786" s="85"/>
      <c r="D786" s="85"/>
      <c r="E786" s="85"/>
      <c r="F786" s="85"/>
      <c r="G786" s="85"/>
      <c r="H786" s="85"/>
      <c r="I786" s="91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2.75" customHeight="1" spans="1:26">
      <c r="A787" s="85"/>
      <c r="B787" s="85"/>
      <c r="C787" s="85"/>
      <c r="D787" s="85"/>
      <c r="E787" s="85"/>
      <c r="F787" s="85"/>
      <c r="G787" s="85"/>
      <c r="H787" s="85"/>
      <c r="I787" s="91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2.75" customHeight="1" spans="1:26">
      <c r="A788" s="85"/>
      <c r="B788" s="85"/>
      <c r="C788" s="85"/>
      <c r="D788" s="85"/>
      <c r="E788" s="85"/>
      <c r="F788" s="85"/>
      <c r="G788" s="85"/>
      <c r="H788" s="85"/>
      <c r="I788" s="91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2.75" customHeight="1" spans="1:26">
      <c r="A789" s="85"/>
      <c r="B789" s="85"/>
      <c r="C789" s="85"/>
      <c r="D789" s="85"/>
      <c r="E789" s="85"/>
      <c r="F789" s="85"/>
      <c r="G789" s="85"/>
      <c r="H789" s="85"/>
      <c r="I789" s="91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2.75" customHeight="1" spans="1:26">
      <c r="A790" s="85"/>
      <c r="B790" s="85"/>
      <c r="C790" s="85"/>
      <c r="D790" s="85"/>
      <c r="E790" s="85"/>
      <c r="F790" s="85"/>
      <c r="G790" s="85"/>
      <c r="H790" s="85"/>
      <c r="I790" s="91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2.75" customHeight="1" spans="1:26">
      <c r="A791" s="85"/>
      <c r="B791" s="85"/>
      <c r="C791" s="85"/>
      <c r="D791" s="85"/>
      <c r="E791" s="85"/>
      <c r="F791" s="85"/>
      <c r="G791" s="85"/>
      <c r="H791" s="85"/>
      <c r="I791" s="91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2.75" customHeight="1" spans="1:26">
      <c r="A792" s="85"/>
      <c r="B792" s="85"/>
      <c r="C792" s="85"/>
      <c r="D792" s="85"/>
      <c r="E792" s="85"/>
      <c r="F792" s="85"/>
      <c r="G792" s="85"/>
      <c r="H792" s="85"/>
      <c r="I792" s="91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2.75" customHeight="1" spans="1:26">
      <c r="A793" s="85"/>
      <c r="B793" s="85"/>
      <c r="C793" s="85"/>
      <c r="D793" s="85"/>
      <c r="E793" s="85"/>
      <c r="F793" s="85"/>
      <c r="G793" s="85"/>
      <c r="H793" s="85"/>
      <c r="I793" s="91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2.75" customHeight="1" spans="1:26">
      <c r="A794" s="85"/>
      <c r="B794" s="85"/>
      <c r="C794" s="85"/>
      <c r="D794" s="85"/>
      <c r="E794" s="85"/>
      <c r="F794" s="85"/>
      <c r="G794" s="85"/>
      <c r="H794" s="85"/>
      <c r="I794" s="91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2.75" customHeight="1" spans="1:26">
      <c r="A795" s="85"/>
      <c r="B795" s="85"/>
      <c r="C795" s="85"/>
      <c r="D795" s="85"/>
      <c r="E795" s="85"/>
      <c r="F795" s="85"/>
      <c r="G795" s="85"/>
      <c r="H795" s="85"/>
      <c r="I795" s="91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2.75" customHeight="1" spans="1:26">
      <c r="A796" s="85"/>
      <c r="B796" s="85"/>
      <c r="C796" s="85"/>
      <c r="D796" s="85"/>
      <c r="E796" s="85"/>
      <c r="F796" s="85"/>
      <c r="G796" s="85"/>
      <c r="H796" s="85"/>
      <c r="I796" s="91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2.75" customHeight="1" spans="1:26">
      <c r="A797" s="85"/>
      <c r="B797" s="85"/>
      <c r="C797" s="85"/>
      <c r="D797" s="85"/>
      <c r="E797" s="85"/>
      <c r="F797" s="85"/>
      <c r="G797" s="85"/>
      <c r="H797" s="85"/>
      <c r="I797" s="91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2.75" customHeight="1" spans="1:26">
      <c r="A798" s="85"/>
      <c r="B798" s="85"/>
      <c r="C798" s="85"/>
      <c r="D798" s="85"/>
      <c r="E798" s="85"/>
      <c r="F798" s="85"/>
      <c r="G798" s="85"/>
      <c r="H798" s="85"/>
      <c r="I798" s="91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2.75" customHeight="1" spans="1:26">
      <c r="A799" s="85"/>
      <c r="B799" s="85"/>
      <c r="C799" s="85"/>
      <c r="D799" s="85"/>
      <c r="E799" s="85"/>
      <c r="F799" s="85"/>
      <c r="G799" s="85"/>
      <c r="H799" s="85"/>
      <c r="I799" s="91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2.75" customHeight="1" spans="1:26">
      <c r="A800" s="85"/>
      <c r="B800" s="85"/>
      <c r="C800" s="85"/>
      <c r="D800" s="85"/>
      <c r="E800" s="85"/>
      <c r="F800" s="85"/>
      <c r="G800" s="85"/>
      <c r="H800" s="85"/>
      <c r="I800" s="91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2.75" customHeight="1" spans="1:26">
      <c r="A801" s="85"/>
      <c r="B801" s="85"/>
      <c r="C801" s="85"/>
      <c r="D801" s="85"/>
      <c r="E801" s="85"/>
      <c r="F801" s="85"/>
      <c r="G801" s="85"/>
      <c r="H801" s="85"/>
      <c r="I801" s="91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2.75" customHeight="1" spans="1:26">
      <c r="A802" s="85"/>
      <c r="B802" s="85"/>
      <c r="C802" s="85"/>
      <c r="D802" s="85"/>
      <c r="E802" s="85"/>
      <c r="F802" s="85"/>
      <c r="G802" s="85"/>
      <c r="H802" s="85"/>
      <c r="I802" s="91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2.75" customHeight="1" spans="1:26">
      <c r="A803" s="85"/>
      <c r="B803" s="85"/>
      <c r="C803" s="85"/>
      <c r="D803" s="85"/>
      <c r="E803" s="85"/>
      <c r="F803" s="85"/>
      <c r="G803" s="85"/>
      <c r="H803" s="85"/>
      <c r="I803" s="91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2.75" customHeight="1" spans="1:26">
      <c r="A804" s="85"/>
      <c r="B804" s="85"/>
      <c r="C804" s="85"/>
      <c r="D804" s="85"/>
      <c r="E804" s="85"/>
      <c r="F804" s="85"/>
      <c r="G804" s="85"/>
      <c r="H804" s="85"/>
      <c r="I804" s="91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2.75" customHeight="1" spans="1:26">
      <c r="A805" s="85"/>
      <c r="B805" s="85"/>
      <c r="C805" s="85"/>
      <c r="D805" s="85"/>
      <c r="E805" s="85"/>
      <c r="F805" s="85"/>
      <c r="G805" s="85"/>
      <c r="H805" s="85"/>
      <c r="I805" s="91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2.75" customHeight="1" spans="1:26">
      <c r="A806" s="85"/>
      <c r="B806" s="85"/>
      <c r="C806" s="85"/>
      <c r="D806" s="85"/>
      <c r="E806" s="85"/>
      <c r="F806" s="85"/>
      <c r="G806" s="85"/>
      <c r="H806" s="85"/>
      <c r="I806" s="91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2.75" customHeight="1" spans="1:26">
      <c r="A807" s="85"/>
      <c r="B807" s="85"/>
      <c r="C807" s="85"/>
      <c r="D807" s="85"/>
      <c r="E807" s="85"/>
      <c r="F807" s="85"/>
      <c r="G807" s="85"/>
      <c r="H807" s="85"/>
      <c r="I807" s="91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2.75" customHeight="1" spans="1:26">
      <c r="A808" s="85"/>
      <c r="B808" s="85"/>
      <c r="C808" s="85"/>
      <c r="D808" s="85"/>
      <c r="E808" s="85"/>
      <c r="F808" s="85"/>
      <c r="G808" s="85"/>
      <c r="H808" s="85"/>
      <c r="I808" s="91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2.75" customHeight="1" spans="1:26">
      <c r="A809" s="85"/>
      <c r="B809" s="85"/>
      <c r="C809" s="85"/>
      <c r="D809" s="85"/>
      <c r="E809" s="85"/>
      <c r="F809" s="85"/>
      <c r="G809" s="85"/>
      <c r="H809" s="85"/>
      <c r="I809" s="91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2.75" customHeight="1" spans="1:26">
      <c r="A810" s="85"/>
      <c r="B810" s="85"/>
      <c r="C810" s="85"/>
      <c r="D810" s="85"/>
      <c r="E810" s="85"/>
      <c r="F810" s="85"/>
      <c r="G810" s="85"/>
      <c r="H810" s="85"/>
      <c r="I810" s="91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2.75" customHeight="1" spans="1:26">
      <c r="A811" s="85"/>
      <c r="B811" s="85"/>
      <c r="C811" s="85"/>
      <c r="D811" s="85"/>
      <c r="E811" s="85"/>
      <c r="F811" s="85"/>
      <c r="G811" s="85"/>
      <c r="H811" s="85"/>
      <c r="I811" s="91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2.75" customHeight="1" spans="1:26">
      <c r="A812" s="85"/>
      <c r="B812" s="85"/>
      <c r="C812" s="85"/>
      <c r="D812" s="85"/>
      <c r="E812" s="85"/>
      <c r="F812" s="85"/>
      <c r="G812" s="85"/>
      <c r="H812" s="85"/>
      <c r="I812" s="91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2.75" customHeight="1" spans="1:26">
      <c r="A813" s="85"/>
      <c r="B813" s="85"/>
      <c r="C813" s="85"/>
      <c r="D813" s="85"/>
      <c r="E813" s="85"/>
      <c r="F813" s="85"/>
      <c r="G813" s="85"/>
      <c r="H813" s="85"/>
      <c r="I813" s="91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2.75" customHeight="1" spans="1:26">
      <c r="A814" s="85"/>
      <c r="B814" s="85"/>
      <c r="C814" s="85"/>
      <c r="D814" s="85"/>
      <c r="E814" s="85"/>
      <c r="F814" s="85"/>
      <c r="G814" s="85"/>
      <c r="H814" s="85"/>
      <c r="I814" s="91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2.75" customHeight="1" spans="1:26">
      <c r="A815" s="85"/>
      <c r="B815" s="85"/>
      <c r="C815" s="85"/>
      <c r="D815" s="85"/>
      <c r="E815" s="85"/>
      <c r="F815" s="85"/>
      <c r="G815" s="85"/>
      <c r="H815" s="85"/>
      <c r="I815" s="91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2.75" customHeight="1" spans="1:26">
      <c r="A816" s="85"/>
      <c r="B816" s="85"/>
      <c r="C816" s="85"/>
      <c r="D816" s="85"/>
      <c r="E816" s="85"/>
      <c r="F816" s="85"/>
      <c r="G816" s="85"/>
      <c r="H816" s="85"/>
      <c r="I816" s="91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2.75" customHeight="1" spans="1:26">
      <c r="A817" s="85"/>
      <c r="B817" s="85"/>
      <c r="C817" s="85"/>
      <c r="D817" s="85"/>
      <c r="E817" s="85"/>
      <c r="F817" s="85"/>
      <c r="G817" s="85"/>
      <c r="H817" s="85"/>
      <c r="I817" s="91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2.75" customHeight="1" spans="1:26">
      <c r="A818" s="85"/>
      <c r="B818" s="85"/>
      <c r="C818" s="85"/>
      <c r="D818" s="85"/>
      <c r="E818" s="85"/>
      <c r="F818" s="85"/>
      <c r="G818" s="85"/>
      <c r="H818" s="85"/>
      <c r="I818" s="91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2.75" customHeight="1" spans="1:26">
      <c r="A819" s="85"/>
      <c r="B819" s="85"/>
      <c r="C819" s="85"/>
      <c r="D819" s="85"/>
      <c r="E819" s="85"/>
      <c r="F819" s="85"/>
      <c r="G819" s="85"/>
      <c r="H819" s="85"/>
      <c r="I819" s="91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2.75" customHeight="1" spans="1:26">
      <c r="A820" s="85"/>
      <c r="B820" s="85"/>
      <c r="C820" s="85"/>
      <c r="D820" s="85"/>
      <c r="E820" s="85"/>
      <c r="F820" s="85"/>
      <c r="G820" s="85"/>
      <c r="H820" s="85"/>
      <c r="I820" s="91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2.75" customHeight="1" spans="1:26">
      <c r="A821" s="85"/>
      <c r="B821" s="85"/>
      <c r="C821" s="85"/>
      <c r="D821" s="85"/>
      <c r="E821" s="85"/>
      <c r="F821" s="85"/>
      <c r="G821" s="85"/>
      <c r="H821" s="85"/>
      <c r="I821" s="91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2.75" customHeight="1" spans="1:26">
      <c r="A822" s="85"/>
      <c r="B822" s="85"/>
      <c r="C822" s="85"/>
      <c r="D822" s="85"/>
      <c r="E822" s="85"/>
      <c r="F822" s="85"/>
      <c r="G822" s="85"/>
      <c r="H822" s="85"/>
      <c r="I822" s="91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2.75" customHeight="1" spans="1:26">
      <c r="A823" s="85"/>
      <c r="B823" s="85"/>
      <c r="C823" s="85"/>
      <c r="D823" s="85"/>
      <c r="E823" s="85"/>
      <c r="F823" s="85"/>
      <c r="G823" s="85"/>
      <c r="H823" s="85"/>
      <c r="I823" s="91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2.75" customHeight="1" spans="1:26">
      <c r="A824" s="85"/>
      <c r="B824" s="85"/>
      <c r="C824" s="85"/>
      <c r="D824" s="85"/>
      <c r="E824" s="85"/>
      <c r="F824" s="85"/>
      <c r="G824" s="85"/>
      <c r="H824" s="85"/>
      <c r="I824" s="91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2.75" customHeight="1" spans="1:26">
      <c r="A825" s="85"/>
      <c r="B825" s="85"/>
      <c r="C825" s="85"/>
      <c r="D825" s="85"/>
      <c r="E825" s="85"/>
      <c r="F825" s="85"/>
      <c r="G825" s="85"/>
      <c r="H825" s="85"/>
      <c r="I825" s="91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2.75" customHeight="1" spans="1:26">
      <c r="A826" s="85"/>
      <c r="B826" s="85"/>
      <c r="C826" s="85"/>
      <c r="D826" s="85"/>
      <c r="E826" s="85"/>
      <c r="F826" s="85"/>
      <c r="G826" s="85"/>
      <c r="H826" s="85"/>
      <c r="I826" s="91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2.75" customHeight="1" spans="1:26">
      <c r="A827" s="85"/>
      <c r="B827" s="85"/>
      <c r="C827" s="85"/>
      <c r="D827" s="85"/>
      <c r="E827" s="85"/>
      <c r="F827" s="85"/>
      <c r="G827" s="85"/>
      <c r="H827" s="85"/>
      <c r="I827" s="91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2.75" customHeight="1" spans="1:26">
      <c r="A828" s="85"/>
      <c r="B828" s="85"/>
      <c r="C828" s="85"/>
      <c r="D828" s="85"/>
      <c r="E828" s="85"/>
      <c r="F828" s="85"/>
      <c r="G828" s="85"/>
      <c r="H828" s="85"/>
      <c r="I828" s="91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2.75" customHeight="1" spans="1:26">
      <c r="A829" s="85"/>
      <c r="B829" s="85"/>
      <c r="C829" s="85"/>
      <c r="D829" s="85"/>
      <c r="E829" s="85"/>
      <c r="F829" s="85"/>
      <c r="G829" s="85"/>
      <c r="H829" s="85"/>
      <c r="I829" s="91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2.75" customHeight="1" spans="1:26">
      <c r="A830" s="85"/>
      <c r="B830" s="85"/>
      <c r="C830" s="85"/>
      <c r="D830" s="85"/>
      <c r="E830" s="85"/>
      <c r="F830" s="85"/>
      <c r="G830" s="85"/>
      <c r="H830" s="85"/>
      <c r="I830" s="91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2.75" customHeight="1" spans="1:26">
      <c r="A831" s="85"/>
      <c r="B831" s="85"/>
      <c r="C831" s="85"/>
      <c r="D831" s="85"/>
      <c r="E831" s="85"/>
      <c r="F831" s="85"/>
      <c r="G831" s="85"/>
      <c r="H831" s="85"/>
      <c r="I831" s="91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2.75" customHeight="1" spans="1:26">
      <c r="A832" s="85"/>
      <c r="B832" s="85"/>
      <c r="C832" s="85"/>
      <c r="D832" s="85"/>
      <c r="E832" s="85"/>
      <c r="F832" s="85"/>
      <c r="G832" s="85"/>
      <c r="H832" s="85"/>
      <c r="I832" s="91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2.75" customHeight="1" spans="1:26">
      <c r="A833" s="85"/>
      <c r="B833" s="85"/>
      <c r="C833" s="85"/>
      <c r="D833" s="85"/>
      <c r="E833" s="85"/>
      <c r="F833" s="85"/>
      <c r="G833" s="85"/>
      <c r="H833" s="85"/>
      <c r="I833" s="91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2.75" customHeight="1" spans="1:26">
      <c r="A834" s="85"/>
      <c r="B834" s="85"/>
      <c r="C834" s="85"/>
      <c r="D834" s="85"/>
      <c r="E834" s="85"/>
      <c r="F834" s="85"/>
      <c r="G834" s="85"/>
      <c r="H834" s="85"/>
      <c r="I834" s="91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2.75" customHeight="1" spans="1:26">
      <c r="A835" s="85"/>
      <c r="B835" s="85"/>
      <c r="C835" s="85"/>
      <c r="D835" s="85"/>
      <c r="E835" s="85"/>
      <c r="F835" s="85"/>
      <c r="G835" s="85"/>
      <c r="H835" s="85"/>
      <c r="I835" s="91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2.75" customHeight="1" spans="1:26">
      <c r="A836" s="85"/>
      <c r="B836" s="85"/>
      <c r="C836" s="85"/>
      <c r="D836" s="85"/>
      <c r="E836" s="85"/>
      <c r="F836" s="85"/>
      <c r="G836" s="85"/>
      <c r="H836" s="85"/>
      <c r="I836" s="91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2.75" customHeight="1" spans="1:26">
      <c r="A837" s="85"/>
      <c r="B837" s="85"/>
      <c r="C837" s="85"/>
      <c r="D837" s="85"/>
      <c r="E837" s="85"/>
      <c r="F837" s="85"/>
      <c r="G837" s="85"/>
      <c r="H837" s="85"/>
      <c r="I837" s="91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2.75" customHeight="1" spans="1:26">
      <c r="A838" s="85"/>
      <c r="B838" s="85"/>
      <c r="C838" s="85"/>
      <c r="D838" s="85"/>
      <c r="E838" s="85"/>
      <c r="F838" s="85"/>
      <c r="G838" s="85"/>
      <c r="H838" s="85"/>
      <c r="I838" s="91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2.75" customHeight="1" spans="1:26">
      <c r="A839" s="85"/>
      <c r="B839" s="85"/>
      <c r="C839" s="85"/>
      <c r="D839" s="85"/>
      <c r="E839" s="85"/>
      <c r="F839" s="85"/>
      <c r="G839" s="85"/>
      <c r="H839" s="85"/>
      <c r="I839" s="91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2.75" customHeight="1" spans="1:26">
      <c r="A840" s="85"/>
      <c r="B840" s="85"/>
      <c r="C840" s="85"/>
      <c r="D840" s="85"/>
      <c r="E840" s="85"/>
      <c r="F840" s="85"/>
      <c r="G840" s="85"/>
      <c r="H840" s="85"/>
      <c r="I840" s="91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2.75" customHeight="1" spans="1:26">
      <c r="A841" s="85"/>
      <c r="B841" s="85"/>
      <c r="C841" s="85"/>
      <c r="D841" s="85"/>
      <c r="E841" s="85"/>
      <c r="F841" s="85"/>
      <c r="G841" s="85"/>
      <c r="H841" s="85"/>
      <c r="I841" s="91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2.75" customHeight="1" spans="1:26">
      <c r="A842" s="85"/>
      <c r="B842" s="85"/>
      <c r="C842" s="85"/>
      <c r="D842" s="85"/>
      <c r="E842" s="85"/>
      <c r="F842" s="85"/>
      <c r="G842" s="85"/>
      <c r="H842" s="85"/>
      <c r="I842" s="91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2.75" customHeight="1" spans="1:26">
      <c r="A843" s="85"/>
      <c r="B843" s="85"/>
      <c r="C843" s="85"/>
      <c r="D843" s="85"/>
      <c r="E843" s="85"/>
      <c r="F843" s="85"/>
      <c r="G843" s="85"/>
      <c r="H843" s="85"/>
      <c r="I843" s="91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2.75" customHeight="1" spans="1:26">
      <c r="A844" s="85"/>
      <c r="B844" s="85"/>
      <c r="C844" s="85"/>
      <c r="D844" s="85"/>
      <c r="E844" s="85"/>
      <c r="F844" s="85"/>
      <c r="G844" s="85"/>
      <c r="H844" s="85"/>
      <c r="I844" s="91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2.75" customHeight="1" spans="1:26">
      <c r="A845" s="85"/>
      <c r="B845" s="85"/>
      <c r="C845" s="85"/>
      <c r="D845" s="85"/>
      <c r="E845" s="85"/>
      <c r="F845" s="85"/>
      <c r="G845" s="85"/>
      <c r="H845" s="85"/>
      <c r="I845" s="91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2.75" customHeight="1" spans="1:26">
      <c r="A846" s="85"/>
      <c r="B846" s="85"/>
      <c r="C846" s="85"/>
      <c r="D846" s="85"/>
      <c r="E846" s="85"/>
      <c r="F846" s="85"/>
      <c r="G846" s="85"/>
      <c r="H846" s="85"/>
      <c r="I846" s="91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2.75" customHeight="1" spans="1:26">
      <c r="A847" s="85"/>
      <c r="B847" s="85"/>
      <c r="C847" s="85"/>
      <c r="D847" s="85"/>
      <c r="E847" s="85"/>
      <c r="F847" s="85"/>
      <c r="G847" s="85"/>
      <c r="H847" s="85"/>
      <c r="I847" s="91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2.75" customHeight="1" spans="1:26">
      <c r="A848" s="85"/>
      <c r="B848" s="85"/>
      <c r="C848" s="85"/>
      <c r="D848" s="85"/>
      <c r="E848" s="85"/>
      <c r="F848" s="85"/>
      <c r="G848" s="85"/>
      <c r="H848" s="85"/>
      <c r="I848" s="91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2.75" customHeight="1" spans="1:26">
      <c r="A849" s="85"/>
      <c r="B849" s="85"/>
      <c r="C849" s="85"/>
      <c r="D849" s="85"/>
      <c r="E849" s="85"/>
      <c r="F849" s="85"/>
      <c r="G849" s="85"/>
      <c r="H849" s="85"/>
      <c r="I849" s="91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2.75" customHeight="1" spans="1:26">
      <c r="A850" s="85"/>
      <c r="B850" s="85"/>
      <c r="C850" s="85"/>
      <c r="D850" s="85"/>
      <c r="E850" s="85"/>
      <c r="F850" s="85"/>
      <c r="G850" s="85"/>
      <c r="H850" s="85"/>
      <c r="I850" s="91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2.75" customHeight="1" spans="1:26">
      <c r="A851" s="85"/>
      <c r="B851" s="85"/>
      <c r="C851" s="85"/>
      <c r="D851" s="85"/>
      <c r="E851" s="85"/>
      <c r="F851" s="85"/>
      <c r="G851" s="85"/>
      <c r="H851" s="85"/>
      <c r="I851" s="91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2.75" customHeight="1" spans="1:26">
      <c r="A852" s="85"/>
      <c r="B852" s="85"/>
      <c r="C852" s="85"/>
      <c r="D852" s="85"/>
      <c r="E852" s="85"/>
      <c r="F852" s="85"/>
      <c r="G852" s="85"/>
      <c r="H852" s="85"/>
      <c r="I852" s="91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2.75" customHeight="1" spans="1:26">
      <c r="A853" s="85"/>
      <c r="B853" s="85"/>
      <c r="C853" s="85"/>
      <c r="D853" s="85"/>
      <c r="E853" s="85"/>
      <c r="F853" s="85"/>
      <c r="G853" s="85"/>
      <c r="H853" s="85"/>
      <c r="I853" s="91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2.75" customHeight="1" spans="1:26">
      <c r="A854" s="85"/>
      <c r="B854" s="85"/>
      <c r="C854" s="85"/>
      <c r="D854" s="85"/>
      <c r="E854" s="85"/>
      <c r="F854" s="85"/>
      <c r="G854" s="85"/>
      <c r="H854" s="85"/>
      <c r="I854" s="91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2.75" customHeight="1" spans="1:26">
      <c r="A855" s="85"/>
      <c r="B855" s="85"/>
      <c r="C855" s="85"/>
      <c r="D855" s="85"/>
      <c r="E855" s="85"/>
      <c r="F855" s="85"/>
      <c r="G855" s="85"/>
      <c r="H855" s="85"/>
      <c r="I855" s="91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2.75" customHeight="1" spans="1:26">
      <c r="A856" s="85"/>
      <c r="B856" s="85"/>
      <c r="C856" s="85"/>
      <c r="D856" s="85"/>
      <c r="E856" s="85"/>
      <c r="F856" s="85"/>
      <c r="G856" s="85"/>
      <c r="H856" s="85"/>
      <c r="I856" s="91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2.75" customHeight="1" spans="1:26">
      <c r="A857" s="85"/>
      <c r="B857" s="85"/>
      <c r="C857" s="85"/>
      <c r="D857" s="85"/>
      <c r="E857" s="85"/>
      <c r="F857" s="85"/>
      <c r="G857" s="85"/>
      <c r="H857" s="85"/>
      <c r="I857" s="91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2.75" customHeight="1" spans="1:26">
      <c r="A858" s="85"/>
      <c r="B858" s="85"/>
      <c r="C858" s="85"/>
      <c r="D858" s="85"/>
      <c r="E858" s="85"/>
      <c r="F858" s="85"/>
      <c r="G858" s="85"/>
      <c r="H858" s="85"/>
      <c r="I858" s="91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2.75" customHeight="1" spans="1:26">
      <c r="A859" s="85"/>
      <c r="B859" s="85"/>
      <c r="C859" s="85"/>
      <c r="D859" s="85"/>
      <c r="E859" s="85"/>
      <c r="F859" s="85"/>
      <c r="G859" s="85"/>
      <c r="H859" s="85"/>
      <c r="I859" s="91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2.75" customHeight="1" spans="1:26">
      <c r="A860" s="85"/>
      <c r="B860" s="85"/>
      <c r="C860" s="85"/>
      <c r="D860" s="85"/>
      <c r="E860" s="85"/>
      <c r="F860" s="85"/>
      <c r="G860" s="85"/>
      <c r="H860" s="85"/>
      <c r="I860" s="91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2.75" customHeight="1" spans="1:26">
      <c r="A861" s="85"/>
      <c r="B861" s="85"/>
      <c r="C861" s="85"/>
      <c r="D861" s="85"/>
      <c r="E861" s="85"/>
      <c r="F861" s="85"/>
      <c r="G861" s="85"/>
      <c r="H861" s="85"/>
      <c r="I861" s="91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2.75" customHeight="1" spans="1:26">
      <c r="A862" s="85"/>
      <c r="B862" s="85"/>
      <c r="C862" s="85"/>
      <c r="D862" s="85"/>
      <c r="E862" s="85"/>
      <c r="F862" s="85"/>
      <c r="G862" s="85"/>
      <c r="H862" s="85"/>
      <c r="I862" s="91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2.75" customHeight="1" spans="1:26">
      <c r="A863" s="85"/>
      <c r="B863" s="85"/>
      <c r="C863" s="85"/>
      <c r="D863" s="85"/>
      <c r="E863" s="85"/>
      <c r="F863" s="85"/>
      <c r="G863" s="85"/>
      <c r="H863" s="85"/>
      <c r="I863" s="91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2.75" customHeight="1" spans="1:26">
      <c r="A864" s="85"/>
      <c r="B864" s="85"/>
      <c r="C864" s="85"/>
      <c r="D864" s="85"/>
      <c r="E864" s="85"/>
      <c r="F864" s="85"/>
      <c r="G864" s="85"/>
      <c r="H864" s="85"/>
      <c r="I864" s="91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2.75" customHeight="1" spans="1:26">
      <c r="A865" s="85"/>
      <c r="B865" s="85"/>
      <c r="C865" s="85"/>
      <c r="D865" s="85"/>
      <c r="E865" s="85"/>
      <c r="F865" s="85"/>
      <c r="G865" s="85"/>
      <c r="H865" s="85"/>
      <c r="I865" s="91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2.75" customHeight="1" spans="1:26">
      <c r="A866" s="85"/>
      <c r="B866" s="85"/>
      <c r="C866" s="85"/>
      <c r="D866" s="85"/>
      <c r="E866" s="85"/>
      <c r="F866" s="85"/>
      <c r="G866" s="85"/>
      <c r="H866" s="85"/>
      <c r="I866" s="91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2.75" customHeight="1" spans="1:26">
      <c r="A867" s="85"/>
      <c r="B867" s="85"/>
      <c r="C867" s="85"/>
      <c r="D867" s="85"/>
      <c r="E867" s="85"/>
      <c r="F867" s="85"/>
      <c r="G867" s="85"/>
      <c r="H867" s="85"/>
      <c r="I867" s="91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2.75" customHeight="1" spans="1:26">
      <c r="A868" s="85"/>
      <c r="B868" s="85"/>
      <c r="C868" s="85"/>
      <c r="D868" s="85"/>
      <c r="E868" s="85"/>
      <c r="F868" s="85"/>
      <c r="G868" s="85"/>
      <c r="H868" s="85"/>
      <c r="I868" s="91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2.75" customHeight="1" spans="1:26">
      <c r="A869" s="85"/>
      <c r="B869" s="85"/>
      <c r="C869" s="85"/>
      <c r="D869" s="85"/>
      <c r="E869" s="85"/>
      <c r="F869" s="85"/>
      <c r="G869" s="85"/>
      <c r="H869" s="85"/>
      <c r="I869" s="91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ht="12.75" customHeight="1" spans="1:26">
      <c r="A870" s="85"/>
      <c r="B870" s="85"/>
      <c r="C870" s="85"/>
      <c r="D870" s="85"/>
      <c r="E870" s="85"/>
      <c r="F870" s="85"/>
      <c r="G870" s="85"/>
      <c r="H870" s="85"/>
      <c r="I870" s="91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 G8:G17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7"/>
  <sheetViews>
    <sheetView zoomScale="130" zoomScaleNormal="130" workbookViewId="0">
      <selection activeCell="C11" sqref="C11"/>
    </sheetView>
  </sheetViews>
  <sheetFormatPr defaultColWidth="12.6333333333333" defaultRowHeight="15" customHeight="1"/>
  <cols>
    <col min="1" max="1" width="9" style="12" customWidth="1"/>
    <col min="2" max="2" width="13.5" style="12" customWidth="1"/>
    <col min="3" max="3" width="19.3833333333333" style="12" customWidth="1"/>
    <col min="4" max="6" width="9" style="12" customWidth="1"/>
    <col min="7" max="7" width="11.05" style="12" customWidth="1"/>
    <col min="8" max="8" width="33.1333333333333" style="12" customWidth="1"/>
    <col min="9" max="26" width="10" style="12" customWidth="1"/>
    <col min="27" max="16384" width="12.6333333333333" style="12"/>
  </cols>
  <sheetData>
    <row r="1" ht="25.5" customHeight="1" spans="1:26">
      <c r="A1" s="13"/>
      <c r="B1" s="14" t="s">
        <v>300</v>
      </c>
      <c r="C1" s="15"/>
      <c r="D1" s="15"/>
      <c r="E1" s="15"/>
      <c r="F1" s="15"/>
      <c r="G1" s="15"/>
      <c r="H1" s="15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 spans="1:26">
      <c r="A2" s="16"/>
      <c r="B2" s="16"/>
      <c r="C2" s="13"/>
      <c r="D2" s="13"/>
      <c r="E2" s="13"/>
      <c r="F2" s="13"/>
      <c r="G2" s="13"/>
      <c r="H2" s="17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" customHeight="1" spans="1:26">
      <c r="A3" s="13"/>
      <c r="B3" s="18" t="s">
        <v>1</v>
      </c>
      <c r="C3" s="19" t="str">
        <f>Cover!C4</f>
        <v>Kiểm thử website quản lý thuê nhà trọ</v>
      </c>
      <c r="D3" s="20"/>
      <c r="E3" s="21" t="s">
        <v>3</v>
      </c>
      <c r="F3" s="20"/>
      <c r="G3" s="22"/>
      <c r="H3" s="2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2" customHeight="1" spans="1:26">
      <c r="A4" s="13"/>
      <c r="B4" s="18" t="s">
        <v>4</v>
      </c>
      <c r="C4" s="19" t="str">
        <f>Cover!C5</f>
        <v>Nhóm 14</v>
      </c>
      <c r="D4" s="20"/>
      <c r="E4" s="21" t="s">
        <v>6</v>
      </c>
      <c r="F4" s="20"/>
      <c r="G4" s="22"/>
      <c r="H4" s="2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" customHeight="1" spans="1:26">
      <c r="A5" s="13"/>
      <c r="B5" s="24" t="s">
        <v>7</v>
      </c>
      <c r="C5" s="19" t="str">
        <f>C4&amp;"_"&amp;"Test Report"&amp;"_"&amp;"vx.x"</f>
        <v>Nhóm 14_Test Report_vx.x</v>
      </c>
      <c r="D5" s="20"/>
      <c r="E5" s="21" t="s">
        <v>8</v>
      </c>
      <c r="F5" s="20"/>
      <c r="G5" s="25">
        <v>45992</v>
      </c>
      <c r="H5" s="26" t="s">
        <v>301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1.75" customHeight="1" spans="1:26">
      <c r="A6" s="16"/>
      <c r="B6" s="24" t="s">
        <v>302</v>
      </c>
      <c r="C6" s="27" t="s">
        <v>303</v>
      </c>
      <c r="D6" s="28"/>
      <c r="E6" s="28"/>
      <c r="F6" s="28"/>
      <c r="G6" s="28"/>
      <c r="H6" s="20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 spans="1:26">
      <c r="A7" s="16"/>
      <c r="B7" s="29"/>
      <c r="C7" s="30"/>
      <c r="D7" s="13"/>
      <c r="E7" s="13"/>
      <c r="F7" s="13"/>
      <c r="G7" s="13"/>
      <c r="H7" s="17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 spans="1:26">
      <c r="A8" s="13"/>
      <c r="B8" s="29"/>
      <c r="C8" s="30"/>
      <c r="D8" s="13"/>
      <c r="E8" s="13"/>
      <c r="F8" s="13"/>
      <c r="G8" s="13"/>
      <c r="H8" s="17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 spans="1:26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3.5" customHeight="1" spans="1:26">
      <c r="A10" s="31"/>
      <c r="B10" s="32" t="s">
        <v>22</v>
      </c>
      <c r="C10" s="33" t="s">
        <v>304</v>
      </c>
      <c r="D10" s="34" t="s">
        <v>55</v>
      </c>
      <c r="E10" s="33" t="s">
        <v>58</v>
      </c>
      <c r="F10" s="33" t="s">
        <v>60</v>
      </c>
      <c r="G10" s="35" t="s">
        <v>61</v>
      </c>
      <c r="H10" s="36" t="s">
        <v>305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75" customHeight="1" spans="1:26">
      <c r="A11" s="31"/>
      <c r="B11" s="37">
        <v>1</v>
      </c>
      <c r="C11" s="38" t="s">
        <v>38</v>
      </c>
      <c r="D11" s="39">
        <f>M_dang_nhap!A6</f>
        <v>6</v>
      </c>
      <c r="E11" s="39">
        <f>M_dang_nhap!B6</f>
        <v>1</v>
      </c>
      <c r="F11" s="39">
        <f>M_dang_nhap!C6</f>
        <v>0</v>
      </c>
      <c r="G11" s="40">
        <f>M_dang_nhap!D6</f>
        <v>0</v>
      </c>
      <c r="H11" s="41">
        <f>M_dang_nhap!E6</f>
        <v>7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2.75" customHeight="1" spans="1:26">
      <c r="A12" s="31"/>
      <c r="B12" s="37">
        <v>2</v>
      </c>
      <c r="C12" s="42" t="s">
        <v>36</v>
      </c>
      <c r="D12" s="39">
        <f>M_dang_ky!A6</f>
        <v>5</v>
      </c>
      <c r="E12" s="39">
        <f>M_dang_ky!B6</f>
        <v>0</v>
      </c>
      <c r="F12" s="39">
        <f>M_dang_ky!C6</f>
        <v>0</v>
      </c>
      <c r="G12" s="39">
        <f>M_dang_ky!D6</f>
        <v>0</v>
      </c>
      <c r="H12" s="41">
        <f>M_dang_ky!E6</f>
        <v>5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2.75" customHeight="1" spans="1:26">
      <c r="A13" s="31"/>
      <c r="B13" s="37">
        <v>3</v>
      </c>
      <c r="C13" s="42" t="s">
        <v>32</v>
      </c>
      <c r="D13" s="39">
        <f>M_them_thanh_pho!A6</f>
        <v>5</v>
      </c>
      <c r="E13" s="39">
        <f>M_them_thanh_pho!B6</f>
        <v>0</v>
      </c>
      <c r="F13" s="39">
        <f>M_them_thanh_pho!C6</f>
        <v>0</v>
      </c>
      <c r="G13" s="39">
        <f>M_them_thanh_pho!D6</f>
        <v>0</v>
      </c>
      <c r="H13" s="41">
        <f>M_them_thanh_pho!E6</f>
        <v>5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2.75" customHeight="1" spans="1:26">
      <c r="A14" s="31"/>
      <c r="B14" s="37">
        <v>4</v>
      </c>
      <c r="C14" s="42" t="s">
        <v>46</v>
      </c>
      <c r="D14" s="39">
        <f>M_them_quan_huyen!A6</f>
        <v>1</v>
      </c>
      <c r="E14" s="39">
        <f>M_them_quan_huyen!B6</f>
        <v>2</v>
      </c>
      <c r="F14" s="39">
        <f>M_them_quan_huyen!C6</f>
        <v>1</v>
      </c>
      <c r="G14" s="39">
        <f>M_them_quan_huyen!D6</f>
        <v>0</v>
      </c>
      <c r="H14" s="41">
        <f>M_them_quan_huyen!E6</f>
        <v>4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2.75" customHeight="1" spans="1:26">
      <c r="A15" s="31"/>
      <c r="B15" s="37">
        <v>5</v>
      </c>
      <c r="C15" s="42" t="s">
        <v>41</v>
      </c>
      <c r="D15" s="39">
        <f>M_them_dich_vu!A6</f>
        <v>6</v>
      </c>
      <c r="E15" s="39">
        <f>M_them_dich_vu!B6</f>
        <v>1</v>
      </c>
      <c r="F15" s="39">
        <f>M_them_dich_vu!C6</f>
        <v>0</v>
      </c>
      <c r="G15" s="39">
        <f>M_them_dich_vu!D6</f>
        <v>0</v>
      </c>
      <c r="H15" s="41">
        <f>M_them_dich_vu!E6</f>
        <v>7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2.75" customHeight="1" spans="1:26">
      <c r="A16" s="31"/>
      <c r="B16" s="37">
        <v>6</v>
      </c>
      <c r="C16" s="42" t="s">
        <v>43</v>
      </c>
      <c r="D16" s="39">
        <f>M_sua_dich_vu!A6</f>
        <v>6</v>
      </c>
      <c r="E16" s="39">
        <f>M_sua_dich_vu!B6</f>
        <v>1</v>
      </c>
      <c r="F16" s="39">
        <f>M_sua_dich_vu!C6</f>
        <v>0</v>
      </c>
      <c r="G16" s="39">
        <f>M_sua_dich_vu!D6</f>
        <v>0</v>
      </c>
      <c r="H16" s="41">
        <f>M_sua_dich_vu!E6</f>
        <v>7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2.75" customHeight="1" spans="1:26">
      <c r="A17" s="31"/>
      <c r="B17" s="37">
        <v>7</v>
      </c>
      <c r="C17" s="42" t="s">
        <v>48</v>
      </c>
      <c r="D17" s="39">
        <f>M_cap_nhat_thong_tin!A6</f>
        <v>6</v>
      </c>
      <c r="E17" s="39">
        <f>M_cap_nhat_thong_tin!B6</f>
        <v>1</v>
      </c>
      <c r="F17" s="39">
        <f>M_cap_nhat_thong_tin!C6</f>
        <v>0</v>
      </c>
      <c r="G17" s="39">
        <f>M_cap_nhat_thong_tin!D6</f>
        <v>0</v>
      </c>
      <c r="H17" s="41">
        <f>M_cap_nhat_thong_tin!E6</f>
        <v>7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customHeight="1" spans="1:26">
      <c r="A18" s="31"/>
      <c r="B18" s="37">
        <v>8</v>
      </c>
      <c r="C18" s="42" t="s">
        <v>51</v>
      </c>
      <c r="D18" s="39">
        <f>M_them_danh_muc!A6</f>
        <v>2</v>
      </c>
      <c r="E18" s="39">
        <f>M_them_danh_muc!B6</f>
        <v>3</v>
      </c>
      <c r="F18" s="39">
        <f>M_them_danh_muc!C6</f>
        <v>1</v>
      </c>
      <c r="G18" s="39">
        <f>M_them_danh_muc!D6</f>
        <v>0</v>
      </c>
      <c r="H18" s="41">
        <f>M_them_danh_muc!E6</f>
        <v>6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 spans="1:26">
      <c r="A19" s="31"/>
      <c r="B19" s="37">
        <v>9</v>
      </c>
      <c r="C19" s="42" t="s">
        <v>53</v>
      </c>
      <c r="D19" s="39">
        <f>M_sua_danh_muc!A6</f>
        <v>5</v>
      </c>
      <c r="E19" s="39">
        <f>M_sua_danh_muc!B6</f>
        <v>1</v>
      </c>
      <c r="F19" s="39">
        <f>M_sua_danh_muc!C6</f>
        <v>1</v>
      </c>
      <c r="G19" s="39">
        <f>M_sua_danh_muc!D6</f>
        <v>0</v>
      </c>
      <c r="H19" s="41">
        <f>M_sua_danh_muc!E6</f>
        <v>7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 spans="1:26">
      <c r="A20" s="31"/>
      <c r="B20" s="37">
        <v>10</v>
      </c>
      <c r="C20" s="42" t="s">
        <v>30</v>
      </c>
      <c r="D20" s="39">
        <f>M_them_tin!A6</f>
        <v>7</v>
      </c>
      <c r="E20" s="39">
        <f>M_them_tin!B6</f>
        <v>0</v>
      </c>
      <c r="F20" s="39">
        <f>M_them_tin!C6</f>
        <v>0</v>
      </c>
      <c r="G20" s="39">
        <f>M_them_tin!D6</f>
        <v>0</v>
      </c>
      <c r="H20" s="41">
        <f>M_them_tin!E6</f>
        <v>7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 spans="1:26">
      <c r="A21" s="31"/>
      <c r="B21" s="43"/>
      <c r="C21" s="44" t="s">
        <v>306</v>
      </c>
      <c r="D21" s="45">
        <f>SUM(D9:D20)</f>
        <v>49</v>
      </c>
      <c r="E21" s="45">
        <f>SUM(E9:E20)</f>
        <v>10</v>
      </c>
      <c r="F21" s="45">
        <f>SUM(F9:F20)</f>
        <v>3</v>
      </c>
      <c r="G21" s="45">
        <f>SUM(G9:G20)</f>
        <v>0</v>
      </c>
      <c r="H21" s="46">
        <f>SUM(H9:H20)</f>
        <v>62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 spans="1:26">
      <c r="A22" s="13"/>
      <c r="B22" s="47"/>
      <c r="C22" s="13"/>
      <c r="D22" s="48"/>
      <c r="E22" s="49"/>
      <c r="F22" s="49"/>
      <c r="G22" s="49"/>
      <c r="H22" s="49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 spans="1:26">
      <c r="A23" s="13"/>
      <c r="B23" s="13"/>
      <c r="C23" s="50" t="s">
        <v>307</v>
      </c>
      <c r="D23" s="13"/>
      <c r="E23" s="51">
        <f>(D21+E21)*100/(H21-G21)</f>
        <v>95.1612903225806</v>
      </c>
      <c r="F23" s="13" t="s">
        <v>308</v>
      </c>
      <c r="G23" s="13"/>
      <c r="H23" s="5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 spans="1:26">
      <c r="A24" s="13"/>
      <c r="B24" s="13"/>
      <c r="C24" s="50" t="s">
        <v>309</v>
      </c>
      <c r="D24" s="13"/>
      <c r="E24" s="51">
        <f>D21*100/(H21-G21)</f>
        <v>79.0322580645161</v>
      </c>
      <c r="F24" s="13" t="s">
        <v>308</v>
      </c>
      <c r="G24" s="13"/>
      <c r="H24" s="5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 spans="1:26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 spans="1: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 spans="1:2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 spans="1:26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 spans="1:2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 spans="1:2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 spans="1:2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 spans="1:2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 spans="1:2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 spans="1:2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 spans="1:2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 spans="1:2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 spans="1:2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 spans="1:2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 spans="1:2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 spans="1:2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 spans="1:2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 spans="1:2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 spans="1:2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 spans="1:2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 spans="1:2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 spans="1:2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 spans="1:2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 spans="1:2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 spans="1:2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 spans="1:2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 spans="1:2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 spans="1:26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 spans="1:26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 spans="1:26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 spans="1:26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 spans="1:2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 spans="1:26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 spans="1:26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 spans="1:26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 spans="1:26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 spans="1:26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 spans="1:26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 spans="1:26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 spans="1:26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 spans="1:26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 spans="1:2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 spans="1:26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 spans="1:26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 spans="1:26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 spans="1:26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 spans="1:26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 spans="1:26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 spans="1:26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 spans="1:26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 spans="1:26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 spans="1:2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 spans="1:26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 spans="1:26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 spans="1:26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 spans="1:26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 spans="1:26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 spans="1:26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 spans="1:26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 spans="1:26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 spans="1:26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 spans="1:2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 spans="1:26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 spans="1:26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 spans="1:26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 spans="1:26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 spans="1:26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 spans="1:26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 spans="1:26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 spans="1:26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 spans="1:26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 spans="1:2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 spans="1:26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 spans="1:26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 spans="1:26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 spans="1:26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 spans="1:26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 spans="1:26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 spans="1:26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 spans="1:26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 spans="1:26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 spans="1:2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 spans="1:26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 spans="1:26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 spans="1:26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 spans="1:26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 spans="1:26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 spans="1:26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 spans="1:26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 spans="1:26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 spans="1:26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 spans="1:2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 spans="1:26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 spans="1:26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 spans="1:26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 spans="1:26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 spans="1:26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 spans="1:26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 spans="1:26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 spans="1:26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 spans="1:26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 spans="1: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 spans="1:26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 spans="1:26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 spans="1:26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 spans="1:26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 spans="1:26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 spans="1:26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 spans="1:26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 spans="1:26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 spans="1:26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 spans="1:2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 spans="1:26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 spans="1:26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 spans="1:26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 spans="1:26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 spans="1:26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 spans="1:26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 spans="1:26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 spans="1:26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 spans="1:26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 spans="1:2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 spans="1:26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 spans="1:26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 spans="1:26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 spans="1:26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 spans="1:26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 spans="1:26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 spans="1:26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 spans="1:26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 spans="1:26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 spans="1:2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 spans="1:26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 spans="1:26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 spans="1:26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 spans="1:26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 spans="1:26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 spans="1:26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 spans="1:26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 spans="1:26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 spans="1:26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 spans="1:2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 spans="1:26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 spans="1:26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 spans="1:26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 spans="1:26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 spans="1:26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 spans="1:26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 spans="1:26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 spans="1:26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 spans="1:26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 spans="1:2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 spans="1:26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 spans="1:26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 spans="1:26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 spans="1:26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 spans="1:26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 spans="1:26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 spans="1:26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 spans="1:26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 spans="1:26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 spans="1:2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 spans="1:26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 spans="1:26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 spans="1:26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 spans="1:26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 spans="1:26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 spans="1:26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 spans="1:26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 spans="1:26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 spans="1:26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 spans="1:2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 spans="1:26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 spans="1:26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 spans="1:26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 spans="1:26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 spans="1:26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 spans="1:26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 spans="1:26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 spans="1:26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 spans="1:26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 spans="1:2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 spans="1:26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 spans="1:26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 spans="1:26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 spans="1:26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 spans="1:26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 spans="1:26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 spans="1:26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 spans="1:26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 spans="1:26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 spans="1:2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 spans="1:26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 spans="1:26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 spans="1:26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 spans="1:26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 spans="1:26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 spans="1:26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 spans="1:26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 spans="1:26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 spans="1:26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 spans="1: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 spans="1:26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 spans="1:26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 spans="1:26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 spans="1:26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 spans="1:26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 spans="1:26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 spans="1:26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 spans="1:26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 spans="1:26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 spans="1:2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 spans="1:26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 spans="1:26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 spans="1:26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 spans="1:26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 spans="1:26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 spans="1:26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 spans="1:26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 spans="1:26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 spans="1:26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 spans="1:2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 spans="1:26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 spans="1:26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 spans="1:26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 spans="1:26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 spans="1:26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 spans="1:26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 spans="1:26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 spans="1:26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 spans="1:26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 spans="1:2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 spans="1:26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 spans="1:26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 spans="1:26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 spans="1:26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 spans="1:26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 spans="1:26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 spans="1:26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 spans="1:26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 spans="1:26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 spans="1:2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 spans="1:26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 spans="1:26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 spans="1:26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 spans="1:26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 spans="1:26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 spans="1:26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 spans="1:26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 spans="1:26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 spans="1:26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 spans="1:2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 spans="1:26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 spans="1:26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 spans="1:26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 spans="1:26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 spans="1:26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 spans="1:26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 spans="1:26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 spans="1:26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 spans="1:26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 spans="1:2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 spans="1:26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 spans="1:26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 spans="1:26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 spans="1:26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 spans="1:26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 spans="1:26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 spans="1:26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 spans="1:26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 spans="1:26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 spans="1:2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 spans="1:26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 spans="1:26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 spans="1:26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 spans="1:26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 spans="1:26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 spans="1:26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 spans="1:26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 spans="1:26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 spans="1:26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 spans="1:2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 spans="1:26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 spans="1:26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 spans="1:26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 spans="1:26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 spans="1:26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 spans="1:26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 spans="1:26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 spans="1:26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 spans="1:26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 spans="1:2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 spans="1:26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 spans="1:26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 spans="1:26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 spans="1:26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 spans="1:26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 spans="1:26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 spans="1:26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 spans="1:26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 spans="1:26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 spans="1: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 spans="1:26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 spans="1:26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 spans="1:26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 spans="1:26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 spans="1:26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 spans="1:26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 spans="1:26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 spans="1:26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 spans="1:26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 spans="1:2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 spans="1:26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 spans="1:26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 spans="1:26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 spans="1:26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 spans="1:26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 spans="1:26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 spans="1:26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 spans="1:26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 spans="1:26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 spans="1:2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 spans="1:26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 spans="1:26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 spans="1:26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 spans="1:26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 spans="1:26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 spans="1:26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 spans="1:26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 spans="1:26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 spans="1:26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 spans="1:2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 spans="1:26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 spans="1:26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 spans="1:26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 spans="1:26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 spans="1:26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 spans="1:26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 spans="1:26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 spans="1:26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 spans="1:26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 spans="1:2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 spans="1:26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 spans="1:26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 spans="1:26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 spans="1:26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 spans="1:26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 spans="1:26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 spans="1:26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 spans="1:26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 spans="1:26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 spans="1:2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 spans="1:26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 spans="1:26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 spans="1:26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 spans="1:26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 spans="1:26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 spans="1:26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 spans="1:26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 spans="1:26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 spans="1:26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 spans="1:2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 spans="1:26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 spans="1:26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 spans="1:26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 spans="1:26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 spans="1:26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 spans="1:26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 spans="1:26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 spans="1:26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 spans="1:26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 spans="1:2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 spans="1:26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 spans="1:26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 spans="1:26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 spans="1:26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 spans="1:26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 spans="1:26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 spans="1:26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 spans="1:26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 spans="1:26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 spans="1:2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 spans="1:26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 spans="1:26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 spans="1:26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 spans="1:26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 spans="1:26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 spans="1:26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 spans="1:26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 spans="1:26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 spans="1:26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 spans="1:2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 spans="1:26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 spans="1:26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 spans="1:26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 spans="1:26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 spans="1:26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 spans="1:26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 spans="1:26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 spans="1:26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 spans="1:26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 spans="1: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 spans="1:26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 spans="1:26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 spans="1:26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 spans="1:26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 spans="1:26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 spans="1:26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 spans="1:26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 spans="1:26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 spans="1:26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 spans="1:2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 spans="1:26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 spans="1:26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 spans="1:26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 spans="1:26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 spans="1:26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 spans="1:26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 spans="1:26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 spans="1:26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 spans="1:26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 spans="1:2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 spans="1:26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 spans="1:26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 spans="1:26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 spans="1:26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 spans="1:26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 spans="1:26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 spans="1:26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 spans="1:26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 spans="1:26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 spans="1:2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 spans="1:26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 spans="1:26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 spans="1:26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 spans="1:26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 spans="1:26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 spans="1:26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 spans="1:26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 spans="1:26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 spans="1:26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 spans="1:2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 spans="1:26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 spans="1:26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 spans="1:26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 spans="1:26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 spans="1:26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 spans="1:26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 spans="1:26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 spans="1:26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 spans="1:26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 spans="1:2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 spans="1:26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 spans="1:26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 spans="1:26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 spans="1:26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 spans="1:26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 spans="1:26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 spans="1:26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 spans="1:26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 spans="1:26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 spans="1:2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 spans="1:26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 spans="1:26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 spans="1:26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 spans="1:26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 spans="1:26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 spans="1:26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 spans="1:26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 spans="1:26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 spans="1:26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 spans="1:2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 spans="1:26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 spans="1:26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 spans="1:26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 spans="1:26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 spans="1:26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 spans="1:26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 spans="1:26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 spans="1:26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 spans="1:26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 spans="1:2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 spans="1:26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 spans="1:26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 spans="1:26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 spans="1:26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 spans="1:26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 spans="1:26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 spans="1:26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 spans="1:26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 spans="1:26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 spans="1:2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 spans="1:26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 spans="1:26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 spans="1:26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 spans="1:26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 spans="1:26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 spans="1:26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 spans="1:26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 spans="1:26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 spans="1:26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 spans="1: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 spans="1:26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 spans="1:26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 spans="1:26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 spans="1:26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 spans="1:26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 spans="1:26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 spans="1:26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 spans="1:26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 spans="1:26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 spans="1:2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 spans="1:26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 spans="1:26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 spans="1:26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 spans="1:26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 spans="1:26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 spans="1:26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 spans="1:26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 spans="1:26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 spans="1:26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 spans="1:2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 spans="1:26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 spans="1:26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 spans="1:26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 spans="1:26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 spans="1:26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 spans="1:26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 spans="1:26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 spans="1:26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 spans="1:26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 spans="1:2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 spans="1:26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 spans="1:26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 spans="1:26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 spans="1:26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 spans="1:26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 spans="1:26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 spans="1:26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 spans="1:26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 spans="1:26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 spans="1:2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 spans="1:26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 spans="1:26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 spans="1:26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 spans="1:26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 spans="1:26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 spans="1:26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 spans="1:26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 spans="1:26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 spans="1:26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 spans="1:2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 spans="1:26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 spans="1:26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 spans="1:26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 spans="1:26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 spans="1:26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 spans="1:26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 spans="1:26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 spans="1:26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 spans="1:26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 spans="1:2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 spans="1:26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 spans="1:26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 spans="1:26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 spans="1:26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 spans="1:26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 spans="1:26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 spans="1:26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 spans="1:26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 spans="1:26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 spans="1:2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 spans="1:26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 spans="1:26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 spans="1:26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 spans="1:26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 spans="1:26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 spans="1:26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 spans="1:26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 spans="1:26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 spans="1:26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 spans="1:2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 spans="1:26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 spans="1:26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 spans="1:26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 spans="1:26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 spans="1:26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 spans="1:26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 spans="1:26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 spans="1:26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 spans="1:26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 spans="1:2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 spans="1:26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 spans="1:26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 spans="1:26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 spans="1:26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 spans="1:26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 spans="1:26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 spans="1:26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 spans="1:26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 spans="1:26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 spans="1: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 spans="1:26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 spans="1:26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 spans="1:26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 spans="1:26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 spans="1:26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 spans="1:26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 spans="1:26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 spans="1:26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 spans="1:26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 spans="1:2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 spans="1:26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 spans="1:26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 spans="1:26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 spans="1:26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 spans="1:26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 spans="1:26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 spans="1:26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 spans="1:26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 spans="1:26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 spans="1:2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 spans="1:26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 spans="1:26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 spans="1:26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 spans="1:26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 spans="1:26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 spans="1:26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 spans="1:26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 spans="1:26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 spans="1:26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 spans="1:2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 spans="1:26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 spans="1:26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 spans="1:26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 spans="1:26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 spans="1:26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 spans="1:26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 spans="1:26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 spans="1:26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 spans="1:26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 spans="1:2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 spans="1:26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 spans="1:26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 spans="1:26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 spans="1:26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 spans="1:26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 spans="1:26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 spans="1:26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 spans="1:26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 spans="1:26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 spans="1:2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 spans="1:26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 spans="1:26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 spans="1:26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 spans="1:26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 spans="1:26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 spans="1:26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 spans="1:26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 spans="1:26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 spans="1:26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 spans="1:2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 spans="1:26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 spans="1:26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 spans="1:26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 spans="1:26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 spans="1:26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 spans="1:26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 spans="1:26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 spans="1:26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 spans="1:26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 spans="1:2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 spans="1:26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 spans="1:26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 spans="1:26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 spans="1:26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 spans="1:26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 spans="1:26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 spans="1:26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 spans="1:26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 spans="1:26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 spans="1:2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 spans="1:26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 spans="1:26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 spans="1:26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 spans="1:26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 spans="1:26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 spans="1:26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 spans="1:26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 spans="1:26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 spans="1:26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 spans="1:2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 spans="1:26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 spans="1:26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 spans="1:26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 spans="1:26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 spans="1:26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 spans="1:26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 spans="1:26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 spans="1:26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 spans="1:26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 spans="1: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 spans="1:26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 spans="1:26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 spans="1:26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 spans="1:26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 spans="1:26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 spans="1:26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 spans="1:26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 spans="1:26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 spans="1:26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 spans="1:2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 spans="1:26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 spans="1:26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 spans="1:26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 spans="1:26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 spans="1:26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 spans="1:26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 spans="1:26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 spans="1:26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 spans="1:26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 spans="1:2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 spans="1:26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 spans="1:26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 spans="1:26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 spans="1:26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 spans="1:26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 spans="1:26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 spans="1:26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 spans="1:26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 spans="1:26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 spans="1:2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 spans="1:26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 spans="1:26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 spans="1:26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 spans="1:26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 spans="1:26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 spans="1:26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 spans="1:26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 spans="1:26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 spans="1:26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 spans="1:2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 spans="1:26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 spans="1:26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 spans="1:26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 spans="1:26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 spans="1:26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 spans="1:26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 spans="1:26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 spans="1:26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 spans="1:26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 spans="1:2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 spans="1:26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 spans="1:26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 spans="1:26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 spans="1:26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 spans="1:26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 spans="1:26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 spans="1:26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 spans="1:26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 spans="1:26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 spans="1:2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 spans="1:26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 spans="1:26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 spans="1:26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 spans="1:26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 spans="1:26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 spans="1:26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 spans="1:26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 spans="1:26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 spans="1:26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 spans="1:2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 spans="1:26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 spans="1:26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 spans="1:26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 spans="1:26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 spans="1:26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 spans="1:26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 spans="1:26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 spans="1:26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 spans="1:26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 spans="1:2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 spans="1:26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 spans="1:26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 spans="1:26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 spans="1:26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 spans="1:26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 spans="1:26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 spans="1:26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 spans="1:26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 spans="1:26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 spans="1:2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 spans="1:26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 spans="1:26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 spans="1:26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 spans="1:26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 spans="1:26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 spans="1:26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 spans="1:26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 spans="1:26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 spans="1:26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 spans="1: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 spans="1:26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 spans="1:26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 spans="1:26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 spans="1:26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 spans="1:26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 spans="1:26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 spans="1:26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 spans="1:26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 spans="1:26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 spans="1:2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 spans="1:26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 spans="1:26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 spans="1:26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 spans="1:26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 spans="1:26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 spans="1:26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 spans="1:26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 spans="1:26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 spans="1:26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 spans="1:2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 spans="1:26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 spans="1:26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 spans="1:26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 spans="1:26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 spans="1:26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 spans="1:26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 spans="1:26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 spans="1:26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 spans="1:26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 spans="1:2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 spans="1:26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 spans="1:26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 spans="1:26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 spans="1:26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 spans="1:26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 spans="1:26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 spans="1:26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 spans="1:26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 spans="1:26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 spans="1:2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 spans="1:26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 spans="1:26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 spans="1:26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 spans="1:26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 spans="1:26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 spans="1:26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 spans="1:26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 spans="1:26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 spans="1:26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 spans="1:2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 spans="1:26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 spans="1:26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 spans="1:26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 spans="1:26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 spans="1:26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 spans="1:26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 spans="1:26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 spans="1:26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 spans="1:26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 spans="1:2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 spans="1:26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 spans="1:26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 spans="1:26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 spans="1:26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 spans="1:26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 spans="1:26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 spans="1:26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 spans="1:26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 spans="1:26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 spans="1:2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 spans="1:26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 spans="1:26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 spans="1:26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 spans="1:26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 spans="1:26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 spans="1:26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 spans="1:26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 spans="1:26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 spans="1:26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 spans="1:2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 spans="1:26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 spans="1:26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 spans="1:26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 spans="1:26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 spans="1:26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 spans="1:26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 spans="1:26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 spans="1:26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 spans="1:26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 spans="1:2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 spans="1:26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 spans="1:26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 spans="1:26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 spans="1:26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 spans="1:26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 spans="1:26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 spans="1:26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 spans="1:26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 spans="1:26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 spans="1: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 spans="1:26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 spans="1:26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 spans="1:26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 spans="1:26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 spans="1:26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 spans="1:26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 spans="1:26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 spans="1:26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 spans="1:26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 spans="1:2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 spans="1:26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 spans="1:26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 spans="1:26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 spans="1:26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 spans="1:26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 spans="1:26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 spans="1:26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 spans="1:26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 spans="1:26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 spans="1:2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 spans="1:26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 spans="1:26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 spans="1:26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 spans="1:26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 spans="1:26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 spans="1:26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 spans="1:26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 spans="1:26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 spans="1:26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 spans="1:2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 spans="1:26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 spans="1:26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 spans="1:26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 spans="1:26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 spans="1:26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 spans="1:26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 spans="1:26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 spans="1:26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 spans="1:26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 spans="1:2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 spans="1:26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 spans="1:26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 spans="1:26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 spans="1:26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 spans="1:26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 spans="1:26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 spans="1:26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 spans="1:26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 spans="1:26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 spans="1:2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 spans="1:26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 spans="1:26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 spans="1:26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 spans="1:26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 spans="1:26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 spans="1:26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 spans="1:26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 spans="1:26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 spans="1:26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 spans="1:2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 spans="1:26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 spans="1:26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 spans="1:26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 spans="1:26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 spans="1:26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 spans="1:26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 spans="1:26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 spans="1:26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 spans="1:26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 spans="1:2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 spans="1:26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 spans="1:26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 spans="1:26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 spans="1:26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2.75" customHeight="1" spans="1:26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2.75" customHeight="1" spans="1:26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12.75" customHeight="1" spans="1:26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12.75" customHeight="1" spans="1:26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12.75" customHeight="1" spans="1:26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12.75" customHeight="1" spans="1:2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12.75" customHeight="1" spans="1:26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hyperlinks>
    <hyperlink ref="C12" location="M_dang_ky!A1" display="M_dang_ky"/>
    <hyperlink ref="C11" location="M_dang_nhap!A1" display="M_dang_nhap"/>
    <hyperlink ref="C13" location="M_them_thanh_pho!A1" display="M_them_thanh_pho"/>
    <hyperlink ref="C14" location="M_them_quan_huyen!A1" display="M_them_quan_huyen"/>
    <hyperlink ref="C15" location="M_them_dich_vu!A1" display="M_them_dich_vu"/>
    <hyperlink ref="C16" location="M_sua_dich_vu!A1" display="M_sua_dich_vu"/>
    <hyperlink ref="C17" location="M_cap_nhat_thong_tin!A1" display="M_cap_nhat_thong_tin"/>
    <hyperlink ref="C18" location="M_them_danh_muc!A1" display="M_them_danh_muc"/>
    <hyperlink ref="C19" location="M_sua_danh_muc!A1" display="M_sua_danh_muc"/>
    <hyperlink ref="C20" location="M_them_tin!A1" display="M_them_tin"/>
  </hyperlink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F31"/>
  <sheetViews>
    <sheetView workbookViewId="0">
      <selection activeCell="A1" sqref="A1"/>
    </sheetView>
  </sheetViews>
  <sheetFormatPr defaultColWidth="12.6333333333333" defaultRowHeight="15" customHeight="1" outlineLevelCol="5"/>
  <cols>
    <col min="2" max="2" width="24.25" customWidth="1"/>
  </cols>
  <sheetData>
    <row r="2" customHeight="1" spans="1:2">
      <c r="A2" s="1" t="s">
        <v>310</v>
      </c>
      <c r="B2" s="1" t="s">
        <v>311</v>
      </c>
    </row>
    <row r="3" customHeight="1" spans="1:2">
      <c r="A3" s="1"/>
      <c r="B3" s="1"/>
    </row>
    <row r="4" customHeight="1" spans="1:2">
      <c r="A4" s="1"/>
      <c r="B4" s="1"/>
    </row>
    <row r="5" customHeight="1" spans="1:2">
      <c r="A5" s="1"/>
      <c r="B5" s="1"/>
    </row>
    <row r="6" customHeight="1" spans="1:2">
      <c r="A6" s="1"/>
      <c r="B6" s="1"/>
    </row>
    <row r="7" customHeight="1" spans="1:2">
      <c r="A7" s="1"/>
      <c r="B7" s="1"/>
    </row>
    <row r="8" customHeight="1" spans="1:2">
      <c r="A8" s="1"/>
      <c r="B8" s="1"/>
    </row>
    <row r="9" customHeight="1" spans="1:2">
      <c r="A9" s="1"/>
      <c r="B9" s="1"/>
    </row>
    <row r="10" customHeight="1" spans="1:2">
      <c r="A10" s="1"/>
      <c r="B10" s="1"/>
    </row>
    <row r="11" customHeight="1" spans="1:2">
      <c r="A11" s="1"/>
      <c r="B11" s="1"/>
    </row>
    <row r="12" customHeight="1" spans="1:2">
      <c r="A12" s="1"/>
      <c r="B12" s="1"/>
    </row>
    <row r="13" customHeight="1" spans="1:2">
      <c r="A13" s="1"/>
      <c r="B13" s="1"/>
    </row>
    <row r="14" customHeight="1" spans="1:2">
      <c r="A14" s="1"/>
      <c r="B14" s="1"/>
    </row>
    <row r="15" customHeight="1" spans="1:2">
      <c r="A15" s="1"/>
      <c r="B15" s="1"/>
    </row>
    <row r="16" customHeight="1" spans="1:2">
      <c r="A16" s="1"/>
      <c r="B16" s="1"/>
    </row>
    <row r="17" customHeight="1" spans="1:2">
      <c r="A17" s="1"/>
      <c r="B17" s="1"/>
    </row>
    <row r="18" customHeight="1" spans="1:2">
      <c r="A18" s="1"/>
      <c r="B18" s="1"/>
    </row>
    <row r="19" customHeight="1" spans="1:2">
      <c r="A19" s="1"/>
      <c r="B19" s="1"/>
    </row>
    <row r="20" customHeight="1" spans="1:6">
      <c r="A20" s="1"/>
      <c r="B20" s="1"/>
      <c r="C20" s="2"/>
      <c r="D20" s="2"/>
      <c r="E20" s="2"/>
      <c r="F20" s="2"/>
    </row>
    <row r="21" customHeight="1" spans="1:6">
      <c r="A21" s="1" t="s">
        <v>312</v>
      </c>
      <c r="B21" s="3" t="s">
        <v>313</v>
      </c>
      <c r="C21" s="2"/>
      <c r="D21" s="2"/>
      <c r="E21" s="2"/>
      <c r="F21" s="2"/>
    </row>
    <row r="22" customHeight="1" spans="1:6">
      <c r="A22" s="1"/>
      <c r="B22" s="3" t="s">
        <v>314</v>
      </c>
      <c r="C22" s="4"/>
      <c r="D22" s="4"/>
      <c r="E22" s="4"/>
      <c r="F22" s="4"/>
    </row>
    <row r="23" customHeight="1" spans="1:6">
      <c r="A23" s="1"/>
      <c r="B23" s="5"/>
      <c r="C23" s="4"/>
      <c r="D23" s="4"/>
      <c r="E23" s="4"/>
      <c r="F23" s="4"/>
    </row>
    <row r="24" customHeight="1" spans="1:6">
      <c r="A24" s="1"/>
      <c r="B24" s="6" t="s">
        <v>315</v>
      </c>
      <c r="C24" s="7" t="s">
        <v>316</v>
      </c>
      <c r="D24" s="7" t="s">
        <v>317</v>
      </c>
      <c r="E24" s="7" t="s">
        <v>318</v>
      </c>
      <c r="F24" s="7" t="s">
        <v>319</v>
      </c>
    </row>
    <row r="25" customHeight="1" spans="1:6">
      <c r="A25" s="1"/>
      <c r="B25" s="8" t="s">
        <v>320</v>
      </c>
      <c r="C25" s="9" t="s">
        <v>321</v>
      </c>
      <c r="D25" s="9"/>
      <c r="E25" s="10" t="s">
        <v>322</v>
      </c>
      <c r="F25" s="9" t="s">
        <v>323</v>
      </c>
    </row>
    <row r="26" customHeight="1" spans="1:6">
      <c r="A26" s="1"/>
      <c r="B26" s="8" t="s">
        <v>324</v>
      </c>
      <c r="C26" s="9" t="s">
        <v>321</v>
      </c>
      <c r="D26" s="9"/>
      <c r="E26" s="10" t="s">
        <v>322</v>
      </c>
      <c r="F26" s="9"/>
    </row>
    <row r="27" customHeight="1" spans="1:2">
      <c r="A27" s="1"/>
      <c r="B27" s="1"/>
    </row>
    <row r="28" customHeight="1" spans="1:2">
      <c r="A28" s="1" t="s">
        <v>325</v>
      </c>
      <c r="B28" s="3" t="s">
        <v>326</v>
      </c>
    </row>
    <row r="29" customHeight="1" spans="2:3">
      <c r="B29" s="11" t="s">
        <v>310</v>
      </c>
      <c r="C29" s="2" t="s">
        <v>327</v>
      </c>
    </row>
    <row r="30" customHeight="1" spans="2:3">
      <c r="B30" s="11" t="s">
        <v>312</v>
      </c>
      <c r="C30" s="2" t="s">
        <v>328</v>
      </c>
    </row>
    <row r="31" customHeight="1" spans="2:3">
      <c r="B31" s="11" t="s">
        <v>325</v>
      </c>
      <c r="C31" s="2" t="s">
        <v>329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Cover</vt:lpstr>
      <vt:lpstr>Test case List</vt:lpstr>
      <vt:lpstr>M_dang_nhap</vt:lpstr>
      <vt:lpstr>M_dang_ky</vt:lpstr>
      <vt:lpstr>M_them_tin</vt:lpstr>
      <vt:lpstr>M_them_thanh_pho</vt:lpstr>
      <vt:lpstr>M_them_quan_huyen</vt:lpstr>
      <vt:lpstr>M_them_dich_vu</vt:lpstr>
      <vt:lpstr>M_sua_dich_vu</vt:lpstr>
      <vt:lpstr>M_cap_nhat_thong_tin</vt:lpstr>
      <vt:lpstr>M_them_danh_muc</vt:lpstr>
      <vt:lpstr>M_sua_danh_muc</vt:lpstr>
      <vt:lpstr>Test Report</vt:lpstr>
      <vt:lpstr>Requrirement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Dũng Nguyễn</cp:lastModifiedBy>
  <dcterms:created xsi:type="dcterms:W3CDTF">2025-11-25T08:34:00Z</dcterms:created>
  <dcterms:modified xsi:type="dcterms:W3CDTF">2025-12-12T02:35:18Z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89DD5E2A5A034044998CE1E7442736AF_13</vt:lpwstr>
  </property>
  <property fmtid="{D5CDD505-2E9C-101B-9397-08002B2CF9AE}" pid="3" name="KSOProductBuildVer">
    <vt:lpwstr>1033-12.2.0.23155</vt:lpwstr>
  </property>
</Properties>
</file>